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e3c0942d98bb59ca/Desktop/"/>
    </mc:Choice>
  </mc:AlternateContent>
  <xr:revisionPtr revIDLastSave="287" documentId="11_2843542F2A8FDAD91DD16BD6DD20499DC403348F" xr6:coauthVersionLast="47" xr6:coauthVersionMax="47" xr10:uidLastSave="{89099E5B-4F94-4F82-9745-4FF1C458EB60}"/>
  <bookViews>
    <workbookView xWindow="-120" yWindow="-120" windowWidth="20730" windowHeight="11040" xr2:uid="{00000000-000D-0000-FFFF-FFFF00000000}"/>
  </bookViews>
  <sheets>
    <sheet name="Inventory_Data" sheetId="1" r:id="rId1"/>
    <sheet name="Assumptions" sheetId="2" r:id="rId2"/>
  </sheets>
  <definedNames>
    <definedName name="_xlcn.WorksheetConnection_SAIL_Project_9_Industrial_Spares_Inventory.xlsxTable11" hidden="1">Table1[]</definedName>
  </definedNames>
  <calcPr calcId="191029"/>
  <pivotCaches>
    <pivotCache cacheId="0" r:id="rId3"/>
    <pivotCache cacheId="1" r:id="rId4"/>
  </pivotCaches>
  <extLst>
    <ext xmlns:x15="http://schemas.microsoft.com/office/spreadsheetml/2010/11/main" uri="{FCE2AD5D-F65C-4FA6-A056-5C36A1767C68}">
      <x15:dataModel>
        <x15:modelTables>
          <x15:modelTable id="Table1" name="Table1" connection="WorksheetConnection_SAIL_Project_9_Industrial_Spares_Inventory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P7" i="1" l="1"/>
  <c r="AP14" i="1"/>
  <c r="AK11" i="1"/>
  <c r="AK23" i="1"/>
  <c r="AK32" i="1"/>
  <c r="AK39" i="1"/>
  <c r="AK43" i="1"/>
  <c r="AK55" i="1"/>
  <c r="AK65" i="1"/>
  <c r="AK75" i="1"/>
  <c r="AK87" i="1"/>
  <c r="AK107" i="1"/>
  <c r="AK108" i="1"/>
  <c r="AK119" i="1"/>
  <c r="AK129" i="1"/>
  <c r="AK135" i="1"/>
  <c r="AK139" i="1"/>
  <c r="AK140" i="1"/>
  <c r="AK149" i="1"/>
  <c r="AK151" i="1"/>
  <c r="AK167" i="1"/>
  <c r="AK183" i="1"/>
  <c r="AK203" i="1"/>
  <c r="AK204" i="1"/>
  <c r="AK215" i="1"/>
  <c r="AK224" i="1"/>
  <c r="AK231" i="1"/>
  <c r="AK235" i="1"/>
  <c r="AK263" i="1"/>
  <c r="AK267" i="1"/>
  <c r="AK295" i="1"/>
  <c r="AK299" i="1"/>
  <c r="AK311" i="1"/>
  <c r="AK327" i="1"/>
  <c r="AK331" i="1"/>
  <c r="AK332" i="1"/>
  <c r="AK485" i="1"/>
  <c r="AJ8" i="1"/>
  <c r="AJ11" i="1"/>
  <c r="AJ12" i="1"/>
  <c r="AJ17" i="1"/>
  <c r="AJ18" i="1"/>
  <c r="AJ22" i="1"/>
  <c r="AJ24" i="1"/>
  <c r="AJ26" i="1"/>
  <c r="AJ32" i="1"/>
  <c r="AJ34" i="1"/>
  <c r="AJ40" i="1"/>
  <c r="AJ48" i="1"/>
  <c r="AJ55" i="1"/>
  <c r="AJ56" i="1"/>
  <c r="AJ60" i="1"/>
  <c r="AJ61" i="1"/>
  <c r="AJ66" i="1"/>
  <c r="AJ96" i="1"/>
  <c r="AJ101" i="1"/>
  <c r="AJ104" i="1"/>
  <c r="AJ116" i="1"/>
  <c r="AJ121" i="1"/>
  <c r="AJ123" i="1"/>
  <c r="AJ125" i="1"/>
  <c r="AJ134" i="1"/>
  <c r="AJ140" i="1"/>
  <c r="AJ146" i="1"/>
  <c r="AJ149" i="1"/>
  <c r="AJ151" i="1"/>
  <c r="AJ154" i="1"/>
  <c r="AJ164" i="1"/>
  <c r="AJ169" i="1"/>
  <c r="AJ175" i="1"/>
  <c r="AJ181" i="1"/>
  <c r="AJ194" i="1"/>
  <c r="AJ196" i="1"/>
  <c r="AJ198" i="1"/>
  <c r="AJ200" i="1"/>
  <c r="AJ204" i="1"/>
  <c r="AJ206" i="1"/>
  <c r="AJ215" i="1"/>
  <c r="AJ219" i="1"/>
  <c r="AJ230" i="1"/>
  <c r="AJ231" i="1"/>
  <c r="AJ241" i="1"/>
  <c r="AJ246" i="1"/>
  <c r="AJ248" i="1"/>
  <c r="AJ255" i="1"/>
  <c r="AJ260" i="1"/>
  <c r="AJ262" i="1"/>
  <c r="AJ264" i="1"/>
  <c r="AJ265" i="1"/>
  <c r="AJ266" i="1"/>
  <c r="AJ280" i="1"/>
  <c r="AJ287" i="1"/>
  <c r="AJ298" i="1"/>
  <c r="AJ299" i="1"/>
  <c r="AJ301" i="1"/>
  <c r="AJ307" i="1"/>
  <c r="AJ312" i="1"/>
  <c r="AJ315" i="1"/>
  <c r="AJ318" i="1"/>
  <c r="AJ324" i="1"/>
  <c r="AJ328" i="1"/>
  <c r="AJ332" i="1"/>
  <c r="AJ336" i="1"/>
  <c r="AJ341" i="1"/>
  <c r="AJ349" i="1"/>
  <c r="AJ353" i="1"/>
  <c r="AJ357" i="1"/>
  <c r="AJ361" i="1"/>
  <c r="AJ380" i="1"/>
  <c r="AJ384" i="1"/>
  <c r="AJ404" i="1"/>
  <c r="AJ405" i="1"/>
  <c r="AJ408" i="1"/>
  <c r="AJ412" i="1"/>
  <c r="AJ417" i="1"/>
  <c r="AJ426" i="1"/>
  <c r="AJ429" i="1"/>
  <c r="AJ437" i="1"/>
  <c r="AJ438" i="1"/>
  <c r="AJ440" i="1"/>
  <c r="AJ447" i="1"/>
  <c r="AJ454" i="1"/>
  <c r="AJ460" i="1"/>
  <c r="AJ465" i="1"/>
  <c r="AJ468" i="1"/>
  <c r="AJ476" i="1"/>
  <c r="AJ482" i="1"/>
  <c r="AJ484" i="1"/>
  <c r="AJ485" i="1"/>
  <c r="AJ491" i="1"/>
  <c r="AJ492" i="1"/>
  <c r="AJ493" i="1"/>
  <c r="AJ496" i="1"/>
  <c r="AJ499" i="1"/>
  <c r="AJ500" i="1"/>
  <c r="AJ501" i="1"/>
  <c r="Z2" i="1"/>
  <c r="AC2" i="1" s="1"/>
  <c r="Z3" i="1"/>
  <c r="AC3" i="1" s="1"/>
  <c r="Z4" i="1"/>
  <c r="Z5" i="1"/>
  <c r="Z6" i="1"/>
  <c r="AC6" i="1" s="1"/>
  <c r="Z7" i="1"/>
  <c r="Z8" i="1"/>
  <c r="AC8" i="1" s="1"/>
  <c r="Z9" i="1"/>
  <c r="Z10" i="1"/>
  <c r="Z11" i="1"/>
  <c r="AC11" i="1" s="1"/>
  <c r="Z12" i="1"/>
  <c r="AC12" i="1" s="1"/>
  <c r="AA12" i="1" s="1"/>
  <c r="AH12" i="1" s="1"/>
  <c r="AI12" i="1" s="1"/>
  <c r="Z13" i="1"/>
  <c r="Z14" i="1"/>
  <c r="AC14" i="1" s="1"/>
  <c r="Z15" i="1"/>
  <c r="Z16" i="1"/>
  <c r="AC16" i="1" s="1"/>
  <c r="Z17" i="1"/>
  <c r="Z18" i="1"/>
  <c r="AC18" i="1" s="1"/>
  <c r="Z19" i="1"/>
  <c r="Z20" i="1"/>
  <c r="Z21" i="1"/>
  <c r="Z22" i="1"/>
  <c r="AC22" i="1" s="1"/>
  <c r="Z23" i="1"/>
  <c r="AC23" i="1" s="1"/>
  <c r="AA23" i="1" s="1"/>
  <c r="AH23" i="1" s="1"/>
  <c r="AI23" i="1" s="1"/>
  <c r="AJ23" i="1" s="1"/>
  <c r="Z24" i="1"/>
  <c r="AC24" i="1" s="1"/>
  <c r="Z25" i="1"/>
  <c r="Z26" i="1"/>
  <c r="Z27" i="1"/>
  <c r="Z28" i="1"/>
  <c r="AC28" i="1" s="1"/>
  <c r="Z29" i="1"/>
  <c r="Z30" i="1"/>
  <c r="AC30" i="1" s="1"/>
  <c r="Z31" i="1"/>
  <c r="Z32" i="1"/>
  <c r="AC32" i="1" s="1"/>
  <c r="AA32" i="1" s="1"/>
  <c r="AH32" i="1" s="1"/>
  <c r="AI32" i="1" s="1"/>
  <c r="Z33" i="1"/>
  <c r="Z34" i="1"/>
  <c r="AC34" i="1" s="1"/>
  <c r="Z35" i="1"/>
  <c r="Z36" i="1"/>
  <c r="Z37" i="1"/>
  <c r="Z38" i="1"/>
  <c r="AC38" i="1" s="1"/>
  <c r="Z39" i="1"/>
  <c r="AC39" i="1" s="1"/>
  <c r="Z40" i="1"/>
  <c r="AC40" i="1" s="1"/>
  <c r="Z41" i="1"/>
  <c r="Z42" i="1"/>
  <c r="Z43" i="1"/>
  <c r="Z44" i="1"/>
  <c r="Z45" i="1"/>
  <c r="Z46" i="1"/>
  <c r="AC46" i="1" s="1"/>
  <c r="Z47" i="1"/>
  <c r="Z48" i="1"/>
  <c r="Z49" i="1"/>
  <c r="Z50" i="1"/>
  <c r="AC50" i="1" s="1"/>
  <c r="Z51" i="1"/>
  <c r="AC51" i="1" s="1"/>
  <c r="Z52" i="1"/>
  <c r="AC52" i="1" s="1"/>
  <c r="Z53" i="1"/>
  <c r="Z54" i="1"/>
  <c r="AC54" i="1" s="1"/>
  <c r="Z55" i="1"/>
  <c r="Z56" i="1"/>
  <c r="AC56" i="1" s="1"/>
  <c r="Z57" i="1"/>
  <c r="Z58" i="1"/>
  <c r="Z59" i="1"/>
  <c r="Z60" i="1"/>
  <c r="AC60" i="1" s="1"/>
  <c r="Z61" i="1"/>
  <c r="Z62" i="1"/>
  <c r="AC62" i="1" s="1"/>
  <c r="Z63" i="1"/>
  <c r="AC63" i="1" s="1"/>
  <c r="Z64" i="1"/>
  <c r="Z65" i="1"/>
  <c r="Z66" i="1"/>
  <c r="AC66" i="1" s="1"/>
  <c r="Z67" i="1"/>
  <c r="AC67" i="1" s="1"/>
  <c r="Z68" i="1"/>
  <c r="Z69" i="1"/>
  <c r="Z70" i="1"/>
  <c r="AC70" i="1" s="1"/>
  <c r="Z71" i="1"/>
  <c r="Z72" i="1"/>
  <c r="AC72" i="1" s="1"/>
  <c r="Z73" i="1"/>
  <c r="Z74" i="1"/>
  <c r="Z75" i="1"/>
  <c r="Z76" i="1"/>
  <c r="AC76" i="1" s="1"/>
  <c r="AA76" i="1" s="1"/>
  <c r="AH76" i="1" s="1"/>
  <c r="AI76" i="1" s="1"/>
  <c r="AJ76" i="1" s="1"/>
  <c r="Z77" i="1"/>
  <c r="Z78" i="1"/>
  <c r="AC78" i="1" s="1"/>
  <c r="Z79" i="1"/>
  <c r="Z80" i="1"/>
  <c r="AC80" i="1" s="1"/>
  <c r="Z81" i="1"/>
  <c r="Z82" i="1"/>
  <c r="AC82" i="1" s="1"/>
  <c r="Z83" i="1"/>
  <c r="Z84" i="1"/>
  <c r="Z85" i="1"/>
  <c r="Z86" i="1"/>
  <c r="AC86" i="1" s="1"/>
  <c r="Z87" i="1"/>
  <c r="Z88" i="1"/>
  <c r="AC88" i="1" s="1"/>
  <c r="Z89" i="1"/>
  <c r="Z90" i="1"/>
  <c r="Z91" i="1"/>
  <c r="Z92" i="1"/>
  <c r="AC92" i="1" s="1"/>
  <c r="Z93" i="1"/>
  <c r="Z94" i="1"/>
  <c r="AC94" i="1" s="1"/>
  <c r="Z95" i="1"/>
  <c r="Z96" i="1"/>
  <c r="AC96" i="1" s="1"/>
  <c r="AA96" i="1" s="1"/>
  <c r="AH96" i="1" s="1"/>
  <c r="AI96" i="1" s="1"/>
  <c r="Z97" i="1"/>
  <c r="Z98" i="1"/>
  <c r="AC98" i="1" s="1"/>
  <c r="Z99" i="1"/>
  <c r="Z100" i="1"/>
  <c r="Z101" i="1"/>
  <c r="Z102" i="1"/>
  <c r="AC102" i="1" s="1"/>
  <c r="Z103" i="1"/>
  <c r="Z104" i="1"/>
  <c r="AC104" i="1" s="1"/>
  <c r="AA104" i="1" s="1"/>
  <c r="AH104" i="1" s="1"/>
  <c r="AI104" i="1" s="1"/>
  <c r="Z105" i="1"/>
  <c r="Z106" i="1"/>
  <c r="Z107" i="1"/>
  <c r="Z108" i="1"/>
  <c r="AC108" i="1" s="1"/>
  <c r="AA108" i="1" s="1"/>
  <c r="AH108" i="1" s="1"/>
  <c r="AI108" i="1" s="1"/>
  <c r="AJ108" i="1" s="1"/>
  <c r="Z109" i="1"/>
  <c r="Z110" i="1"/>
  <c r="AC110" i="1" s="1"/>
  <c r="Z111" i="1"/>
  <c r="Z112" i="1"/>
  <c r="Z113" i="1"/>
  <c r="Z114" i="1"/>
  <c r="AC114" i="1" s="1"/>
  <c r="Z115" i="1"/>
  <c r="Z116" i="1"/>
  <c r="AC116" i="1" s="1"/>
  <c r="Z117" i="1"/>
  <c r="Z118" i="1"/>
  <c r="AC118" i="1" s="1"/>
  <c r="Z119" i="1"/>
  <c r="Z120" i="1"/>
  <c r="AC120" i="1" s="1"/>
  <c r="Z121" i="1"/>
  <c r="Z122" i="1"/>
  <c r="Z123" i="1"/>
  <c r="AC123" i="1" s="1"/>
  <c r="Z124" i="1"/>
  <c r="AC124" i="1" s="1"/>
  <c r="Z125" i="1"/>
  <c r="Z126" i="1"/>
  <c r="AC126" i="1" s="1"/>
  <c r="Z127" i="1"/>
  <c r="AC127" i="1" s="1"/>
  <c r="Z128" i="1"/>
  <c r="Z129" i="1"/>
  <c r="Z130" i="1"/>
  <c r="AC130" i="1" s="1"/>
  <c r="Z131" i="1"/>
  <c r="Z132" i="1"/>
  <c r="Z133" i="1"/>
  <c r="Z134" i="1"/>
  <c r="AC134" i="1" s="1"/>
  <c r="Z135" i="1"/>
  <c r="Z136" i="1"/>
  <c r="AC136" i="1" s="1"/>
  <c r="Z137" i="1"/>
  <c r="Z138" i="1"/>
  <c r="Z139" i="1"/>
  <c r="AC139" i="1" s="1"/>
  <c r="Z140" i="1"/>
  <c r="AC140" i="1" s="1"/>
  <c r="AA140" i="1" s="1"/>
  <c r="AH140" i="1" s="1"/>
  <c r="AI140" i="1" s="1"/>
  <c r="Z141" i="1"/>
  <c r="Z142" i="1"/>
  <c r="AC142" i="1" s="1"/>
  <c r="Z143" i="1"/>
  <c r="Z144" i="1"/>
  <c r="AC144" i="1" s="1"/>
  <c r="Z145" i="1"/>
  <c r="Z146" i="1"/>
  <c r="AC146" i="1" s="1"/>
  <c r="Z147" i="1"/>
  <c r="Z148" i="1"/>
  <c r="Z149" i="1"/>
  <c r="Z150" i="1"/>
  <c r="AC150" i="1" s="1"/>
  <c r="Z151" i="1"/>
  <c r="AC151" i="1" s="1"/>
  <c r="Z152" i="1"/>
  <c r="AC152" i="1" s="1"/>
  <c r="Z153" i="1"/>
  <c r="Z154" i="1"/>
  <c r="Z155" i="1"/>
  <c r="Z156" i="1"/>
  <c r="AC156" i="1" s="1"/>
  <c r="Z157" i="1"/>
  <c r="Z158" i="1"/>
  <c r="AC158" i="1" s="1"/>
  <c r="Z159" i="1"/>
  <c r="Z160" i="1"/>
  <c r="AC160" i="1" s="1"/>
  <c r="AA160" i="1" s="1"/>
  <c r="AH160" i="1" s="1"/>
  <c r="AI160" i="1" s="1"/>
  <c r="AJ160" i="1" s="1"/>
  <c r="Z161" i="1"/>
  <c r="Z162" i="1"/>
  <c r="AC162" i="1" s="1"/>
  <c r="Z163" i="1"/>
  <c r="Z164" i="1"/>
  <c r="Z165" i="1"/>
  <c r="Z166" i="1"/>
  <c r="AC166" i="1" s="1"/>
  <c r="Z167" i="1"/>
  <c r="AC167" i="1" s="1"/>
  <c r="Z168" i="1"/>
  <c r="AC168" i="1" s="1"/>
  <c r="Z169" i="1"/>
  <c r="Z170" i="1"/>
  <c r="Z171" i="1"/>
  <c r="Z172" i="1"/>
  <c r="AC172" i="1" s="1"/>
  <c r="Z173" i="1"/>
  <c r="Z174" i="1"/>
  <c r="AC174" i="1" s="1"/>
  <c r="Z175" i="1"/>
  <c r="Z176" i="1"/>
  <c r="Z177" i="1"/>
  <c r="Z178" i="1"/>
  <c r="AC178" i="1" s="1"/>
  <c r="Z179" i="1"/>
  <c r="AC179" i="1" s="1"/>
  <c r="Z180" i="1"/>
  <c r="AC180" i="1" s="1"/>
  <c r="Z181" i="1"/>
  <c r="Z182" i="1"/>
  <c r="AC182" i="1" s="1"/>
  <c r="Z183" i="1"/>
  <c r="Z184" i="1"/>
  <c r="AC184" i="1" s="1"/>
  <c r="Z185" i="1"/>
  <c r="Z186" i="1"/>
  <c r="Z187" i="1"/>
  <c r="AC187" i="1" s="1"/>
  <c r="Z188" i="1"/>
  <c r="AC188" i="1" s="1"/>
  <c r="Z189" i="1"/>
  <c r="Z190" i="1"/>
  <c r="AC190" i="1" s="1"/>
  <c r="Z191" i="1"/>
  <c r="AC191" i="1" s="1"/>
  <c r="Z192" i="1"/>
  <c r="AC192" i="1" s="1"/>
  <c r="Z193" i="1"/>
  <c r="Z194" i="1"/>
  <c r="AC194" i="1" s="1"/>
  <c r="Z195" i="1"/>
  <c r="AC195" i="1" s="1"/>
  <c r="Z196" i="1"/>
  <c r="Z197" i="1"/>
  <c r="Z198" i="1"/>
  <c r="AC198" i="1" s="1"/>
  <c r="Z199" i="1"/>
  <c r="Z200" i="1"/>
  <c r="AC200" i="1" s="1"/>
  <c r="Z201" i="1"/>
  <c r="Z202" i="1"/>
  <c r="Z203" i="1"/>
  <c r="AC203" i="1" s="1"/>
  <c r="Z204" i="1"/>
  <c r="AC204" i="1" s="1"/>
  <c r="AA204" i="1" s="1"/>
  <c r="AH204" i="1" s="1"/>
  <c r="AI204" i="1" s="1"/>
  <c r="Z205" i="1"/>
  <c r="Z206" i="1"/>
  <c r="AC206" i="1" s="1"/>
  <c r="Z207" i="1"/>
  <c r="Z208" i="1"/>
  <c r="AC208" i="1" s="1"/>
  <c r="Z209" i="1"/>
  <c r="Z210" i="1"/>
  <c r="AC210" i="1" s="1"/>
  <c r="Z211" i="1"/>
  <c r="Z212" i="1"/>
  <c r="Z213" i="1"/>
  <c r="Z214" i="1"/>
  <c r="AC214" i="1" s="1"/>
  <c r="Z215" i="1"/>
  <c r="AC215" i="1" s="1"/>
  <c r="AA215" i="1" s="1"/>
  <c r="AH215" i="1" s="1"/>
  <c r="AI215" i="1" s="1"/>
  <c r="Z216" i="1"/>
  <c r="AC216" i="1" s="1"/>
  <c r="Z217" i="1"/>
  <c r="Z218" i="1"/>
  <c r="Z219" i="1"/>
  <c r="Z220" i="1"/>
  <c r="AC220" i="1" s="1"/>
  <c r="Z221" i="1"/>
  <c r="Z222" i="1"/>
  <c r="AC222" i="1" s="1"/>
  <c r="AA222" i="1" s="1"/>
  <c r="AH222" i="1" s="1"/>
  <c r="AI222" i="1" s="1"/>
  <c r="AJ222" i="1" s="1"/>
  <c r="Z223" i="1"/>
  <c r="Z224" i="1"/>
  <c r="AC224" i="1" s="1"/>
  <c r="Z225" i="1"/>
  <c r="Z226" i="1"/>
  <c r="Z227" i="1"/>
  <c r="Z228" i="1"/>
  <c r="AC228" i="1" s="1"/>
  <c r="Z229" i="1"/>
  <c r="Z230" i="1"/>
  <c r="AC230" i="1" s="1"/>
  <c r="Z231" i="1"/>
  <c r="Z232" i="1"/>
  <c r="Z233" i="1"/>
  <c r="Z234" i="1"/>
  <c r="AC234" i="1" s="1"/>
  <c r="AA234" i="1" s="1"/>
  <c r="AH234" i="1" s="1"/>
  <c r="AI234" i="1" s="1"/>
  <c r="AJ234" i="1" s="1"/>
  <c r="Z235" i="1"/>
  <c r="Z236" i="1"/>
  <c r="AC236" i="1" s="1"/>
  <c r="Z237" i="1"/>
  <c r="Z238" i="1"/>
  <c r="AC238" i="1" s="1"/>
  <c r="AA238" i="1" s="1"/>
  <c r="AH238" i="1" s="1"/>
  <c r="AI238" i="1" s="1"/>
  <c r="AJ238" i="1" s="1"/>
  <c r="Z239" i="1"/>
  <c r="Z240" i="1"/>
  <c r="Z241" i="1"/>
  <c r="Z242" i="1"/>
  <c r="AC242" i="1" s="1"/>
  <c r="AA242" i="1" s="1"/>
  <c r="AH242" i="1" s="1"/>
  <c r="AI242" i="1" s="1"/>
  <c r="AJ242" i="1" s="1"/>
  <c r="Z243" i="1"/>
  <c r="AC243" i="1" s="1"/>
  <c r="AA243" i="1" s="1"/>
  <c r="AH243" i="1" s="1"/>
  <c r="AI243" i="1" s="1"/>
  <c r="AJ243" i="1" s="1"/>
  <c r="Z244" i="1"/>
  <c r="AC244" i="1" s="1"/>
  <c r="Z245" i="1"/>
  <c r="Z246" i="1"/>
  <c r="AC246" i="1" s="1"/>
  <c r="Z247" i="1"/>
  <c r="Z248" i="1"/>
  <c r="AC248" i="1" s="1"/>
  <c r="Z249" i="1"/>
  <c r="Z250" i="1"/>
  <c r="AC250" i="1" s="1"/>
  <c r="AA250" i="1" s="1"/>
  <c r="AH250" i="1" s="1"/>
  <c r="AI250" i="1" s="1"/>
  <c r="AJ250" i="1" s="1"/>
  <c r="Z251" i="1"/>
  <c r="AC251" i="1" s="1"/>
  <c r="Z252" i="1"/>
  <c r="AC252" i="1" s="1"/>
  <c r="AA252" i="1" s="1"/>
  <c r="AH252" i="1" s="1"/>
  <c r="AI252" i="1" s="1"/>
  <c r="AJ252" i="1" s="1"/>
  <c r="Z253" i="1"/>
  <c r="Z254" i="1"/>
  <c r="Z255" i="1"/>
  <c r="Z256" i="1"/>
  <c r="AC256" i="1" s="1"/>
  <c r="Z257" i="1"/>
  <c r="Z258" i="1"/>
  <c r="AC258" i="1" s="1"/>
  <c r="AA258" i="1" s="1"/>
  <c r="AH258" i="1" s="1"/>
  <c r="AI258" i="1" s="1"/>
  <c r="AJ258" i="1" s="1"/>
  <c r="Z259" i="1"/>
  <c r="Z260" i="1"/>
  <c r="Z261" i="1"/>
  <c r="Z262" i="1"/>
  <c r="AC262" i="1" s="1"/>
  <c r="Z263" i="1"/>
  <c r="Z264" i="1"/>
  <c r="Z265" i="1"/>
  <c r="Z266" i="1"/>
  <c r="AC266" i="1" s="1"/>
  <c r="AA266" i="1" s="1"/>
  <c r="AH266" i="1" s="1"/>
  <c r="AI266" i="1" s="1"/>
  <c r="Z267" i="1"/>
  <c r="AC267" i="1" s="1"/>
  <c r="Z268" i="1"/>
  <c r="Z269" i="1"/>
  <c r="Z270" i="1"/>
  <c r="AC270" i="1" s="1"/>
  <c r="AA270" i="1" s="1"/>
  <c r="AH270" i="1" s="1"/>
  <c r="AI270" i="1" s="1"/>
  <c r="AJ270" i="1" s="1"/>
  <c r="Z271" i="1"/>
  <c r="Z272" i="1"/>
  <c r="AC272" i="1" s="1"/>
  <c r="Z273" i="1"/>
  <c r="Z274" i="1"/>
  <c r="Z275" i="1"/>
  <c r="Z276" i="1"/>
  <c r="Z277" i="1"/>
  <c r="Z278" i="1"/>
  <c r="AC278" i="1" s="1"/>
  <c r="Z279" i="1"/>
  <c r="AC279" i="1" s="1"/>
  <c r="Z280" i="1"/>
  <c r="AC280" i="1" s="1"/>
  <c r="AA280" i="1" s="1"/>
  <c r="AH280" i="1" s="1"/>
  <c r="AI280" i="1" s="1"/>
  <c r="Z281" i="1"/>
  <c r="Z282" i="1"/>
  <c r="Z283" i="1"/>
  <c r="Z284" i="1"/>
  <c r="AC284" i="1" s="1"/>
  <c r="Z285" i="1"/>
  <c r="Z286" i="1"/>
  <c r="AC286" i="1" s="1"/>
  <c r="AA286" i="1" s="1"/>
  <c r="AH286" i="1" s="1"/>
  <c r="AI286" i="1" s="1"/>
  <c r="AJ286" i="1" s="1"/>
  <c r="Z287" i="1"/>
  <c r="AC287" i="1" s="1"/>
  <c r="Z288" i="1"/>
  <c r="AC288" i="1" s="1"/>
  <c r="Z289" i="1"/>
  <c r="Z290" i="1"/>
  <c r="AC290" i="1" s="1"/>
  <c r="Z291" i="1"/>
  <c r="Z292" i="1"/>
  <c r="AC292" i="1" s="1"/>
  <c r="Z293" i="1"/>
  <c r="Z294" i="1"/>
  <c r="AC294" i="1" s="1"/>
  <c r="Z295" i="1"/>
  <c r="AC295" i="1" s="1"/>
  <c r="Z296" i="1"/>
  <c r="Z297" i="1"/>
  <c r="Z298" i="1"/>
  <c r="AC298" i="1" s="1"/>
  <c r="AA298" i="1" s="1"/>
  <c r="Z299" i="1"/>
  <c r="Z300" i="1"/>
  <c r="AC300" i="1" s="1"/>
  <c r="AA300" i="1" s="1"/>
  <c r="AH300" i="1" s="1"/>
  <c r="AI300" i="1" s="1"/>
  <c r="AJ300" i="1" s="1"/>
  <c r="Z301" i="1"/>
  <c r="Z302" i="1"/>
  <c r="AC302" i="1" s="1"/>
  <c r="AA302" i="1" s="1"/>
  <c r="Z303" i="1"/>
  <c r="Z304" i="1"/>
  <c r="Z305" i="1"/>
  <c r="Z306" i="1"/>
  <c r="AC306" i="1" s="1"/>
  <c r="AA306" i="1" s="1"/>
  <c r="AH306" i="1" s="1"/>
  <c r="AI306" i="1" s="1"/>
  <c r="AJ306" i="1" s="1"/>
  <c r="Z307" i="1"/>
  <c r="AC307" i="1" s="1"/>
  <c r="Z308" i="1"/>
  <c r="AC308" i="1" s="1"/>
  <c r="Z309" i="1"/>
  <c r="Z310" i="1"/>
  <c r="Z311" i="1"/>
  <c r="Z312" i="1"/>
  <c r="AC312" i="1" s="1"/>
  <c r="Z313" i="1"/>
  <c r="Z314" i="1"/>
  <c r="AB314" i="1" s="1"/>
  <c r="Z315" i="1"/>
  <c r="Z316" i="1"/>
  <c r="AC316" i="1" s="1"/>
  <c r="Z317" i="1"/>
  <c r="Z318" i="1"/>
  <c r="AC318" i="1" s="1"/>
  <c r="Z319" i="1"/>
  <c r="Z320" i="1"/>
  <c r="AC320" i="1" s="1"/>
  <c r="Z321" i="1"/>
  <c r="Z322" i="1"/>
  <c r="AC322" i="1" s="1"/>
  <c r="AA322" i="1" s="1"/>
  <c r="Z323" i="1"/>
  <c r="Z324" i="1"/>
  <c r="Z325" i="1"/>
  <c r="Z326" i="1"/>
  <c r="AC326" i="1" s="1"/>
  <c r="Z327" i="1"/>
  <c r="Z328" i="1"/>
  <c r="AC328" i="1" s="1"/>
  <c r="AA328" i="1" s="1"/>
  <c r="AH328" i="1" s="1"/>
  <c r="AI328" i="1" s="1"/>
  <c r="Z329" i="1"/>
  <c r="Z330" i="1"/>
  <c r="Z331" i="1"/>
  <c r="Z332" i="1"/>
  <c r="AC332" i="1" s="1"/>
  <c r="Z333" i="1"/>
  <c r="Z334" i="1"/>
  <c r="AC334" i="1" s="1"/>
  <c r="AA334" i="1" s="1"/>
  <c r="Z335" i="1"/>
  <c r="Z336" i="1"/>
  <c r="AC336" i="1" s="1"/>
  <c r="Z337" i="1"/>
  <c r="Z338" i="1"/>
  <c r="AC338" i="1" s="1"/>
  <c r="AA338" i="1" s="1"/>
  <c r="AH338" i="1" s="1"/>
  <c r="AI338" i="1" s="1"/>
  <c r="AJ338" i="1" s="1"/>
  <c r="Z339" i="1"/>
  <c r="Z340" i="1"/>
  <c r="Z341" i="1"/>
  <c r="Z342" i="1"/>
  <c r="AC342" i="1" s="1"/>
  <c r="AA342" i="1" s="1"/>
  <c r="AH342" i="1" s="1"/>
  <c r="AI342" i="1" s="1"/>
  <c r="AJ342" i="1" s="1"/>
  <c r="Z343" i="1"/>
  <c r="Z344" i="1"/>
  <c r="AC344" i="1" s="1"/>
  <c r="Z345" i="1"/>
  <c r="Z346" i="1"/>
  <c r="AC346" i="1" s="1"/>
  <c r="AA346" i="1" s="1"/>
  <c r="AD346" i="1" s="1"/>
  <c r="AE346" i="1" s="1"/>
  <c r="Z347" i="1"/>
  <c r="Z348" i="1"/>
  <c r="AC348" i="1" s="1"/>
  <c r="AA348" i="1" s="1"/>
  <c r="AH348" i="1" s="1"/>
  <c r="AI348" i="1" s="1"/>
  <c r="AJ348" i="1" s="1"/>
  <c r="Z349" i="1"/>
  <c r="AC349" i="1" s="1"/>
  <c r="Z350" i="1"/>
  <c r="Z351" i="1"/>
  <c r="Z352" i="1"/>
  <c r="AC352" i="1" s="1"/>
  <c r="AA352" i="1" s="1"/>
  <c r="AH352" i="1" s="1"/>
  <c r="AI352" i="1" s="1"/>
  <c r="AJ352" i="1" s="1"/>
  <c r="Z353" i="1"/>
  <c r="Z354" i="1"/>
  <c r="AC354" i="1" s="1"/>
  <c r="AA354" i="1" s="1"/>
  <c r="AH354" i="1" s="1"/>
  <c r="AI354" i="1" s="1"/>
  <c r="AJ354" i="1" s="1"/>
  <c r="Z355" i="1"/>
  <c r="Z356" i="1"/>
  <c r="Z357" i="1"/>
  <c r="Z358" i="1"/>
  <c r="AB358" i="1" s="1"/>
  <c r="Z359" i="1"/>
  <c r="Z360" i="1"/>
  <c r="AC360" i="1" s="1"/>
  <c r="Z361" i="1"/>
  <c r="Z362" i="1"/>
  <c r="AC362" i="1" s="1"/>
  <c r="AA362" i="1" s="1"/>
  <c r="AD362" i="1" s="1"/>
  <c r="AE362" i="1" s="1"/>
  <c r="Z363" i="1"/>
  <c r="AC363" i="1" s="1"/>
  <c r="Z364" i="1"/>
  <c r="AC364" i="1" s="1"/>
  <c r="AA364" i="1" s="1"/>
  <c r="AH364" i="1" s="1"/>
  <c r="AI364" i="1" s="1"/>
  <c r="AJ364" i="1" s="1"/>
  <c r="Z365" i="1"/>
  <c r="Z366" i="1"/>
  <c r="AC366" i="1" s="1"/>
  <c r="Z367" i="1"/>
  <c r="Z368" i="1"/>
  <c r="Z369" i="1"/>
  <c r="AC369" i="1" s="1"/>
  <c r="Z370" i="1"/>
  <c r="AC370" i="1" s="1"/>
  <c r="AA370" i="1" s="1"/>
  <c r="AH370" i="1" s="1"/>
  <c r="AI370" i="1" s="1"/>
  <c r="AJ370" i="1" s="1"/>
  <c r="Z371" i="1"/>
  <c r="Z372" i="1"/>
  <c r="Z373" i="1"/>
  <c r="Z374" i="1"/>
  <c r="Z375" i="1"/>
  <c r="AC375" i="1" s="1"/>
  <c r="Z376" i="1"/>
  <c r="AC376" i="1" s="1"/>
  <c r="Z377" i="1"/>
  <c r="Z378" i="1"/>
  <c r="Z379" i="1"/>
  <c r="Z380" i="1"/>
  <c r="AC380" i="1" s="1"/>
  <c r="AA380" i="1" s="1"/>
  <c r="AH380" i="1" s="1"/>
  <c r="AI380" i="1" s="1"/>
  <c r="Z381" i="1"/>
  <c r="Z382" i="1"/>
  <c r="Z383" i="1"/>
  <c r="Z384" i="1"/>
  <c r="Z385" i="1"/>
  <c r="Z386" i="1"/>
  <c r="Z387" i="1"/>
  <c r="Z388" i="1"/>
  <c r="Z389" i="1"/>
  <c r="Z390" i="1"/>
  <c r="AC390" i="1" s="1"/>
  <c r="AA390" i="1" s="1"/>
  <c r="AH390" i="1" s="1"/>
  <c r="AI390" i="1" s="1"/>
  <c r="AJ390" i="1" s="1"/>
  <c r="Z391" i="1"/>
  <c r="Z392" i="1"/>
  <c r="AC392" i="1" s="1"/>
  <c r="Z393" i="1"/>
  <c r="Z394" i="1"/>
  <c r="AC394" i="1" s="1"/>
  <c r="AA394" i="1" s="1"/>
  <c r="AD394" i="1" s="1"/>
  <c r="AE394" i="1" s="1"/>
  <c r="Z395" i="1"/>
  <c r="Z396" i="1"/>
  <c r="AC396" i="1" s="1"/>
  <c r="AA396" i="1" s="1"/>
  <c r="AH396" i="1" s="1"/>
  <c r="AI396" i="1" s="1"/>
  <c r="AJ396" i="1" s="1"/>
  <c r="Z397" i="1"/>
  <c r="Z398" i="1"/>
  <c r="AC398" i="1" s="1"/>
  <c r="Z399" i="1"/>
  <c r="Z400" i="1"/>
  <c r="AC400" i="1" s="1"/>
  <c r="Z401" i="1"/>
  <c r="Z402" i="1"/>
  <c r="AC402" i="1" s="1"/>
  <c r="AA402" i="1" s="1"/>
  <c r="AH402" i="1" s="1"/>
  <c r="AI402" i="1" s="1"/>
  <c r="AJ402" i="1" s="1"/>
  <c r="Z403" i="1"/>
  <c r="Z404" i="1"/>
  <c r="Z405" i="1"/>
  <c r="Z406" i="1"/>
  <c r="AC406" i="1" s="1"/>
  <c r="AA406" i="1" s="1"/>
  <c r="AH406" i="1" s="1"/>
  <c r="AI406" i="1" s="1"/>
  <c r="AJ406" i="1" s="1"/>
  <c r="Z407" i="1"/>
  <c r="Z408" i="1"/>
  <c r="AC408" i="1" s="1"/>
  <c r="Z409" i="1"/>
  <c r="Z410" i="1"/>
  <c r="AB410" i="1" s="1"/>
  <c r="Z411" i="1"/>
  <c r="Z412" i="1"/>
  <c r="AC412" i="1" s="1"/>
  <c r="AA412" i="1" s="1"/>
  <c r="AH412" i="1" s="1"/>
  <c r="AI412" i="1" s="1"/>
  <c r="Z413" i="1"/>
  <c r="AC413" i="1" s="1"/>
  <c r="Z414" i="1"/>
  <c r="Z415" i="1"/>
  <c r="Z416" i="1"/>
  <c r="AC416" i="1" s="1"/>
  <c r="Z417" i="1"/>
  <c r="Z418" i="1"/>
  <c r="AC418" i="1" s="1"/>
  <c r="AA418" i="1" s="1"/>
  <c r="AH418" i="1" s="1"/>
  <c r="AI418" i="1" s="1"/>
  <c r="AJ418" i="1" s="1"/>
  <c r="Z419" i="1"/>
  <c r="Z420" i="1"/>
  <c r="Z421" i="1"/>
  <c r="Z422" i="1"/>
  <c r="AC422" i="1" s="1"/>
  <c r="AA422" i="1" s="1"/>
  <c r="AH422" i="1" s="1"/>
  <c r="AI422" i="1" s="1"/>
  <c r="AJ422" i="1" s="1"/>
  <c r="Z423" i="1"/>
  <c r="Z424" i="1"/>
  <c r="AC424" i="1" s="1"/>
  <c r="Z425" i="1"/>
  <c r="Z426" i="1"/>
  <c r="AC426" i="1" s="1"/>
  <c r="AA426" i="1" s="1"/>
  <c r="AD426" i="1" s="1"/>
  <c r="AE426" i="1" s="1"/>
  <c r="Z427" i="1"/>
  <c r="AC427" i="1" s="1"/>
  <c r="Z428" i="1"/>
  <c r="AC428" i="1" s="1"/>
  <c r="AA428" i="1" s="1"/>
  <c r="AH428" i="1" s="1"/>
  <c r="AI428" i="1" s="1"/>
  <c r="AJ428" i="1" s="1"/>
  <c r="Z429" i="1"/>
  <c r="Z430" i="1"/>
  <c r="AC430" i="1" s="1"/>
  <c r="Z431" i="1"/>
  <c r="Z432" i="1"/>
  <c r="AC432" i="1" s="1"/>
  <c r="Z433" i="1"/>
  <c r="AC433" i="1" s="1"/>
  <c r="Z434" i="1"/>
  <c r="Z435" i="1"/>
  <c r="Z436" i="1"/>
  <c r="Z437" i="1"/>
  <c r="Z438" i="1"/>
  <c r="Z439" i="1"/>
  <c r="AC439" i="1" s="1"/>
  <c r="Z440" i="1"/>
  <c r="AC440" i="1" s="1"/>
  <c r="Z441" i="1"/>
  <c r="Z442" i="1"/>
  <c r="AB442" i="1" s="1"/>
  <c r="Z443" i="1"/>
  <c r="Z444" i="1"/>
  <c r="AC444" i="1" s="1"/>
  <c r="AA444" i="1" s="1"/>
  <c r="AH444" i="1" s="1"/>
  <c r="AI444" i="1" s="1"/>
  <c r="AJ444" i="1" s="1"/>
  <c r="Z445" i="1"/>
  <c r="Z446" i="1"/>
  <c r="Z447" i="1"/>
  <c r="Z448" i="1"/>
  <c r="AC448" i="1" s="1"/>
  <c r="AA448" i="1" s="1"/>
  <c r="AH448" i="1" s="1"/>
  <c r="AI448" i="1" s="1"/>
  <c r="AJ448" i="1" s="1"/>
  <c r="Z449" i="1"/>
  <c r="Z450" i="1"/>
  <c r="AC450" i="1" s="1"/>
  <c r="Z451" i="1"/>
  <c r="Z452" i="1"/>
  <c r="Z453" i="1"/>
  <c r="Z454" i="1"/>
  <c r="AC454" i="1" s="1"/>
  <c r="AA454" i="1" s="1"/>
  <c r="AH454" i="1" s="1"/>
  <c r="AI454" i="1" s="1"/>
  <c r="Z455" i="1"/>
  <c r="Z456" i="1"/>
  <c r="AC456" i="1" s="1"/>
  <c r="Z457" i="1"/>
  <c r="Z458" i="1"/>
  <c r="AC458" i="1" s="1"/>
  <c r="AA458" i="1" s="1"/>
  <c r="AD458" i="1" s="1"/>
  <c r="AE458" i="1" s="1"/>
  <c r="Z459" i="1"/>
  <c r="Z460" i="1"/>
  <c r="AC460" i="1" s="1"/>
  <c r="AA460" i="1" s="1"/>
  <c r="AH460" i="1" s="1"/>
  <c r="AI460" i="1" s="1"/>
  <c r="Z461" i="1"/>
  <c r="AC461" i="1" s="1"/>
  <c r="Z462" i="1"/>
  <c r="AC462" i="1" s="1"/>
  <c r="Z463" i="1"/>
  <c r="Z464" i="1"/>
  <c r="AC464" i="1" s="1"/>
  <c r="Z465" i="1"/>
  <c r="AC465" i="1" s="1"/>
  <c r="Z466" i="1"/>
  <c r="Z467" i="1"/>
  <c r="Z468" i="1"/>
  <c r="Z469" i="1"/>
  <c r="Z470" i="1"/>
  <c r="AC470" i="1" s="1"/>
  <c r="AA470" i="1" s="1"/>
  <c r="AH470" i="1" s="1"/>
  <c r="AI470" i="1" s="1"/>
  <c r="AJ470" i="1" s="1"/>
  <c r="Z471" i="1"/>
  <c r="Z472" i="1"/>
  <c r="AC472" i="1" s="1"/>
  <c r="Z473" i="1"/>
  <c r="Z474" i="1"/>
  <c r="Z475" i="1"/>
  <c r="Z476" i="1"/>
  <c r="AC476" i="1" s="1"/>
  <c r="AA476" i="1" s="1"/>
  <c r="AH476" i="1" s="1"/>
  <c r="AI476" i="1" s="1"/>
  <c r="Z477" i="1"/>
  <c r="AC477" i="1" s="1"/>
  <c r="Z478" i="1"/>
  <c r="AB478" i="1" s="1"/>
  <c r="Z479" i="1"/>
  <c r="Z480" i="1"/>
  <c r="AC480" i="1" s="1"/>
  <c r="AA480" i="1" s="1"/>
  <c r="AH480" i="1" s="1"/>
  <c r="AI480" i="1" s="1"/>
  <c r="AJ480" i="1" s="1"/>
  <c r="Z481" i="1"/>
  <c r="Z482" i="1"/>
  <c r="AC482" i="1" s="1"/>
  <c r="AA482" i="1" s="1"/>
  <c r="AH482" i="1" s="1"/>
  <c r="AI482" i="1" s="1"/>
  <c r="Z483" i="1"/>
  <c r="Z484" i="1"/>
  <c r="Z485" i="1"/>
  <c r="Z486" i="1"/>
  <c r="AC486" i="1" s="1"/>
  <c r="AA486" i="1" s="1"/>
  <c r="AH486" i="1" s="1"/>
  <c r="AI486" i="1" s="1"/>
  <c r="AJ486" i="1" s="1"/>
  <c r="Z487" i="1"/>
  <c r="AC487" i="1" s="1"/>
  <c r="Z488" i="1"/>
  <c r="AC488" i="1" s="1"/>
  <c r="Z489" i="1"/>
  <c r="Z490" i="1"/>
  <c r="AC490" i="1" s="1"/>
  <c r="Z491" i="1"/>
  <c r="Z492" i="1"/>
  <c r="AC492" i="1" s="1"/>
  <c r="AA492" i="1" s="1"/>
  <c r="AH492" i="1" s="1"/>
  <c r="AI492" i="1" s="1"/>
  <c r="Z493" i="1"/>
  <c r="Z494" i="1"/>
  <c r="AB494" i="1" s="1"/>
  <c r="Z495" i="1"/>
  <c r="Z496" i="1"/>
  <c r="Z497" i="1"/>
  <c r="AC497" i="1" s="1"/>
  <c r="Z498" i="1"/>
  <c r="AB498" i="1" s="1"/>
  <c r="Z499" i="1"/>
  <c r="Z500" i="1"/>
  <c r="AC500" i="1" s="1"/>
  <c r="AA500" i="1" s="1"/>
  <c r="AH500" i="1" s="1"/>
  <c r="AI500" i="1" s="1"/>
  <c r="Z501" i="1"/>
  <c r="U2" i="1"/>
  <c r="AK2" i="1" s="1"/>
  <c r="U3" i="1"/>
  <c r="AK3" i="1" s="1"/>
  <c r="U4" i="1"/>
  <c r="U5" i="1"/>
  <c r="U6" i="1"/>
  <c r="AK6" i="1" s="1"/>
  <c r="U7" i="1"/>
  <c r="AF7" i="1" s="1"/>
  <c r="U8" i="1"/>
  <c r="AK8" i="1" s="1"/>
  <c r="U9" i="1"/>
  <c r="U10" i="1"/>
  <c r="U11" i="1"/>
  <c r="U12" i="1"/>
  <c r="AK12" i="1" s="1"/>
  <c r="U13" i="1"/>
  <c r="U14" i="1"/>
  <c r="AK14" i="1" s="1"/>
  <c r="U15" i="1"/>
  <c r="AK15" i="1" s="1"/>
  <c r="U16" i="1"/>
  <c r="U17" i="1"/>
  <c r="AK17" i="1" s="1"/>
  <c r="U18" i="1"/>
  <c r="AK18" i="1" s="1"/>
  <c r="U19" i="1"/>
  <c r="AK19" i="1" s="1"/>
  <c r="U20" i="1"/>
  <c r="AK20" i="1" s="1"/>
  <c r="U21" i="1"/>
  <c r="U22" i="1"/>
  <c r="AK22" i="1" s="1"/>
  <c r="U23" i="1"/>
  <c r="U24" i="1"/>
  <c r="AK24" i="1" s="1"/>
  <c r="U25" i="1"/>
  <c r="AK25" i="1" s="1"/>
  <c r="U26" i="1"/>
  <c r="AK26" i="1" s="1"/>
  <c r="U27" i="1"/>
  <c r="AK27" i="1" s="1"/>
  <c r="U28" i="1"/>
  <c r="U29" i="1"/>
  <c r="U30" i="1"/>
  <c r="U31" i="1"/>
  <c r="U32" i="1"/>
  <c r="U33" i="1"/>
  <c r="AF33" i="1" s="1"/>
  <c r="U34" i="1"/>
  <c r="AK34" i="1" s="1"/>
  <c r="U35" i="1"/>
  <c r="U36" i="1"/>
  <c r="U37" i="1"/>
  <c r="U38" i="1"/>
  <c r="AK38" i="1" s="1"/>
  <c r="U39" i="1"/>
  <c r="U40" i="1"/>
  <c r="AK40" i="1" s="1"/>
  <c r="U41" i="1"/>
  <c r="AK41" i="1" s="1"/>
  <c r="U42" i="1"/>
  <c r="U43" i="1"/>
  <c r="U44" i="1"/>
  <c r="AF44" i="1" s="1"/>
  <c r="U45" i="1"/>
  <c r="AK45" i="1" s="1"/>
  <c r="U46" i="1"/>
  <c r="AK46" i="1" s="1"/>
  <c r="U47" i="1"/>
  <c r="U48" i="1"/>
  <c r="AK48" i="1" s="1"/>
  <c r="U49" i="1"/>
  <c r="U50" i="1"/>
  <c r="U51" i="1"/>
  <c r="AK51" i="1" s="1"/>
  <c r="U52" i="1"/>
  <c r="AK52" i="1" s="1"/>
  <c r="U53" i="1"/>
  <c r="U54" i="1"/>
  <c r="AK54" i="1" s="1"/>
  <c r="U55" i="1"/>
  <c r="U56" i="1"/>
  <c r="AK56" i="1" s="1"/>
  <c r="U57" i="1"/>
  <c r="AK57" i="1" s="1"/>
  <c r="U58" i="1"/>
  <c r="AK58" i="1" s="1"/>
  <c r="U59" i="1"/>
  <c r="U60" i="1"/>
  <c r="AK60" i="1" s="1"/>
  <c r="U61" i="1"/>
  <c r="AK61" i="1" s="1"/>
  <c r="U62" i="1"/>
  <c r="U63" i="1"/>
  <c r="AK63" i="1" s="1"/>
  <c r="U64" i="1"/>
  <c r="U65" i="1"/>
  <c r="U66" i="1"/>
  <c r="AK66" i="1" s="1"/>
  <c r="U67" i="1"/>
  <c r="AK67" i="1" s="1"/>
  <c r="U68" i="1"/>
  <c r="U69" i="1"/>
  <c r="AK69" i="1" s="1"/>
  <c r="U70" i="1"/>
  <c r="U71" i="1"/>
  <c r="AF71" i="1" s="1"/>
  <c r="U72" i="1"/>
  <c r="U73" i="1"/>
  <c r="AK73" i="1" s="1"/>
  <c r="U74" i="1"/>
  <c r="AK74" i="1" s="1"/>
  <c r="U75" i="1"/>
  <c r="U76" i="1"/>
  <c r="AK76" i="1" s="1"/>
  <c r="U77" i="1"/>
  <c r="U78" i="1"/>
  <c r="U79" i="1"/>
  <c r="AK79" i="1" s="1"/>
  <c r="U80" i="1"/>
  <c r="U81" i="1"/>
  <c r="U82" i="1"/>
  <c r="AK82" i="1" s="1"/>
  <c r="U83" i="1"/>
  <c r="U84" i="1"/>
  <c r="AK84" i="1" s="1"/>
  <c r="U85" i="1"/>
  <c r="AK85" i="1" s="1"/>
  <c r="U86" i="1"/>
  <c r="AK86" i="1" s="1"/>
  <c r="U87" i="1"/>
  <c r="U88" i="1"/>
  <c r="U89" i="1"/>
  <c r="AK89" i="1" s="1"/>
  <c r="U90" i="1"/>
  <c r="U91" i="1"/>
  <c r="AK91" i="1" s="1"/>
  <c r="U92" i="1"/>
  <c r="AK92" i="1" s="1"/>
  <c r="U93" i="1"/>
  <c r="U94" i="1"/>
  <c r="AK94" i="1" s="1"/>
  <c r="U95" i="1"/>
  <c r="U96" i="1"/>
  <c r="AK96" i="1" s="1"/>
  <c r="U97" i="1"/>
  <c r="AK97" i="1" s="1"/>
  <c r="U98" i="1"/>
  <c r="U99" i="1"/>
  <c r="AK99" i="1" s="1"/>
  <c r="U100" i="1"/>
  <c r="AK100" i="1" s="1"/>
  <c r="U101" i="1"/>
  <c r="AK101" i="1" s="1"/>
  <c r="U102" i="1"/>
  <c r="U103" i="1"/>
  <c r="U104" i="1"/>
  <c r="AK104" i="1" s="1"/>
  <c r="U105" i="1"/>
  <c r="AK105" i="1" s="1"/>
  <c r="U106" i="1"/>
  <c r="U107" i="1"/>
  <c r="U108" i="1"/>
  <c r="U109" i="1"/>
  <c r="U110" i="1"/>
  <c r="AK110" i="1" s="1"/>
  <c r="U111" i="1"/>
  <c r="U112" i="1"/>
  <c r="U113" i="1"/>
  <c r="AK113" i="1" s="1"/>
  <c r="U114" i="1"/>
  <c r="AK114" i="1" s="1"/>
  <c r="U115" i="1"/>
  <c r="U116" i="1"/>
  <c r="AK116" i="1" s="1"/>
  <c r="U117" i="1"/>
  <c r="AK117" i="1" s="1"/>
  <c r="U118" i="1"/>
  <c r="AK118" i="1" s="1"/>
  <c r="U119" i="1"/>
  <c r="U120" i="1"/>
  <c r="U121" i="1"/>
  <c r="AK121" i="1" s="1"/>
  <c r="U122" i="1"/>
  <c r="AK122" i="1" s="1"/>
  <c r="U123" i="1"/>
  <c r="AK123" i="1" s="1"/>
  <c r="U124" i="1"/>
  <c r="U125" i="1"/>
  <c r="AK125" i="1" s="1"/>
  <c r="U126" i="1"/>
  <c r="U127" i="1"/>
  <c r="U128" i="1"/>
  <c r="U129" i="1"/>
  <c r="U130" i="1"/>
  <c r="AK130" i="1" s="1"/>
  <c r="U131" i="1"/>
  <c r="U132" i="1"/>
  <c r="U133" i="1"/>
  <c r="U134" i="1"/>
  <c r="AK134" i="1" s="1"/>
  <c r="U135" i="1"/>
  <c r="U136" i="1"/>
  <c r="U137" i="1"/>
  <c r="AK137" i="1" s="1"/>
  <c r="U138" i="1"/>
  <c r="U139" i="1"/>
  <c r="U140" i="1"/>
  <c r="U141" i="1"/>
  <c r="U142" i="1"/>
  <c r="AK142" i="1" s="1"/>
  <c r="U143" i="1"/>
  <c r="AK143" i="1" s="1"/>
  <c r="U144" i="1"/>
  <c r="U145" i="1"/>
  <c r="AK145" i="1" s="1"/>
  <c r="U146" i="1"/>
  <c r="AK146" i="1" s="1"/>
  <c r="U147" i="1"/>
  <c r="AK147" i="1" s="1"/>
  <c r="U148" i="1"/>
  <c r="U149" i="1"/>
  <c r="U150" i="1"/>
  <c r="AK150" i="1" s="1"/>
  <c r="U151" i="1"/>
  <c r="U152" i="1"/>
  <c r="AK152" i="1" s="1"/>
  <c r="U153" i="1"/>
  <c r="AK153" i="1" s="1"/>
  <c r="U154" i="1"/>
  <c r="AK154" i="1" s="1"/>
  <c r="U155" i="1"/>
  <c r="U156" i="1"/>
  <c r="U157" i="1"/>
  <c r="AK157" i="1" s="1"/>
  <c r="U158" i="1"/>
  <c r="U159" i="1"/>
  <c r="AK159" i="1" s="1"/>
  <c r="U160" i="1"/>
  <c r="AK160" i="1" s="1"/>
  <c r="U161" i="1"/>
  <c r="AK161" i="1" s="1"/>
  <c r="U162" i="1"/>
  <c r="U163" i="1"/>
  <c r="AK163" i="1" s="1"/>
  <c r="U164" i="1"/>
  <c r="AK164" i="1" s="1"/>
  <c r="U165" i="1"/>
  <c r="U166" i="1"/>
  <c r="U167" i="1"/>
  <c r="U168" i="1"/>
  <c r="AK168" i="1" s="1"/>
  <c r="U169" i="1"/>
  <c r="AK169" i="1" s="1"/>
  <c r="U170" i="1"/>
  <c r="AK170" i="1" s="1"/>
  <c r="U171" i="1"/>
  <c r="U172" i="1"/>
  <c r="U173" i="1"/>
  <c r="U174" i="1"/>
  <c r="AK174" i="1" s="1"/>
  <c r="U175" i="1"/>
  <c r="AK175" i="1" s="1"/>
  <c r="U176" i="1"/>
  <c r="AK176" i="1" s="1"/>
  <c r="U177" i="1"/>
  <c r="U178" i="1"/>
  <c r="AK178" i="1" s="1"/>
  <c r="U179" i="1"/>
  <c r="AK179" i="1" s="1"/>
  <c r="U180" i="1"/>
  <c r="U181" i="1"/>
  <c r="AK181" i="1" s="1"/>
  <c r="U182" i="1"/>
  <c r="AK182" i="1" s="1"/>
  <c r="U183" i="1"/>
  <c r="U184" i="1"/>
  <c r="AK184" i="1" s="1"/>
  <c r="U185" i="1"/>
  <c r="U186" i="1"/>
  <c r="AK186" i="1" s="1"/>
  <c r="U187" i="1"/>
  <c r="AK187" i="1" s="1"/>
  <c r="U188" i="1"/>
  <c r="AK188" i="1" s="1"/>
  <c r="U189" i="1"/>
  <c r="U190" i="1"/>
  <c r="AK190" i="1" s="1"/>
  <c r="U191" i="1"/>
  <c r="AK191" i="1" s="1"/>
  <c r="U192" i="1"/>
  <c r="AK192" i="1" s="1"/>
  <c r="U193" i="1"/>
  <c r="AK193" i="1" s="1"/>
  <c r="U194" i="1"/>
  <c r="AK194" i="1" s="1"/>
  <c r="U195" i="1"/>
  <c r="U196" i="1"/>
  <c r="AK196" i="1" s="1"/>
  <c r="U197" i="1"/>
  <c r="AK197" i="1" s="1"/>
  <c r="U198" i="1"/>
  <c r="AK198" i="1" s="1"/>
  <c r="U199" i="1"/>
  <c r="U200" i="1"/>
  <c r="AK200" i="1" s="1"/>
  <c r="U201" i="1"/>
  <c r="AK201" i="1" s="1"/>
  <c r="U202" i="1"/>
  <c r="U203" i="1"/>
  <c r="U204" i="1"/>
  <c r="U205" i="1"/>
  <c r="U206" i="1"/>
  <c r="AK206" i="1" s="1"/>
  <c r="U207" i="1"/>
  <c r="U208" i="1"/>
  <c r="U209" i="1"/>
  <c r="AK209" i="1" s="1"/>
  <c r="U210" i="1"/>
  <c r="AK210" i="1" s="1"/>
  <c r="U211" i="1"/>
  <c r="AK211" i="1" s="1"/>
  <c r="U212" i="1"/>
  <c r="AK212" i="1" s="1"/>
  <c r="U213" i="1"/>
  <c r="AK213" i="1" s="1"/>
  <c r="U214" i="1"/>
  <c r="AK214" i="1" s="1"/>
  <c r="U215" i="1"/>
  <c r="U216" i="1"/>
  <c r="AK216" i="1" s="1"/>
  <c r="U217" i="1"/>
  <c r="AK217" i="1" s="1"/>
  <c r="U218" i="1"/>
  <c r="U219" i="1"/>
  <c r="AK219" i="1" s="1"/>
  <c r="U220" i="1"/>
  <c r="AK220" i="1" s="1"/>
  <c r="U221" i="1"/>
  <c r="U222" i="1"/>
  <c r="AK222" i="1" s="1"/>
  <c r="U223" i="1"/>
  <c r="U224" i="1"/>
  <c r="U225" i="1"/>
  <c r="U226" i="1"/>
  <c r="AK226" i="1" s="1"/>
  <c r="U227" i="1"/>
  <c r="AK227" i="1" s="1"/>
  <c r="U228" i="1"/>
  <c r="AK228" i="1" s="1"/>
  <c r="U229" i="1"/>
  <c r="AK229" i="1" s="1"/>
  <c r="U230" i="1"/>
  <c r="AK230" i="1" s="1"/>
  <c r="U231" i="1"/>
  <c r="U232" i="1"/>
  <c r="AK232" i="1" s="1"/>
  <c r="U233" i="1"/>
  <c r="AK233" i="1" s="1"/>
  <c r="U234" i="1"/>
  <c r="AK234" i="1" s="1"/>
  <c r="U235" i="1"/>
  <c r="U236" i="1"/>
  <c r="U237" i="1"/>
  <c r="AK237" i="1" s="1"/>
  <c r="U238" i="1"/>
  <c r="AK238" i="1" s="1"/>
  <c r="U239" i="1"/>
  <c r="AK239" i="1" s="1"/>
  <c r="U240" i="1"/>
  <c r="AK240" i="1" s="1"/>
  <c r="U241" i="1"/>
  <c r="AK241" i="1" s="1"/>
  <c r="U242" i="1"/>
  <c r="AK242" i="1" s="1"/>
  <c r="U243" i="1"/>
  <c r="AK243" i="1" s="1"/>
  <c r="U244" i="1"/>
  <c r="AK244" i="1" s="1"/>
  <c r="U245" i="1"/>
  <c r="AK245" i="1" s="1"/>
  <c r="U246" i="1"/>
  <c r="AK246" i="1" s="1"/>
  <c r="U247" i="1"/>
  <c r="U248" i="1"/>
  <c r="AK248" i="1" s="1"/>
  <c r="U249" i="1"/>
  <c r="AK249" i="1" s="1"/>
  <c r="U250" i="1"/>
  <c r="AK250" i="1" s="1"/>
  <c r="U251" i="1"/>
  <c r="AK251" i="1" s="1"/>
  <c r="U252" i="1"/>
  <c r="AK252" i="1" s="1"/>
  <c r="U253" i="1"/>
  <c r="AK253" i="1" s="1"/>
  <c r="U254" i="1"/>
  <c r="U255" i="1"/>
  <c r="AK255" i="1" s="1"/>
  <c r="U256" i="1"/>
  <c r="U257" i="1"/>
  <c r="U258" i="1"/>
  <c r="U259" i="1"/>
  <c r="AK259" i="1" s="1"/>
  <c r="U260" i="1"/>
  <c r="AK260" i="1" s="1"/>
  <c r="U261" i="1"/>
  <c r="U262" i="1"/>
  <c r="AK262" i="1" s="1"/>
  <c r="U263" i="1"/>
  <c r="U264" i="1"/>
  <c r="AK264" i="1" s="1"/>
  <c r="U265" i="1"/>
  <c r="AK265" i="1" s="1"/>
  <c r="U266" i="1"/>
  <c r="AK266" i="1" s="1"/>
  <c r="U267" i="1"/>
  <c r="U268" i="1"/>
  <c r="U269" i="1"/>
  <c r="U270" i="1"/>
  <c r="AK270" i="1" s="1"/>
  <c r="U271" i="1"/>
  <c r="U272" i="1"/>
  <c r="AK272" i="1" s="1"/>
  <c r="U273" i="1"/>
  <c r="U274" i="1"/>
  <c r="AK274" i="1" s="1"/>
  <c r="U275" i="1"/>
  <c r="AK275" i="1" s="1"/>
  <c r="U276" i="1"/>
  <c r="AK276" i="1" s="1"/>
  <c r="U277" i="1"/>
  <c r="AK277" i="1" s="1"/>
  <c r="U278" i="1"/>
  <c r="U279" i="1"/>
  <c r="U280" i="1"/>
  <c r="AK280" i="1" s="1"/>
  <c r="U281" i="1"/>
  <c r="U282" i="1"/>
  <c r="AK282" i="1" s="1"/>
  <c r="U283" i="1"/>
  <c r="AK283" i="1" s="1"/>
  <c r="U284" i="1"/>
  <c r="U285" i="1"/>
  <c r="U286" i="1"/>
  <c r="AK286" i="1" s="1"/>
  <c r="U287" i="1"/>
  <c r="AK287" i="1" s="1"/>
  <c r="U288" i="1"/>
  <c r="AK288" i="1" s="1"/>
  <c r="U289" i="1"/>
  <c r="U290" i="1"/>
  <c r="AK290" i="1" s="1"/>
  <c r="U291" i="1"/>
  <c r="U292" i="1"/>
  <c r="AK292" i="1" s="1"/>
  <c r="U293" i="1"/>
  <c r="AK293" i="1" s="1"/>
  <c r="U294" i="1"/>
  <c r="U295" i="1"/>
  <c r="U296" i="1"/>
  <c r="AK296" i="1" s="1"/>
  <c r="U297" i="1"/>
  <c r="U298" i="1"/>
  <c r="AK298" i="1" s="1"/>
  <c r="U299" i="1"/>
  <c r="U300" i="1"/>
  <c r="AK300" i="1" s="1"/>
  <c r="U301" i="1"/>
  <c r="AK301" i="1" s="1"/>
  <c r="U302" i="1"/>
  <c r="U303" i="1"/>
  <c r="U304" i="1"/>
  <c r="U305" i="1"/>
  <c r="AK305" i="1" s="1"/>
  <c r="U306" i="1"/>
  <c r="AK306" i="1" s="1"/>
  <c r="U307" i="1"/>
  <c r="AK307" i="1" s="1"/>
  <c r="U308" i="1"/>
  <c r="AK308" i="1" s="1"/>
  <c r="U309" i="1"/>
  <c r="AK309" i="1" s="1"/>
  <c r="U310" i="1"/>
  <c r="AK310" i="1" s="1"/>
  <c r="U311" i="1"/>
  <c r="U312" i="1"/>
  <c r="AK312" i="1" s="1"/>
  <c r="U313" i="1"/>
  <c r="U314" i="1"/>
  <c r="AK314" i="1" s="1"/>
  <c r="U315" i="1"/>
  <c r="AK315" i="1" s="1"/>
  <c r="U316" i="1"/>
  <c r="AK316" i="1" s="1"/>
  <c r="U317" i="1"/>
  <c r="AK317" i="1" s="1"/>
  <c r="U318" i="1"/>
  <c r="AK318" i="1" s="1"/>
  <c r="U319" i="1"/>
  <c r="U320" i="1"/>
  <c r="U321" i="1"/>
  <c r="U322" i="1"/>
  <c r="AK322" i="1" s="1"/>
  <c r="U323" i="1"/>
  <c r="U324" i="1"/>
  <c r="AK324" i="1" s="1"/>
  <c r="U325" i="1"/>
  <c r="AK325" i="1" s="1"/>
  <c r="U326" i="1"/>
  <c r="AK326" i="1" s="1"/>
  <c r="U327" i="1"/>
  <c r="U328" i="1"/>
  <c r="AK328" i="1" s="1"/>
  <c r="U329" i="1"/>
  <c r="AK329" i="1" s="1"/>
  <c r="U330" i="1"/>
  <c r="U331" i="1"/>
  <c r="U332" i="1"/>
  <c r="U333" i="1"/>
  <c r="U334" i="1"/>
  <c r="U335" i="1"/>
  <c r="AK335" i="1" s="1"/>
  <c r="U336" i="1"/>
  <c r="AK336" i="1" s="1"/>
  <c r="U337" i="1"/>
  <c r="AK337" i="1" s="1"/>
  <c r="U338" i="1"/>
  <c r="AK338" i="1" s="1"/>
  <c r="U339" i="1"/>
  <c r="AK339" i="1" s="1"/>
  <c r="U340" i="1"/>
  <c r="AK340" i="1" s="1"/>
  <c r="U341" i="1"/>
  <c r="AK341" i="1" s="1"/>
  <c r="U342" i="1"/>
  <c r="AK342" i="1" s="1"/>
  <c r="U343" i="1"/>
  <c r="AK343" i="1" s="1"/>
  <c r="U344" i="1"/>
  <c r="AK344" i="1" s="1"/>
  <c r="U345" i="1"/>
  <c r="AK345" i="1" s="1"/>
  <c r="U346" i="1"/>
  <c r="AK346" i="1" s="1"/>
  <c r="U347" i="1"/>
  <c r="AK347" i="1" s="1"/>
  <c r="U348" i="1"/>
  <c r="AK348" i="1" s="1"/>
  <c r="U349" i="1"/>
  <c r="AK349" i="1" s="1"/>
  <c r="U350" i="1"/>
  <c r="U351" i="1"/>
  <c r="AK351" i="1" s="1"/>
  <c r="U352" i="1"/>
  <c r="AK352" i="1" s="1"/>
  <c r="U353" i="1"/>
  <c r="AK353" i="1" s="1"/>
  <c r="U354" i="1"/>
  <c r="AK354" i="1" s="1"/>
  <c r="U355" i="1"/>
  <c r="AK355" i="1" s="1"/>
  <c r="U356" i="1"/>
  <c r="U357" i="1"/>
  <c r="AK357" i="1" s="1"/>
  <c r="U358" i="1"/>
  <c r="AK358" i="1" s="1"/>
  <c r="U359" i="1"/>
  <c r="AK359" i="1" s="1"/>
  <c r="U360" i="1"/>
  <c r="AK360" i="1" s="1"/>
  <c r="U361" i="1"/>
  <c r="AK361" i="1" s="1"/>
  <c r="U362" i="1"/>
  <c r="U363" i="1"/>
  <c r="U364" i="1"/>
  <c r="AK364" i="1" s="1"/>
  <c r="U365" i="1"/>
  <c r="U366" i="1"/>
  <c r="U367" i="1"/>
  <c r="AK367" i="1" s="1"/>
  <c r="U368" i="1"/>
  <c r="AK368" i="1" s="1"/>
  <c r="U369" i="1"/>
  <c r="U370" i="1"/>
  <c r="AK370" i="1" s="1"/>
  <c r="U371" i="1"/>
  <c r="U372" i="1"/>
  <c r="U373" i="1"/>
  <c r="U374" i="1"/>
  <c r="U375" i="1"/>
  <c r="U376" i="1"/>
  <c r="U377" i="1"/>
  <c r="AK377" i="1" s="1"/>
  <c r="U378" i="1"/>
  <c r="U379" i="1"/>
  <c r="AK379" i="1" s="1"/>
  <c r="U380" i="1"/>
  <c r="AK380" i="1" s="1"/>
  <c r="U381" i="1"/>
  <c r="U382" i="1"/>
  <c r="AK382" i="1" s="1"/>
  <c r="U383" i="1"/>
  <c r="AK383" i="1" s="1"/>
  <c r="U384" i="1"/>
  <c r="AK384" i="1" s="1"/>
  <c r="U385" i="1"/>
  <c r="AK385" i="1" s="1"/>
  <c r="U386" i="1"/>
  <c r="U387" i="1"/>
  <c r="U388" i="1"/>
  <c r="AK388" i="1" s="1"/>
  <c r="U389" i="1"/>
  <c r="AK389" i="1" s="1"/>
  <c r="U390" i="1"/>
  <c r="AK390" i="1" s="1"/>
  <c r="U391" i="1"/>
  <c r="AK391" i="1" s="1"/>
  <c r="U392" i="1"/>
  <c r="AK392" i="1" s="1"/>
  <c r="U393" i="1"/>
  <c r="AK393" i="1" s="1"/>
  <c r="U394" i="1"/>
  <c r="U395" i="1"/>
  <c r="AK395" i="1" s="1"/>
  <c r="U396" i="1"/>
  <c r="AK396" i="1" s="1"/>
  <c r="U397" i="1"/>
  <c r="U398" i="1"/>
  <c r="AK398" i="1" s="1"/>
  <c r="U399" i="1"/>
  <c r="U400" i="1"/>
  <c r="AK400" i="1" s="1"/>
  <c r="U401" i="1"/>
  <c r="U402" i="1"/>
  <c r="AK402" i="1" s="1"/>
  <c r="U403" i="1"/>
  <c r="AK403" i="1" s="1"/>
  <c r="U404" i="1"/>
  <c r="AK404" i="1" s="1"/>
  <c r="U405" i="1"/>
  <c r="AK405" i="1" s="1"/>
  <c r="U406" i="1"/>
  <c r="AK406" i="1" s="1"/>
  <c r="U407" i="1"/>
  <c r="AK407" i="1" s="1"/>
  <c r="U408" i="1"/>
  <c r="AK408" i="1" s="1"/>
  <c r="U409" i="1"/>
  <c r="AK409" i="1" s="1"/>
  <c r="U410" i="1"/>
  <c r="U411" i="1"/>
  <c r="AK411" i="1" s="1"/>
  <c r="U412" i="1"/>
  <c r="AK412" i="1" s="1"/>
  <c r="U413" i="1"/>
  <c r="AF413" i="1" s="1"/>
  <c r="U414" i="1"/>
  <c r="AK414" i="1" s="1"/>
  <c r="U415" i="1"/>
  <c r="AK415" i="1" s="1"/>
  <c r="U416" i="1"/>
  <c r="U417" i="1"/>
  <c r="AK417" i="1" s="1"/>
  <c r="U418" i="1"/>
  <c r="AK418" i="1" s="1"/>
  <c r="U419" i="1"/>
  <c r="AK419" i="1" s="1"/>
  <c r="U420" i="1"/>
  <c r="AK420" i="1" s="1"/>
  <c r="U421" i="1"/>
  <c r="AF421" i="1" s="1"/>
  <c r="U422" i="1"/>
  <c r="AK422" i="1" s="1"/>
  <c r="U423" i="1"/>
  <c r="AK423" i="1" s="1"/>
  <c r="U424" i="1"/>
  <c r="AK424" i="1" s="1"/>
  <c r="U425" i="1"/>
  <c r="AK425" i="1" s="1"/>
  <c r="U426" i="1"/>
  <c r="AK426" i="1" s="1"/>
  <c r="U427" i="1"/>
  <c r="AK427" i="1" s="1"/>
  <c r="U428" i="1"/>
  <c r="AK428" i="1" s="1"/>
  <c r="U429" i="1"/>
  <c r="AK429" i="1" s="1"/>
  <c r="U430" i="1"/>
  <c r="AK430" i="1" s="1"/>
  <c r="U431" i="1"/>
  <c r="U432" i="1"/>
  <c r="AK432" i="1" s="1"/>
  <c r="U433" i="1"/>
  <c r="AK433" i="1" s="1"/>
  <c r="U434" i="1"/>
  <c r="AK434" i="1" s="1"/>
  <c r="U435" i="1"/>
  <c r="U436" i="1"/>
  <c r="U437" i="1"/>
  <c r="AK437" i="1" s="1"/>
  <c r="U438" i="1"/>
  <c r="AK438" i="1" s="1"/>
  <c r="U439" i="1"/>
  <c r="AK439" i="1" s="1"/>
  <c r="U440" i="1"/>
  <c r="AK440" i="1" s="1"/>
  <c r="U441" i="1"/>
  <c r="U442" i="1"/>
  <c r="U443" i="1"/>
  <c r="AK443" i="1" s="1"/>
  <c r="U444" i="1"/>
  <c r="AK444" i="1" s="1"/>
  <c r="U445" i="1"/>
  <c r="U446" i="1"/>
  <c r="AK446" i="1" s="1"/>
  <c r="U447" i="1"/>
  <c r="AK447" i="1" s="1"/>
  <c r="U448" i="1"/>
  <c r="AK448" i="1" s="1"/>
  <c r="U449" i="1"/>
  <c r="U450" i="1"/>
  <c r="U451" i="1"/>
  <c r="AK451" i="1" s="1"/>
  <c r="U452" i="1"/>
  <c r="U453" i="1"/>
  <c r="U454" i="1"/>
  <c r="AK454" i="1" s="1"/>
  <c r="U455" i="1"/>
  <c r="U456" i="1"/>
  <c r="AK456" i="1" s="1"/>
  <c r="U457" i="1"/>
  <c r="AK457" i="1" s="1"/>
  <c r="U458" i="1"/>
  <c r="AK458" i="1" s="1"/>
  <c r="U459" i="1"/>
  <c r="AK459" i="1" s="1"/>
  <c r="U460" i="1"/>
  <c r="AK460" i="1" s="1"/>
  <c r="U461" i="1"/>
  <c r="AK461" i="1" s="1"/>
  <c r="U462" i="1"/>
  <c r="U463" i="1"/>
  <c r="AK463" i="1" s="1"/>
  <c r="U464" i="1"/>
  <c r="U465" i="1"/>
  <c r="AK465" i="1" s="1"/>
  <c r="U466" i="1"/>
  <c r="U467" i="1"/>
  <c r="AK467" i="1" s="1"/>
  <c r="U468" i="1"/>
  <c r="AK468" i="1" s="1"/>
  <c r="U469" i="1"/>
  <c r="U470" i="1"/>
  <c r="AK470" i="1" s="1"/>
  <c r="U471" i="1"/>
  <c r="U472" i="1"/>
  <c r="U473" i="1"/>
  <c r="AK473" i="1" s="1"/>
  <c r="U474" i="1"/>
  <c r="AK474" i="1" s="1"/>
  <c r="U475" i="1"/>
  <c r="AK475" i="1" s="1"/>
  <c r="U476" i="1"/>
  <c r="AK476" i="1" s="1"/>
  <c r="U477" i="1"/>
  <c r="AK477" i="1" s="1"/>
  <c r="U478" i="1"/>
  <c r="AK478" i="1" s="1"/>
  <c r="U479" i="1"/>
  <c r="AK479" i="1" s="1"/>
  <c r="U480" i="1"/>
  <c r="U481" i="1"/>
  <c r="AK481" i="1" s="1"/>
  <c r="U482" i="1"/>
  <c r="AK482" i="1" s="1"/>
  <c r="U483" i="1"/>
  <c r="U484" i="1"/>
  <c r="AK484" i="1" s="1"/>
  <c r="U485" i="1"/>
  <c r="U486" i="1"/>
  <c r="AK486" i="1" s="1"/>
  <c r="U487" i="1"/>
  <c r="AK487" i="1" s="1"/>
  <c r="U488" i="1"/>
  <c r="U489" i="1"/>
  <c r="U490" i="1"/>
  <c r="U491" i="1"/>
  <c r="AK491" i="1" s="1"/>
  <c r="U492" i="1"/>
  <c r="AK492" i="1" s="1"/>
  <c r="U493" i="1"/>
  <c r="AK493" i="1" s="1"/>
  <c r="U494" i="1"/>
  <c r="U495" i="1"/>
  <c r="AK495" i="1" s="1"/>
  <c r="U496" i="1"/>
  <c r="AK496" i="1" s="1"/>
  <c r="U497" i="1"/>
  <c r="AK497" i="1" s="1"/>
  <c r="U498" i="1"/>
  <c r="AK498" i="1" s="1"/>
  <c r="U499" i="1"/>
  <c r="AK499" i="1" s="1"/>
  <c r="U500" i="1"/>
  <c r="AK500" i="1" s="1"/>
  <c r="U501" i="1"/>
  <c r="AK501" i="1" s="1"/>
  <c r="R155" i="1"/>
  <c r="R122" i="1"/>
  <c r="R152" i="1"/>
  <c r="R484" i="1"/>
  <c r="R313" i="1"/>
  <c r="R203" i="1"/>
  <c r="R364" i="1"/>
  <c r="R349" i="1"/>
  <c r="R11" i="1"/>
  <c r="R80" i="1"/>
  <c r="R237" i="1"/>
  <c r="R279" i="1"/>
  <c r="R63" i="1"/>
  <c r="R71" i="1"/>
  <c r="R317" i="1"/>
  <c r="R27" i="1"/>
  <c r="R105" i="1"/>
  <c r="R145" i="1"/>
  <c r="R234" i="1"/>
  <c r="R436" i="1"/>
  <c r="R288" i="1"/>
  <c r="R351" i="1"/>
  <c r="R433" i="1"/>
  <c r="R355" i="1"/>
  <c r="R227" i="1"/>
  <c r="R110" i="1"/>
  <c r="R187" i="1"/>
  <c r="R47" i="1"/>
  <c r="R338" i="1"/>
  <c r="R476" i="1"/>
  <c r="R420" i="1"/>
  <c r="R339" i="1"/>
  <c r="R373" i="1"/>
  <c r="R114" i="1"/>
  <c r="R85" i="1"/>
  <c r="R117" i="1"/>
  <c r="R390" i="1"/>
  <c r="R81" i="1"/>
  <c r="R157" i="1"/>
  <c r="R315" i="1"/>
  <c r="R363" i="1"/>
  <c r="R146" i="1"/>
  <c r="R325" i="1"/>
  <c r="R448" i="1"/>
  <c r="R148" i="1"/>
  <c r="R308" i="1"/>
  <c r="R160" i="1"/>
  <c r="R170" i="1"/>
  <c r="R232" i="1"/>
  <c r="R403" i="1"/>
  <c r="R472" i="1"/>
  <c r="R295" i="1"/>
  <c r="R452" i="1"/>
  <c r="R328" i="1"/>
  <c r="R326" i="1"/>
  <c r="R475" i="1"/>
  <c r="R174" i="1"/>
  <c r="R233" i="1"/>
  <c r="R193" i="1"/>
  <c r="R490" i="1"/>
  <c r="R304" i="1"/>
  <c r="R179" i="1"/>
  <c r="R258" i="1"/>
  <c r="R289" i="1"/>
  <c r="R392" i="1"/>
  <c r="R414" i="1"/>
  <c r="R441" i="1"/>
  <c r="R260" i="1"/>
  <c r="R159" i="1"/>
  <c r="R59" i="1"/>
  <c r="R194" i="1"/>
  <c r="R247" i="1"/>
  <c r="R376" i="1"/>
  <c r="R250" i="1"/>
  <c r="R353" i="1"/>
  <c r="R78" i="1"/>
  <c r="R411" i="1"/>
  <c r="R449" i="1"/>
  <c r="R67" i="1"/>
  <c r="R97" i="1"/>
  <c r="R370" i="1"/>
  <c r="R220" i="1"/>
  <c r="R443" i="1"/>
  <c r="R121" i="1"/>
  <c r="R244" i="1"/>
  <c r="R396" i="1"/>
  <c r="R45" i="1"/>
  <c r="R256" i="1"/>
  <c r="R180" i="1"/>
  <c r="R347" i="1"/>
  <c r="R21" i="1"/>
  <c r="R111" i="1"/>
  <c r="R206" i="1"/>
  <c r="R268" i="1"/>
  <c r="R273" i="1"/>
  <c r="R466" i="1"/>
  <c r="R82" i="1"/>
  <c r="R297" i="1"/>
  <c r="R319" i="1"/>
  <c r="R423" i="1"/>
  <c r="R458" i="1"/>
  <c r="R481" i="1"/>
  <c r="R168" i="1"/>
  <c r="R398" i="1"/>
  <c r="R444" i="1"/>
  <c r="R196" i="1"/>
  <c r="R217" i="1"/>
  <c r="R331" i="1"/>
  <c r="R54" i="1"/>
  <c r="R207" i="1"/>
  <c r="R421" i="1"/>
  <c r="R25" i="1"/>
  <c r="R192" i="1"/>
  <c r="R404" i="1"/>
  <c r="R30" i="1"/>
  <c r="R141" i="1"/>
  <c r="R98" i="1"/>
  <c r="R56" i="1"/>
  <c r="R200" i="1"/>
  <c r="R209" i="1"/>
  <c r="R211" i="1"/>
  <c r="R208" i="1"/>
  <c r="R135" i="1"/>
  <c r="R259" i="1"/>
  <c r="R120" i="1"/>
  <c r="R267" i="1"/>
  <c r="R379" i="1"/>
  <c r="R365" i="1"/>
  <c r="R397" i="1"/>
  <c r="R463" i="1"/>
  <c r="R13" i="1"/>
  <c r="R416" i="1"/>
  <c r="R166" i="1"/>
  <c r="R417" i="1"/>
  <c r="R178" i="1"/>
  <c r="R298" i="1"/>
  <c r="R136" i="1"/>
  <c r="R378" i="1"/>
  <c r="R272" i="1"/>
  <c r="R171" i="1"/>
  <c r="R342" i="1"/>
  <c r="R86" i="1"/>
  <c r="R270" i="1"/>
  <c r="R195" i="1"/>
  <c r="R12" i="1"/>
  <c r="R10" i="1"/>
  <c r="R387" i="1"/>
  <c r="R395" i="1"/>
  <c r="R248" i="1"/>
  <c r="R354" i="1"/>
  <c r="R340" i="1"/>
  <c r="R212" i="1"/>
  <c r="R241" i="1"/>
  <c r="R386" i="1"/>
  <c r="R314" i="1"/>
  <c r="R90" i="1"/>
  <c r="R225" i="1"/>
  <c r="R41" i="1"/>
  <c r="R84" i="1"/>
  <c r="R362" i="1"/>
  <c r="R44" i="1"/>
  <c r="R198" i="1"/>
  <c r="R24" i="1"/>
  <c r="R175" i="1"/>
  <c r="R327" i="1"/>
  <c r="R336" i="1"/>
  <c r="R231" i="1"/>
  <c r="R469" i="1"/>
  <c r="R202" i="1"/>
  <c r="R118" i="1"/>
  <c r="R173" i="1"/>
  <c r="R239" i="1"/>
  <c r="R409" i="1"/>
  <c r="R287" i="1"/>
  <c r="R39" i="1"/>
  <c r="R96" i="1"/>
  <c r="R432" i="1"/>
  <c r="R480" i="1"/>
  <c r="R368" i="1"/>
  <c r="R106" i="1"/>
  <c r="R346" i="1"/>
  <c r="R38" i="1"/>
  <c r="R488" i="1"/>
  <c r="R238" i="1"/>
  <c r="R219" i="1"/>
  <c r="R57" i="1"/>
  <c r="R8" i="1"/>
  <c r="R477" i="1"/>
  <c r="R291" i="1"/>
  <c r="R50" i="1"/>
  <c r="R467" i="1"/>
  <c r="R401" i="1"/>
  <c r="R384" i="1"/>
  <c r="R375" i="1"/>
  <c r="R406" i="1"/>
  <c r="R22" i="1"/>
  <c r="R455" i="1"/>
  <c r="R167" i="1"/>
  <c r="R245" i="1"/>
  <c r="R18" i="1"/>
  <c r="R9" i="1"/>
  <c r="R112" i="1"/>
  <c r="R51" i="1"/>
  <c r="R64" i="1"/>
  <c r="R108" i="1"/>
  <c r="R277" i="1"/>
  <c r="R399" i="1"/>
  <c r="R321" i="1"/>
  <c r="R500" i="1"/>
  <c r="R385" i="1"/>
  <c r="R7" i="1"/>
  <c r="R15" i="1"/>
  <c r="R128" i="1"/>
  <c r="R102" i="1"/>
  <c r="R377" i="1"/>
  <c r="R371" i="1"/>
  <c r="R296" i="1"/>
  <c r="R470" i="1"/>
  <c r="R280" i="1"/>
  <c r="R300" i="1"/>
  <c r="R72" i="1"/>
  <c r="R366" i="1"/>
  <c r="R482" i="1"/>
  <c r="R140" i="1"/>
  <c r="R129" i="1"/>
  <c r="R2" i="1"/>
  <c r="R264" i="1"/>
  <c r="R408" i="1"/>
  <c r="R255" i="1"/>
  <c r="R101" i="1"/>
  <c r="R26" i="1"/>
  <c r="R37" i="1"/>
  <c r="R58" i="1"/>
  <c r="R486" i="1"/>
  <c r="R393" i="1"/>
  <c r="R485" i="1"/>
  <c r="R153" i="1"/>
  <c r="R425" i="1"/>
  <c r="R329" i="1"/>
  <c r="R465" i="1"/>
  <c r="R333" i="1"/>
  <c r="R189" i="1"/>
  <c r="R492" i="1"/>
  <c r="R471" i="1"/>
  <c r="R459" i="1"/>
  <c r="R214" i="1"/>
  <c r="R49" i="1"/>
  <c r="R426" i="1"/>
  <c r="R48" i="1"/>
  <c r="R216" i="1"/>
  <c r="R493" i="1"/>
  <c r="R294" i="1"/>
  <c r="R75" i="1"/>
  <c r="R5" i="1"/>
  <c r="R334" i="1"/>
  <c r="R133" i="1"/>
  <c r="R204" i="1"/>
  <c r="R303" i="1"/>
  <c r="R460" i="1"/>
  <c r="R201" i="1"/>
  <c r="R369" i="1"/>
  <c r="R380" i="1"/>
  <c r="R68" i="1"/>
  <c r="R210" i="1"/>
  <c r="R474" i="1"/>
  <c r="R344" i="1"/>
  <c r="R491" i="1"/>
  <c r="R104" i="1"/>
  <c r="R53" i="1"/>
  <c r="R299" i="1"/>
  <c r="R310" i="1"/>
  <c r="R177" i="1"/>
  <c r="R457" i="1"/>
  <c r="R388" i="1"/>
  <c r="R191" i="1"/>
  <c r="R483" i="1"/>
  <c r="R62" i="1"/>
  <c r="R479" i="1"/>
  <c r="R19" i="1"/>
  <c r="R450" i="1"/>
  <c r="R274" i="1"/>
  <c r="R74" i="1"/>
  <c r="R389" i="1"/>
  <c r="R144" i="1"/>
  <c r="R132" i="1"/>
  <c r="R183" i="1"/>
  <c r="R412" i="1"/>
  <c r="R142" i="1"/>
  <c r="R73" i="1"/>
  <c r="R293" i="1"/>
  <c r="R434" i="1"/>
  <c r="R383" i="1"/>
  <c r="R402" i="1"/>
  <c r="R134" i="1"/>
  <c r="R320" i="1"/>
  <c r="R501" i="1"/>
  <c r="R290" i="1"/>
  <c r="R165" i="1"/>
  <c r="R446" i="1"/>
  <c r="R494" i="1"/>
  <c r="R224" i="1"/>
  <c r="R116" i="1"/>
  <c r="R94" i="1"/>
  <c r="R447" i="1"/>
  <c r="R374" i="1"/>
  <c r="R46" i="1"/>
  <c r="R405" i="1"/>
  <c r="R487" i="1"/>
  <c r="R464" i="1"/>
  <c r="R361" i="1"/>
  <c r="R263" i="1"/>
  <c r="R126" i="1"/>
  <c r="R89" i="1"/>
  <c r="R182" i="1"/>
  <c r="R271" i="1"/>
  <c r="R356" i="1"/>
  <c r="R286" i="1"/>
  <c r="R275" i="1"/>
  <c r="R243" i="1"/>
  <c r="R3" i="1"/>
  <c r="R281" i="1"/>
  <c r="R440" i="1"/>
  <c r="R332" i="1"/>
  <c r="R28" i="1"/>
  <c r="R103" i="1"/>
  <c r="R352" i="1"/>
  <c r="R265" i="1"/>
  <c r="R172" i="1"/>
  <c r="R23" i="1"/>
  <c r="R186" i="1"/>
  <c r="R143" i="1"/>
  <c r="R99" i="1"/>
  <c r="R391" i="1"/>
  <c r="R215" i="1"/>
  <c r="R158" i="1"/>
  <c r="R257" i="1"/>
  <c r="R343" i="1"/>
  <c r="R66" i="1"/>
  <c r="R70" i="1"/>
  <c r="R127" i="1"/>
  <c r="R430" i="1"/>
  <c r="R92" i="1"/>
  <c r="R154" i="1"/>
  <c r="R424" i="1"/>
  <c r="R35" i="1"/>
  <c r="R17" i="1"/>
  <c r="R382" i="1"/>
  <c r="R341" i="1"/>
  <c r="R498" i="1"/>
  <c r="R125" i="1"/>
  <c r="R435" i="1"/>
  <c r="R40" i="1"/>
  <c r="R29" i="1"/>
  <c r="R6" i="1"/>
  <c r="R323" i="1"/>
  <c r="R151" i="1"/>
  <c r="R161" i="1"/>
  <c r="R205" i="1"/>
  <c r="R230" i="1"/>
  <c r="R309" i="1"/>
  <c r="R138" i="1"/>
  <c r="R34" i="1"/>
  <c r="R418" i="1"/>
  <c r="R163" i="1"/>
  <c r="R222" i="1"/>
  <c r="R438" i="1"/>
  <c r="R429" i="1"/>
  <c r="R400" i="1"/>
  <c r="R79" i="1"/>
  <c r="R431" i="1"/>
  <c r="R283" i="1"/>
  <c r="R451" i="1"/>
  <c r="R69" i="1"/>
  <c r="R188" i="1"/>
  <c r="R169" i="1"/>
  <c r="R306" i="1"/>
  <c r="R305" i="1"/>
  <c r="R478" i="1"/>
  <c r="R162" i="1"/>
  <c r="R468" i="1"/>
  <c r="R60" i="1"/>
  <c r="R137" i="1"/>
  <c r="R100" i="1"/>
  <c r="R454" i="1"/>
  <c r="R109" i="1"/>
  <c r="R415" i="1"/>
  <c r="R442" i="1"/>
  <c r="R95" i="1"/>
  <c r="R427" i="1"/>
  <c r="R91" i="1"/>
  <c r="R381" i="1"/>
  <c r="R312" i="1"/>
  <c r="R150" i="1"/>
  <c r="R229" i="1"/>
  <c r="R266" i="1"/>
  <c r="R285" i="1"/>
  <c r="R240" i="1"/>
  <c r="R461" i="1"/>
  <c r="R226" i="1"/>
  <c r="R4" i="1"/>
  <c r="R348" i="1"/>
  <c r="R428" i="1"/>
  <c r="R115" i="1"/>
  <c r="R77" i="1"/>
  <c r="R199" i="1"/>
  <c r="R197" i="1"/>
  <c r="R14" i="1"/>
  <c r="R42" i="1"/>
  <c r="R190" i="1"/>
  <c r="R147" i="1"/>
  <c r="R253" i="1"/>
  <c r="R55" i="1"/>
  <c r="R322" i="1"/>
  <c r="R307" i="1"/>
  <c r="R324" i="1"/>
  <c r="R131" i="1"/>
  <c r="R462" i="1"/>
  <c r="R357" i="1"/>
  <c r="R302" i="1"/>
  <c r="R350" i="1"/>
  <c r="R139" i="1"/>
  <c r="R213" i="1"/>
  <c r="R223" i="1"/>
  <c r="R311" i="1"/>
  <c r="R149" i="1"/>
  <c r="R337" i="1"/>
  <c r="R372" i="1"/>
  <c r="R31" i="1"/>
  <c r="R176" i="1"/>
  <c r="R156" i="1"/>
  <c r="R318" i="1"/>
  <c r="R83" i="1"/>
  <c r="R228" i="1"/>
  <c r="R107" i="1"/>
  <c r="R235" i="1"/>
  <c r="R93" i="1"/>
  <c r="R181" i="1"/>
  <c r="R422" i="1"/>
  <c r="R119" i="1"/>
  <c r="R473" i="1"/>
  <c r="R439" i="1"/>
  <c r="R335" i="1"/>
  <c r="R33" i="1"/>
  <c r="R32" i="1"/>
  <c r="R242" i="1"/>
  <c r="R359" i="1"/>
  <c r="R316" i="1"/>
  <c r="R16" i="1"/>
  <c r="R496" i="1"/>
  <c r="R123" i="1"/>
  <c r="R113" i="1"/>
  <c r="R301" i="1"/>
  <c r="R236" i="1"/>
  <c r="R184" i="1"/>
  <c r="R413" i="1"/>
  <c r="R43" i="1"/>
  <c r="R407" i="1"/>
  <c r="R499" i="1"/>
  <c r="R221" i="1"/>
  <c r="R130" i="1"/>
  <c r="R164" i="1"/>
  <c r="R269" i="1"/>
  <c r="R36" i="1"/>
  <c r="R52" i="1"/>
  <c r="R20" i="1"/>
  <c r="R249" i="1"/>
  <c r="R218" i="1"/>
  <c r="R489" i="1"/>
  <c r="R262" i="1"/>
  <c r="R254" i="1"/>
  <c r="R65" i="1"/>
  <c r="R246" i="1"/>
  <c r="R292" i="1"/>
  <c r="R276" i="1"/>
  <c r="R251" i="1"/>
  <c r="R76" i="1"/>
  <c r="R252" i="1"/>
  <c r="R360" i="1"/>
  <c r="R456" i="1"/>
  <c r="R495" i="1"/>
  <c r="R330" i="1"/>
  <c r="R185" i="1"/>
  <c r="R367" i="1"/>
  <c r="R410" i="1"/>
  <c r="R394" i="1"/>
  <c r="R88" i="1"/>
  <c r="R497" i="1"/>
  <c r="R282" i="1"/>
  <c r="R61" i="1"/>
  <c r="R437" i="1"/>
  <c r="R358" i="1"/>
  <c r="R419" i="1"/>
  <c r="R261" i="1"/>
  <c r="R87" i="1"/>
  <c r="R445" i="1"/>
  <c r="R278" i="1"/>
  <c r="R345" i="1"/>
  <c r="R284" i="1"/>
  <c r="R124" i="1"/>
  <c r="R453" i="1"/>
  <c r="Q261" i="1"/>
  <c r="Q155" i="1"/>
  <c r="Q453" i="1"/>
  <c r="Q124" i="1"/>
  <c r="Q284" i="1"/>
  <c r="Q345" i="1"/>
  <c r="Q278" i="1"/>
  <c r="Q445" i="1"/>
  <c r="Q87" i="1"/>
  <c r="Q419" i="1"/>
  <c r="Q358" i="1"/>
  <c r="Q437" i="1"/>
  <c r="Q61" i="1"/>
  <c r="Q282" i="1"/>
  <c r="Q497" i="1"/>
  <c r="Q88" i="1"/>
  <c r="Q394" i="1"/>
  <c r="Q410" i="1"/>
  <c r="Q367" i="1"/>
  <c r="Q185" i="1"/>
  <c r="Q330" i="1"/>
  <c r="Q495" i="1"/>
  <c r="Q456" i="1"/>
  <c r="Q360" i="1"/>
  <c r="Q252" i="1"/>
  <c r="Q76" i="1"/>
  <c r="Q251" i="1"/>
  <c r="Q276" i="1"/>
  <c r="Q292" i="1"/>
  <c r="Q246" i="1"/>
  <c r="Q65" i="1"/>
  <c r="Q254" i="1"/>
  <c r="Q262" i="1"/>
  <c r="Q489" i="1"/>
  <c r="Q218" i="1"/>
  <c r="Q249" i="1"/>
  <c r="Q20" i="1"/>
  <c r="Q52" i="1"/>
  <c r="Q36" i="1"/>
  <c r="Q269" i="1"/>
  <c r="Q164" i="1"/>
  <c r="Q130" i="1"/>
  <c r="Q221" i="1"/>
  <c r="Q499" i="1"/>
  <c r="Q407" i="1"/>
  <c r="Q43" i="1"/>
  <c r="Q413" i="1"/>
  <c r="Q184" i="1"/>
  <c r="Q236" i="1"/>
  <c r="Q301" i="1"/>
  <c r="Q113" i="1"/>
  <c r="Q123" i="1"/>
  <c r="Q496" i="1"/>
  <c r="Q16" i="1"/>
  <c r="Q316" i="1"/>
  <c r="Q359" i="1"/>
  <c r="Q242" i="1"/>
  <c r="Q32" i="1"/>
  <c r="Q33" i="1"/>
  <c r="Q335" i="1"/>
  <c r="Q439" i="1"/>
  <c r="Q473" i="1"/>
  <c r="Q119" i="1"/>
  <c r="Q422" i="1"/>
  <c r="Q181" i="1"/>
  <c r="Q93" i="1"/>
  <c r="Q235" i="1"/>
  <c r="Q107" i="1"/>
  <c r="Q228" i="1"/>
  <c r="Q83" i="1"/>
  <c r="Q318" i="1"/>
  <c r="Q156" i="1"/>
  <c r="Q176" i="1"/>
  <c r="Q31" i="1"/>
  <c r="Q372" i="1"/>
  <c r="Q337" i="1"/>
  <c r="Q149" i="1"/>
  <c r="Q311" i="1"/>
  <c r="Q223" i="1"/>
  <c r="Q213" i="1"/>
  <c r="Q139" i="1"/>
  <c r="Q350" i="1"/>
  <c r="Q302" i="1"/>
  <c r="Q357" i="1"/>
  <c r="Q462" i="1"/>
  <c r="Q131" i="1"/>
  <c r="Q324" i="1"/>
  <c r="Q307" i="1"/>
  <c r="Q322" i="1"/>
  <c r="Q55" i="1"/>
  <c r="Q253" i="1"/>
  <c r="Q147" i="1"/>
  <c r="Q190" i="1"/>
  <c r="Q42" i="1"/>
  <c r="Q14" i="1"/>
  <c r="Q197" i="1"/>
  <c r="Q199" i="1"/>
  <c r="Q77" i="1"/>
  <c r="Q115" i="1"/>
  <c r="Q428" i="1"/>
  <c r="Q348" i="1"/>
  <c r="Q4" i="1"/>
  <c r="Q226" i="1"/>
  <c r="Q461" i="1"/>
  <c r="Q240" i="1"/>
  <c r="Q285" i="1"/>
  <c r="Q266" i="1"/>
  <c r="Q229" i="1"/>
  <c r="Q150" i="1"/>
  <c r="Q312" i="1"/>
  <c r="Q381" i="1"/>
  <c r="Q91" i="1"/>
  <c r="Q427" i="1"/>
  <c r="Q95" i="1"/>
  <c r="Q442" i="1"/>
  <c r="Q415" i="1"/>
  <c r="Q109" i="1"/>
  <c r="Q454" i="1"/>
  <c r="Q100" i="1"/>
  <c r="Q137" i="1"/>
  <c r="Q60" i="1"/>
  <c r="Q468" i="1"/>
  <c r="Q162" i="1"/>
  <c r="Q478" i="1"/>
  <c r="Q305" i="1"/>
  <c r="Q306" i="1"/>
  <c r="Q169" i="1"/>
  <c r="Q188" i="1"/>
  <c r="Q69" i="1"/>
  <c r="Q451" i="1"/>
  <c r="Q283" i="1"/>
  <c r="Q431" i="1"/>
  <c r="Q79" i="1"/>
  <c r="Q400" i="1"/>
  <c r="Q429" i="1"/>
  <c r="Q438" i="1"/>
  <c r="Q222" i="1"/>
  <c r="Q163" i="1"/>
  <c r="Q418" i="1"/>
  <c r="Q34" i="1"/>
  <c r="Q138" i="1"/>
  <c r="Q309" i="1"/>
  <c r="Q230" i="1"/>
  <c r="Q205" i="1"/>
  <c r="Q161" i="1"/>
  <c r="Q151" i="1"/>
  <c r="Q323" i="1"/>
  <c r="Q6" i="1"/>
  <c r="Q29" i="1"/>
  <c r="Q40" i="1"/>
  <c r="Q435" i="1"/>
  <c r="Q125" i="1"/>
  <c r="Q498" i="1"/>
  <c r="Q341" i="1"/>
  <c r="Q382" i="1"/>
  <c r="Q17" i="1"/>
  <c r="Q35" i="1"/>
  <c r="Q424" i="1"/>
  <c r="Q154" i="1"/>
  <c r="Q92" i="1"/>
  <c r="Q430" i="1"/>
  <c r="Q127" i="1"/>
  <c r="Q70" i="1"/>
  <c r="Q66" i="1"/>
  <c r="Q343" i="1"/>
  <c r="Q257" i="1"/>
  <c r="Q158" i="1"/>
  <c r="Q215" i="1"/>
  <c r="Q391" i="1"/>
  <c r="Q99" i="1"/>
  <c r="Q143" i="1"/>
  <c r="Q186" i="1"/>
  <c r="Q23" i="1"/>
  <c r="Q172" i="1"/>
  <c r="Q265" i="1"/>
  <c r="Q352" i="1"/>
  <c r="Q103" i="1"/>
  <c r="Q28" i="1"/>
  <c r="Q332" i="1"/>
  <c r="Q440" i="1"/>
  <c r="Q281" i="1"/>
  <c r="Q3" i="1"/>
  <c r="Q243" i="1"/>
  <c r="Q275" i="1"/>
  <c r="Q286" i="1"/>
  <c r="Q356" i="1"/>
  <c r="Q271" i="1"/>
  <c r="Q182" i="1"/>
  <c r="Q89" i="1"/>
  <c r="Q126" i="1"/>
  <c r="Q263" i="1"/>
  <c r="Q361" i="1"/>
  <c r="Q464" i="1"/>
  <c r="Q487" i="1"/>
  <c r="Q405" i="1"/>
  <c r="Q46" i="1"/>
  <c r="Q374" i="1"/>
  <c r="Q447" i="1"/>
  <c r="Q94" i="1"/>
  <c r="Q116" i="1"/>
  <c r="Q224" i="1"/>
  <c r="Q494" i="1"/>
  <c r="Q446" i="1"/>
  <c r="Q165" i="1"/>
  <c r="Q290" i="1"/>
  <c r="Q501" i="1"/>
  <c r="Q320" i="1"/>
  <c r="Q134" i="1"/>
  <c r="Q402" i="1"/>
  <c r="Q383" i="1"/>
  <c r="Q434" i="1"/>
  <c r="Q293" i="1"/>
  <c r="Q73" i="1"/>
  <c r="Q142" i="1"/>
  <c r="Q412" i="1"/>
  <c r="Q183" i="1"/>
  <c r="Q132" i="1"/>
  <c r="Q144" i="1"/>
  <c r="Q389" i="1"/>
  <c r="Q74" i="1"/>
  <c r="Q274" i="1"/>
  <c r="Q450" i="1"/>
  <c r="Q19" i="1"/>
  <c r="Q479" i="1"/>
  <c r="Q62" i="1"/>
  <c r="Q483" i="1"/>
  <c r="Q191" i="1"/>
  <c r="Q388" i="1"/>
  <c r="Q457" i="1"/>
  <c r="Q177" i="1"/>
  <c r="Q310" i="1"/>
  <c r="Q299" i="1"/>
  <c r="Q53" i="1"/>
  <c r="Q104" i="1"/>
  <c r="Q491" i="1"/>
  <c r="Q344" i="1"/>
  <c r="Q474" i="1"/>
  <c r="Q210" i="1"/>
  <c r="Q68" i="1"/>
  <c r="Q380" i="1"/>
  <c r="Q369" i="1"/>
  <c r="Q201" i="1"/>
  <c r="Q460" i="1"/>
  <c r="Q303" i="1"/>
  <c r="Q204" i="1"/>
  <c r="Q133" i="1"/>
  <c r="Q334" i="1"/>
  <c r="Q5" i="1"/>
  <c r="Q75" i="1"/>
  <c r="Q294" i="1"/>
  <c r="Q493" i="1"/>
  <c r="Q216" i="1"/>
  <c r="Q48" i="1"/>
  <c r="Q426" i="1"/>
  <c r="Q49" i="1"/>
  <c r="Q214" i="1"/>
  <c r="Q459" i="1"/>
  <c r="Q471" i="1"/>
  <c r="Q492" i="1"/>
  <c r="Q189" i="1"/>
  <c r="Q333" i="1"/>
  <c r="Q465" i="1"/>
  <c r="Q329" i="1"/>
  <c r="Q425" i="1"/>
  <c r="Q153" i="1"/>
  <c r="Q485" i="1"/>
  <c r="Q393" i="1"/>
  <c r="Q486" i="1"/>
  <c r="Q58" i="1"/>
  <c r="Q37" i="1"/>
  <c r="Q26" i="1"/>
  <c r="Q101" i="1"/>
  <c r="Q255" i="1"/>
  <c r="Q408" i="1"/>
  <c r="Q264" i="1"/>
  <c r="Q2" i="1"/>
  <c r="V2" i="1" s="1"/>
  <c r="Q129" i="1"/>
  <c r="Q140" i="1"/>
  <c r="Q482" i="1"/>
  <c r="Q366" i="1"/>
  <c r="Q72" i="1"/>
  <c r="Q300" i="1"/>
  <c r="Q280" i="1"/>
  <c r="Q470" i="1"/>
  <c r="Q296" i="1"/>
  <c r="Q371" i="1"/>
  <c r="Q377" i="1"/>
  <c r="Q102" i="1"/>
  <c r="Q128" i="1"/>
  <c r="Q15" i="1"/>
  <c r="Q7" i="1"/>
  <c r="Q385" i="1"/>
  <c r="Q500" i="1"/>
  <c r="Q321" i="1"/>
  <c r="Q399" i="1"/>
  <c r="Q277" i="1"/>
  <c r="Q108" i="1"/>
  <c r="Q64" i="1"/>
  <c r="Q51" i="1"/>
  <c r="Q112" i="1"/>
  <c r="Q9" i="1"/>
  <c r="Q18" i="1"/>
  <c r="Q245" i="1"/>
  <c r="Q167" i="1"/>
  <c r="Q455" i="1"/>
  <c r="Q22" i="1"/>
  <c r="Q406" i="1"/>
  <c r="Q375" i="1"/>
  <c r="Q384" i="1"/>
  <c r="Q401" i="1"/>
  <c r="Q467" i="1"/>
  <c r="Q50" i="1"/>
  <c r="Q291" i="1"/>
  <c r="Q477" i="1"/>
  <c r="Q8" i="1"/>
  <c r="Q57" i="1"/>
  <c r="Q219" i="1"/>
  <c r="Q238" i="1"/>
  <c r="Q488" i="1"/>
  <c r="Q38" i="1"/>
  <c r="Q346" i="1"/>
  <c r="Q106" i="1"/>
  <c r="Q368" i="1"/>
  <c r="Q480" i="1"/>
  <c r="Q432" i="1"/>
  <c r="Q96" i="1"/>
  <c r="Q39" i="1"/>
  <c r="Q287" i="1"/>
  <c r="Q409" i="1"/>
  <c r="Q239" i="1"/>
  <c r="Q173" i="1"/>
  <c r="Q118" i="1"/>
  <c r="Q202" i="1"/>
  <c r="Q469" i="1"/>
  <c r="Q231" i="1"/>
  <c r="Q336" i="1"/>
  <c r="Q327" i="1"/>
  <c r="Q175" i="1"/>
  <c r="Q24" i="1"/>
  <c r="Q198" i="1"/>
  <c r="Q44" i="1"/>
  <c r="Q362" i="1"/>
  <c r="Q84" i="1"/>
  <c r="Q41" i="1"/>
  <c r="Q225" i="1"/>
  <c r="Q90" i="1"/>
  <c r="Q314" i="1"/>
  <c r="Q386" i="1"/>
  <c r="Q241" i="1"/>
  <c r="Q212" i="1"/>
  <c r="Q340" i="1"/>
  <c r="Q354" i="1"/>
  <c r="Q248" i="1"/>
  <c r="Q395" i="1"/>
  <c r="Q387" i="1"/>
  <c r="Q10" i="1"/>
  <c r="Q12" i="1"/>
  <c r="Q195" i="1"/>
  <c r="Q270" i="1"/>
  <c r="Q86" i="1"/>
  <c r="Q342" i="1"/>
  <c r="Q171" i="1"/>
  <c r="Q272" i="1"/>
  <c r="Q378" i="1"/>
  <c r="Q136" i="1"/>
  <c r="Q298" i="1"/>
  <c r="Q178" i="1"/>
  <c r="Q417" i="1"/>
  <c r="Q166" i="1"/>
  <c r="Q416" i="1"/>
  <c r="Q13" i="1"/>
  <c r="Q463" i="1"/>
  <c r="Q397" i="1"/>
  <c r="Q365" i="1"/>
  <c r="Q379" i="1"/>
  <c r="Q267" i="1"/>
  <c r="Q120" i="1"/>
  <c r="Q259" i="1"/>
  <c r="Q135" i="1"/>
  <c r="Q208" i="1"/>
  <c r="Q211" i="1"/>
  <c r="Q209" i="1"/>
  <c r="Q200" i="1"/>
  <c r="Q56" i="1"/>
  <c r="Q98" i="1"/>
  <c r="Q141" i="1"/>
  <c r="Q30" i="1"/>
  <c r="Q404" i="1"/>
  <c r="Q192" i="1"/>
  <c r="Q25" i="1"/>
  <c r="Q421" i="1"/>
  <c r="Q207" i="1"/>
  <c r="Q54" i="1"/>
  <c r="Q331" i="1"/>
  <c r="Q217" i="1"/>
  <c r="Q196" i="1"/>
  <c r="Q444" i="1"/>
  <c r="Q398" i="1"/>
  <c r="Q168" i="1"/>
  <c r="Q481" i="1"/>
  <c r="Q458" i="1"/>
  <c r="Q423" i="1"/>
  <c r="Q319" i="1"/>
  <c r="Q297" i="1"/>
  <c r="Q82" i="1"/>
  <c r="Q466" i="1"/>
  <c r="Q273" i="1"/>
  <c r="Q268" i="1"/>
  <c r="Q206" i="1"/>
  <c r="Q111" i="1"/>
  <c r="Q21" i="1"/>
  <c r="Q347" i="1"/>
  <c r="Q180" i="1"/>
  <c r="Q256" i="1"/>
  <c r="Q45" i="1"/>
  <c r="Q396" i="1"/>
  <c r="Q244" i="1"/>
  <c r="Q121" i="1"/>
  <c r="Q443" i="1"/>
  <c r="Q220" i="1"/>
  <c r="Q370" i="1"/>
  <c r="Q97" i="1"/>
  <c r="Q67" i="1"/>
  <c r="Q449" i="1"/>
  <c r="Q411" i="1"/>
  <c r="Q78" i="1"/>
  <c r="Q353" i="1"/>
  <c r="Q250" i="1"/>
  <c r="Q376" i="1"/>
  <c r="Q247" i="1"/>
  <c r="Q194" i="1"/>
  <c r="Q59" i="1"/>
  <c r="Q159" i="1"/>
  <c r="Q260" i="1"/>
  <c r="Q441" i="1"/>
  <c r="Q414" i="1"/>
  <c r="Q392" i="1"/>
  <c r="Q289" i="1"/>
  <c r="Q258" i="1"/>
  <c r="Q179" i="1"/>
  <c r="Q304" i="1"/>
  <c r="Q490" i="1"/>
  <c r="Q193" i="1"/>
  <c r="Q233" i="1"/>
  <c r="Q174" i="1"/>
  <c r="Q475" i="1"/>
  <c r="Q326" i="1"/>
  <c r="Q328" i="1"/>
  <c r="Q452" i="1"/>
  <c r="Q295" i="1"/>
  <c r="Q472" i="1"/>
  <c r="Q403" i="1"/>
  <c r="Q232" i="1"/>
  <c r="Q170" i="1"/>
  <c r="Q160" i="1"/>
  <c r="Q308" i="1"/>
  <c r="Q148" i="1"/>
  <c r="Q448" i="1"/>
  <c r="Q325" i="1"/>
  <c r="Q146" i="1"/>
  <c r="Q363" i="1"/>
  <c r="Q315" i="1"/>
  <c r="Q157" i="1"/>
  <c r="Q81" i="1"/>
  <c r="Q390" i="1"/>
  <c r="Q117" i="1"/>
  <c r="Q85" i="1"/>
  <c r="Q114" i="1"/>
  <c r="Q373" i="1"/>
  <c r="Q339" i="1"/>
  <c r="Q420" i="1"/>
  <c r="Q476" i="1"/>
  <c r="Q338" i="1"/>
  <c r="Q47" i="1"/>
  <c r="Q187" i="1"/>
  <c r="Q110" i="1"/>
  <c r="Q227" i="1"/>
  <c r="Q355" i="1"/>
  <c r="Q433" i="1"/>
  <c r="Q351" i="1"/>
  <c r="Q288" i="1"/>
  <c r="Q436" i="1"/>
  <c r="Q234" i="1"/>
  <c r="Q145" i="1"/>
  <c r="Q105" i="1"/>
  <c r="Q27" i="1"/>
  <c r="Q317" i="1"/>
  <c r="Q71" i="1"/>
  <c r="Q63" i="1"/>
  <c r="Q279" i="1"/>
  <c r="Q237" i="1"/>
  <c r="Q80" i="1"/>
  <c r="Q11" i="1"/>
  <c r="Q349" i="1"/>
  <c r="Q364" i="1"/>
  <c r="Q203" i="1"/>
  <c r="Q313" i="1"/>
  <c r="Q484" i="1"/>
  <c r="Q152" i="1"/>
  <c r="Q122" i="1"/>
  <c r="AF394" i="1" l="1"/>
  <c r="AK394" i="1"/>
  <c r="AK302" i="1"/>
  <c r="AF138" i="1"/>
  <c r="AG138" i="1" s="1"/>
  <c r="AK70" i="1"/>
  <c r="AF62" i="1"/>
  <c r="AK466" i="1"/>
  <c r="AF462" i="1"/>
  <c r="AF350" i="1"/>
  <c r="AG350" i="1" s="1"/>
  <c r="AF258" i="1"/>
  <c r="AK258" i="1"/>
  <c r="AF185" i="1"/>
  <c r="AF133" i="1"/>
  <c r="AG133" i="1" s="1"/>
  <c r="AF109" i="1"/>
  <c r="AH458" i="1"/>
  <c r="AI458" i="1" s="1"/>
  <c r="AJ458" i="1" s="1"/>
  <c r="AK480" i="1"/>
  <c r="AK472" i="1"/>
  <c r="AF416" i="1"/>
  <c r="AG416" i="1" s="1"/>
  <c r="AK208" i="1"/>
  <c r="AF132" i="1"/>
  <c r="AG132" i="1" s="1"/>
  <c r="AF124" i="1"/>
  <c r="AF88" i="1"/>
  <c r="AF80" i="1"/>
  <c r="AK68" i="1"/>
  <c r="AF16" i="1"/>
  <c r="AF4" i="1"/>
  <c r="AF471" i="1"/>
  <c r="AK375" i="1"/>
  <c r="AF291" i="1"/>
  <c r="AF127" i="1"/>
  <c r="AG127" i="1" s="1"/>
  <c r="AF115" i="1"/>
  <c r="AF47" i="1"/>
  <c r="AG413" i="1"/>
  <c r="AG109" i="1"/>
  <c r="AG33" i="1"/>
  <c r="AG124" i="1"/>
  <c r="AG80" i="1"/>
  <c r="AG185" i="1"/>
  <c r="AG88" i="1"/>
  <c r="AG258" i="1"/>
  <c r="AD334" i="1"/>
  <c r="AE334" i="1" s="1"/>
  <c r="AH334" i="1"/>
  <c r="AI334" i="1" s="1"/>
  <c r="AJ334" i="1" s="1"/>
  <c r="AD322" i="1"/>
  <c r="AE322" i="1" s="1"/>
  <c r="AH322" i="1"/>
  <c r="AI322" i="1" s="1"/>
  <c r="AJ322" i="1" s="1"/>
  <c r="AD302" i="1"/>
  <c r="AE302" i="1" s="1"/>
  <c r="AH302" i="1"/>
  <c r="AI302" i="1" s="1"/>
  <c r="AJ302" i="1" s="1"/>
  <c r="AD298" i="1"/>
  <c r="AE298" i="1" s="1"/>
  <c r="AH298" i="1"/>
  <c r="AI298" i="1" s="1"/>
  <c r="AH426" i="1"/>
  <c r="AI426" i="1" s="1"/>
  <c r="AH394" i="1"/>
  <c r="AI394" i="1" s="1"/>
  <c r="AJ394" i="1" s="1"/>
  <c r="AH362" i="1"/>
  <c r="AI362" i="1" s="1"/>
  <c r="AJ362" i="1" s="1"/>
  <c r="AH346" i="1"/>
  <c r="AI346" i="1" s="1"/>
  <c r="AJ346" i="1" s="1"/>
  <c r="AG71" i="1"/>
  <c r="AT3" i="1"/>
  <c r="AG421" i="1"/>
  <c r="AG394" i="1"/>
  <c r="AG44" i="1"/>
  <c r="AG16" i="1"/>
  <c r="AG4" i="1"/>
  <c r="AG462" i="1"/>
  <c r="AG62" i="1"/>
  <c r="AG471" i="1"/>
  <c r="AG291" i="1"/>
  <c r="AG115" i="1"/>
  <c r="AG47" i="1"/>
  <c r="AG7" i="1"/>
  <c r="AB486" i="1"/>
  <c r="AA228" i="1"/>
  <c r="AH228" i="1" s="1"/>
  <c r="AI228" i="1" s="1"/>
  <c r="AJ228" i="1" s="1"/>
  <c r="AC44" i="1"/>
  <c r="AA44" i="1" s="1"/>
  <c r="AA127" i="1"/>
  <c r="AA244" i="1"/>
  <c r="AH244" i="1" s="1"/>
  <c r="AI244" i="1" s="1"/>
  <c r="AJ244" i="1" s="1"/>
  <c r="AB430" i="1"/>
  <c r="AB370" i="1"/>
  <c r="AC442" i="1"/>
  <c r="AA442" i="1" s="1"/>
  <c r="AC358" i="1"/>
  <c r="AA358" i="1" s="1"/>
  <c r="AH358" i="1" s="1"/>
  <c r="AI358" i="1" s="1"/>
  <c r="AJ358" i="1" s="1"/>
  <c r="AA490" i="1"/>
  <c r="AB422" i="1"/>
  <c r="AB366" i="1"/>
  <c r="AC498" i="1"/>
  <c r="AA498" i="1" s="1"/>
  <c r="AH498" i="1" s="1"/>
  <c r="AI498" i="1" s="1"/>
  <c r="AJ498" i="1" s="1"/>
  <c r="AC374" i="1"/>
  <c r="AA374" i="1" s="1"/>
  <c r="AC495" i="1"/>
  <c r="AA495" i="1" s="1"/>
  <c r="AC471" i="1"/>
  <c r="AA471" i="1" s="1"/>
  <c r="AC459" i="1"/>
  <c r="AA459" i="1" s="1"/>
  <c r="AC407" i="1"/>
  <c r="AA407" i="1" s="1"/>
  <c r="AC395" i="1"/>
  <c r="AA395" i="1" s="1"/>
  <c r="AC343" i="1"/>
  <c r="AA343" i="1" s="1"/>
  <c r="AC271" i="1"/>
  <c r="AA271" i="1" s="1"/>
  <c r="AC259" i="1"/>
  <c r="AA259" i="1" s="1"/>
  <c r="AC231" i="1"/>
  <c r="AA231" i="1" s="1"/>
  <c r="AC87" i="1"/>
  <c r="AA87" i="1" s="1"/>
  <c r="AB454" i="1"/>
  <c r="AB402" i="1"/>
  <c r="AB346" i="1"/>
  <c r="AC494" i="1"/>
  <c r="AA494" i="1" s="1"/>
  <c r="AC478" i="1"/>
  <c r="AA478" i="1" s="1"/>
  <c r="AC474" i="1"/>
  <c r="AA474" i="1" s="1"/>
  <c r="AB474" i="1"/>
  <c r="AB466" i="1"/>
  <c r="AC466" i="1"/>
  <c r="AA466" i="1" s="1"/>
  <c r="AH466" i="1" s="1"/>
  <c r="AI466" i="1" s="1"/>
  <c r="AJ466" i="1" s="1"/>
  <c r="AA450" i="1"/>
  <c r="AH450" i="1" s="1"/>
  <c r="AI450" i="1" s="1"/>
  <c r="AJ450" i="1" s="1"/>
  <c r="AC446" i="1"/>
  <c r="AA446" i="1" s="1"/>
  <c r="AB446" i="1"/>
  <c r="AC438" i="1"/>
  <c r="AA438" i="1" s="1"/>
  <c r="AC434" i="1"/>
  <c r="AA434" i="1" s="1"/>
  <c r="AB434" i="1"/>
  <c r="AC414" i="1"/>
  <c r="AA414" i="1" s="1"/>
  <c r="AB414" i="1"/>
  <c r="AC386" i="1"/>
  <c r="AA386" i="1" s="1"/>
  <c r="AB386" i="1"/>
  <c r="AB382" i="1"/>
  <c r="AB378" i="1"/>
  <c r="AC378" i="1"/>
  <c r="AA378" i="1" s="1"/>
  <c r="AC350" i="1"/>
  <c r="AA350" i="1" s="1"/>
  <c r="AB350" i="1"/>
  <c r="AC330" i="1"/>
  <c r="AA330" i="1" s="1"/>
  <c r="AB310" i="1"/>
  <c r="AC310" i="1"/>
  <c r="AA310" i="1" s="1"/>
  <c r="AA290" i="1"/>
  <c r="AC274" i="1"/>
  <c r="AA274" i="1" s="1"/>
  <c r="AC226" i="1"/>
  <c r="AA226" i="1" s="1"/>
  <c r="AB450" i="1"/>
  <c r="AB390" i="1"/>
  <c r="AB330" i="1"/>
  <c r="AC410" i="1"/>
  <c r="AA410" i="1" s="1"/>
  <c r="AC382" i="1"/>
  <c r="AA382" i="1" s="1"/>
  <c r="AC254" i="1"/>
  <c r="AA254" i="1" s="1"/>
  <c r="AA316" i="1"/>
  <c r="AH316" i="1" s="1"/>
  <c r="AI316" i="1" s="1"/>
  <c r="AJ316" i="1" s="1"/>
  <c r="AA172" i="1"/>
  <c r="AA464" i="1"/>
  <c r="AA432" i="1"/>
  <c r="AH432" i="1" s="1"/>
  <c r="AI432" i="1" s="1"/>
  <c r="AJ432" i="1" s="1"/>
  <c r="AA416" i="1"/>
  <c r="AH416" i="1" s="1"/>
  <c r="AI416" i="1" s="1"/>
  <c r="AJ416" i="1" s="1"/>
  <c r="AA400" i="1"/>
  <c r="AC212" i="1"/>
  <c r="AA212" i="1" s="1"/>
  <c r="AA200" i="1"/>
  <c r="AH200" i="1" s="1"/>
  <c r="AI200" i="1" s="1"/>
  <c r="AA192" i="1"/>
  <c r="AH192" i="1" s="1"/>
  <c r="AI192" i="1" s="1"/>
  <c r="AJ192" i="1" s="1"/>
  <c r="AC148" i="1"/>
  <c r="AA148" i="1" s="1"/>
  <c r="AC84" i="1"/>
  <c r="AA84" i="1" s="1"/>
  <c r="AC20" i="1"/>
  <c r="AA20" i="1" s="1"/>
  <c r="AA8" i="1"/>
  <c r="AC496" i="1"/>
  <c r="AA496" i="1" s="1"/>
  <c r="AC384" i="1"/>
  <c r="AA384" i="1" s="1"/>
  <c r="AC368" i="1"/>
  <c r="AA368" i="1" s="1"/>
  <c r="AC264" i="1"/>
  <c r="AA264" i="1" s="1"/>
  <c r="AC128" i="1"/>
  <c r="AA128" i="1" s="1"/>
  <c r="AC64" i="1"/>
  <c r="AA64" i="1" s="1"/>
  <c r="AA308" i="1"/>
  <c r="AA168" i="1"/>
  <c r="AA40" i="1"/>
  <c r="AH40" i="1" s="1"/>
  <c r="AI40" i="1" s="1"/>
  <c r="AC453" i="1"/>
  <c r="AA453" i="1" s="1"/>
  <c r="AA497" i="1"/>
  <c r="AC489" i="1"/>
  <c r="AA489" i="1" s="1"/>
  <c r="AC485" i="1"/>
  <c r="AA485" i="1" s="1"/>
  <c r="AC473" i="1"/>
  <c r="AA473" i="1" s="1"/>
  <c r="AC469" i="1"/>
  <c r="AA469" i="1" s="1"/>
  <c r="AC441" i="1"/>
  <c r="AA441" i="1" s="1"/>
  <c r="AC437" i="1"/>
  <c r="AA437" i="1" s="1"/>
  <c r="AA433" i="1"/>
  <c r="AC425" i="1"/>
  <c r="AA425" i="1" s="1"/>
  <c r="AH425" i="1" s="1"/>
  <c r="AI425" i="1" s="1"/>
  <c r="AJ425" i="1" s="1"/>
  <c r="AC421" i="1"/>
  <c r="AA421" i="1" s="1"/>
  <c r="AA413" i="1"/>
  <c r="AC409" i="1"/>
  <c r="AA409" i="1" s="1"/>
  <c r="AC405" i="1"/>
  <c r="AA405" i="1" s="1"/>
  <c r="AC393" i="1"/>
  <c r="AA393" i="1" s="1"/>
  <c r="AC389" i="1"/>
  <c r="AA389" i="1" s="1"/>
  <c r="AC377" i="1"/>
  <c r="AA377" i="1" s="1"/>
  <c r="AC373" i="1"/>
  <c r="AA373" i="1" s="1"/>
  <c r="AA369" i="1"/>
  <c r="AC361" i="1"/>
  <c r="AA361" i="1" s="1"/>
  <c r="AC357" i="1"/>
  <c r="AA357" i="1" s="1"/>
  <c r="AA349" i="1"/>
  <c r="AC345" i="1"/>
  <c r="AA345" i="1" s="1"/>
  <c r="AC341" i="1"/>
  <c r="AA341" i="1" s="1"/>
  <c r="AB333" i="1"/>
  <c r="AC329" i="1"/>
  <c r="AA329" i="1" s="1"/>
  <c r="AC325" i="1"/>
  <c r="AA325" i="1" s="1"/>
  <c r="AB317" i="1"/>
  <c r="AC317" i="1"/>
  <c r="AA317" i="1" s="1"/>
  <c r="AC313" i="1"/>
  <c r="AA313" i="1" s="1"/>
  <c r="AC309" i="1"/>
  <c r="AA309" i="1" s="1"/>
  <c r="AC305" i="1"/>
  <c r="AA305" i="1" s="1"/>
  <c r="AB301" i="1"/>
  <c r="AC301" i="1"/>
  <c r="AA301" i="1" s="1"/>
  <c r="AC297" i="1"/>
  <c r="AA297" i="1" s="1"/>
  <c r="AC293" i="1"/>
  <c r="AA293" i="1" s="1"/>
  <c r="AB289" i="1"/>
  <c r="AC289" i="1"/>
  <c r="AA289" i="1" s="1"/>
  <c r="AC481" i="1"/>
  <c r="AA481" i="1" s="1"/>
  <c r="AC417" i="1"/>
  <c r="AA417" i="1" s="1"/>
  <c r="AC397" i="1"/>
  <c r="AA397" i="1" s="1"/>
  <c r="AC353" i="1"/>
  <c r="AA353" i="1" s="1"/>
  <c r="AC333" i="1"/>
  <c r="AA333" i="1" s="1"/>
  <c r="AA236" i="1"/>
  <c r="AA136" i="1"/>
  <c r="AA72" i="1"/>
  <c r="AC445" i="1"/>
  <c r="AA445" i="1" s="1"/>
  <c r="AC401" i="1"/>
  <c r="AA401" i="1" s="1"/>
  <c r="AC381" i="1"/>
  <c r="AA381" i="1" s="1"/>
  <c r="AC337" i="1"/>
  <c r="AA337" i="1" s="1"/>
  <c r="AA487" i="1"/>
  <c r="AA427" i="1"/>
  <c r="AA363" i="1"/>
  <c r="AA287" i="1"/>
  <c r="AA151" i="1"/>
  <c r="AC501" i="1"/>
  <c r="AA501" i="1" s="1"/>
  <c r="AA477" i="1"/>
  <c r="AA465" i="1"/>
  <c r="AA461" i="1"/>
  <c r="AC457" i="1"/>
  <c r="AA457" i="1" s="1"/>
  <c r="AC499" i="1"/>
  <c r="AA499" i="1" s="1"/>
  <c r="AC491" i="1"/>
  <c r="AA491" i="1" s="1"/>
  <c r="AC483" i="1"/>
  <c r="AA483" i="1" s="1"/>
  <c r="AC479" i="1"/>
  <c r="AA479" i="1" s="1"/>
  <c r="AC475" i="1"/>
  <c r="AA475" i="1" s="1"/>
  <c r="AC467" i="1"/>
  <c r="AA467" i="1" s="1"/>
  <c r="AC463" i="1"/>
  <c r="AA463" i="1" s="1"/>
  <c r="AC455" i="1"/>
  <c r="AA455" i="1" s="1"/>
  <c r="AC451" i="1"/>
  <c r="AA451" i="1" s="1"/>
  <c r="AC447" i="1"/>
  <c r="AA447" i="1" s="1"/>
  <c r="AC443" i="1"/>
  <c r="AA443" i="1" s="1"/>
  <c r="AC435" i="1"/>
  <c r="AA435" i="1" s="1"/>
  <c r="AC431" i="1"/>
  <c r="AA431" i="1" s="1"/>
  <c r="AC423" i="1"/>
  <c r="AA423" i="1" s="1"/>
  <c r="AC419" i="1"/>
  <c r="AA419" i="1" s="1"/>
  <c r="AC415" i="1"/>
  <c r="AA415" i="1" s="1"/>
  <c r="AC411" i="1"/>
  <c r="AA411" i="1" s="1"/>
  <c r="AC403" i="1"/>
  <c r="AA403" i="1" s="1"/>
  <c r="AC399" i="1"/>
  <c r="AA399" i="1" s="1"/>
  <c r="AC391" i="1"/>
  <c r="AA391" i="1"/>
  <c r="AC387" i="1"/>
  <c r="AA387" i="1" s="1"/>
  <c r="AC383" i="1"/>
  <c r="AA383" i="1" s="1"/>
  <c r="AC379" i="1"/>
  <c r="AA379" i="1"/>
  <c r="AC371" i="1"/>
  <c r="AA371" i="1" s="1"/>
  <c r="AC367" i="1"/>
  <c r="AA367" i="1" s="1"/>
  <c r="AH367" i="1" s="1"/>
  <c r="AI367" i="1" s="1"/>
  <c r="AJ367" i="1" s="1"/>
  <c r="AC359" i="1"/>
  <c r="AA359" i="1" s="1"/>
  <c r="AC355" i="1"/>
  <c r="AA355" i="1" s="1"/>
  <c r="AC351" i="1"/>
  <c r="AA351" i="1" s="1"/>
  <c r="AC347" i="1"/>
  <c r="AA347" i="1" s="1"/>
  <c r="AC339" i="1"/>
  <c r="AA339" i="1" s="1"/>
  <c r="AC335" i="1"/>
  <c r="AA335" i="1" s="1"/>
  <c r="AC331" i="1"/>
  <c r="AA331" i="1" s="1"/>
  <c r="AC327" i="1"/>
  <c r="AA327" i="1" s="1"/>
  <c r="AC323" i="1"/>
  <c r="AA323" i="1" s="1"/>
  <c r="AC319" i="1"/>
  <c r="AA319" i="1" s="1"/>
  <c r="AC311" i="1"/>
  <c r="AA311" i="1" s="1"/>
  <c r="AA307" i="1"/>
  <c r="AH307" i="1" s="1"/>
  <c r="AI307" i="1" s="1"/>
  <c r="AC303" i="1"/>
  <c r="AA303" i="1" s="1"/>
  <c r="AC299" i="1"/>
  <c r="AA299" i="1" s="1"/>
  <c r="AA295" i="1"/>
  <c r="AC291" i="1"/>
  <c r="AA291" i="1" s="1"/>
  <c r="AC283" i="1"/>
  <c r="AA283" i="1" s="1"/>
  <c r="AA279" i="1"/>
  <c r="AC275" i="1"/>
  <c r="AA275" i="1" s="1"/>
  <c r="AA267" i="1"/>
  <c r="AC263" i="1"/>
  <c r="AA263" i="1" s="1"/>
  <c r="AC255" i="1"/>
  <c r="AA255" i="1" s="1"/>
  <c r="AA251" i="1"/>
  <c r="AC247" i="1"/>
  <c r="AA247" i="1" s="1"/>
  <c r="AC239" i="1"/>
  <c r="AA239" i="1" s="1"/>
  <c r="AC235" i="1"/>
  <c r="AA235" i="1" s="1"/>
  <c r="AC227" i="1"/>
  <c r="AA227" i="1" s="1"/>
  <c r="AC223" i="1"/>
  <c r="AA223" i="1"/>
  <c r="AC219" i="1"/>
  <c r="AA219" i="1" s="1"/>
  <c r="AC211" i="1"/>
  <c r="AA211" i="1" s="1"/>
  <c r="AC207" i="1"/>
  <c r="AA207" i="1" s="1"/>
  <c r="AA203" i="1"/>
  <c r="AC199" i="1"/>
  <c r="AA199" i="1" s="1"/>
  <c r="AA195" i="1"/>
  <c r="AA187" i="1"/>
  <c r="AC183" i="1"/>
  <c r="AA183" i="1" s="1"/>
  <c r="AA179" i="1"/>
  <c r="AC175" i="1"/>
  <c r="AA175" i="1" s="1"/>
  <c r="AC171" i="1"/>
  <c r="AA171" i="1" s="1"/>
  <c r="AA167" i="1"/>
  <c r="AC163" i="1"/>
  <c r="AA163" i="1" s="1"/>
  <c r="AC159" i="1"/>
  <c r="AA159" i="1" s="1"/>
  <c r="AC155" i="1"/>
  <c r="AA155" i="1" s="1"/>
  <c r="AC147" i="1"/>
  <c r="AA147" i="1" s="1"/>
  <c r="AC143" i="1"/>
  <c r="AA143" i="1" s="1"/>
  <c r="AA139" i="1"/>
  <c r="AC135" i="1"/>
  <c r="AA135" i="1" s="1"/>
  <c r="AA123" i="1"/>
  <c r="AC119" i="1"/>
  <c r="AA119" i="1" s="1"/>
  <c r="AC111" i="1"/>
  <c r="AA111" i="1" s="1"/>
  <c r="AC107" i="1"/>
  <c r="AA107" i="1" s="1"/>
  <c r="AC99" i="1"/>
  <c r="AA99" i="1" s="1"/>
  <c r="AC95" i="1"/>
  <c r="AA95" i="1" s="1"/>
  <c r="AC91" i="1"/>
  <c r="AA91" i="1" s="1"/>
  <c r="AC83" i="1"/>
  <c r="AA83" i="1" s="1"/>
  <c r="AC79" i="1"/>
  <c r="AA79" i="1" s="1"/>
  <c r="AC71" i="1"/>
  <c r="AA71" i="1" s="1"/>
  <c r="AA67" i="1"/>
  <c r="AC55" i="1"/>
  <c r="AA55" i="1" s="1"/>
  <c r="AH55" i="1" s="1"/>
  <c r="AI55" i="1" s="1"/>
  <c r="AA51" i="1"/>
  <c r="AC47" i="1"/>
  <c r="AA47" i="1" s="1"/>
  <c r="AC43" i="1"/>
  <c r="AA43" i="1" s="1"/>
  <c r="AA39" i="1"/>
  <c r="AC35" i="1"/>
  <c r="AA35" i="1" s="1"/>
  <c r="AC31" i="1"/>
  <c r="AA31" i="1" s="1"/>
  <c r="AC27" i="1"/>
  <c r="AA27" i="1" s="1"/>
  <c r="AC19" i="1"/>
  <c r="AA19" i="1" s="1"/>
  <c r="AC15" i="1"/>
  <c r="AA15" i="1" s="1"/>
  <c r="AA11" i="1"/>
  <c r="AH11" i="1" s="1"/>
  <c r="AI11" i="1" s="1"/>
  <c r="AC7" i="1"/>
  <c r="AA7" i="1" s="1"/>
  <c r="AH7" i="1" s="1"/>
  <c r="AI7" i="1" s="1"/>
  <c r="AA3" i="1"/>
  <c r="AC493" i="1"/>
  <c r="AA493" i="1" s="1"/>
  <c r="AC449" i="1"/>
  <c r="AA449" i="1" s="1"/>
  <c r="AC429" i="1"/>
  <c r="AA429" i="1" s="1"/>
  <c r="AH429" i="1" s="1"/>
  <c r="AI429" i="1" s="1"/>
  <c r="AC385" i="1"/>
  <c r="AA385" i="1" s="1"/>
  <c r="AC365" i="1"/>
  <c r="AA365" i="1" s="1"/>
  <c r="AC321" i="1"/>
  <c r="AA321" i="1" s="1"/>
  <c r="AC315" i="1"/>
  <c r="AA315" i="1" s="1"/>
  <c r="AC131" i="1"/>
  <c r="AA131" i="1" s="1"/>
  <c r="AC115" i="1"/>
  <c r="AA115" i="1" s="1"/>
  <c r="AC103" i="1"/>
  <c r="AA103" i="1" s="1"/>
  <c r="AC75" i="1"/>
  <c r="AA75" i="1" s="1"/>
  <c r="AC59" i="1"/>
  <c r="AA59" i="1" s="1"/>
  <c r="AA439" i="1"/>
  <c r="AA375" i="1"/>
  <c r="AH375" i="1" s="1"/>
  <c r="AI375" i="1" s="1"/>
  <c r="AJ375" i="1" s="1"/>
  <c r="AA191" i="1"/>
  <c r="AA63" i="1"/>
  <c r="AC285" i="1"/>
  <c r="AA285" i="1" s="1"/>
  <c r="AC281" i="1"/>
  <c r="AA281" i="1" s="1"/>
  <c r="AC277" i="1"/>
  <c r="AA277" i="1" s="1"/>
  <c r="AC273" i="1"/>
  <c r="AA273" i="1" s="1"/>
  <c r="AC269" i="1"/>
  <c r="AA269" i="1" s="1"/>
  <c r="AC265" i="1"/>
  <c r="AA265" i="1" s="1"/>
  <c r="AC261" i="1"/>
  <c r="AA261" i="1" s="1"/>
  <c r="AC257" i="1"/>
  <c r="AA257" i="1" s="1"/>
  <c r="AC253" i="1"/>
  <c r="AA253" i="1" s="1"/>
  <c r="AH253" i="1" s="1"/>
  <c r="AI253" i="1" s="1"/>
  <c r="AJ253" i="1" s="1"/>
  <c r="AC249" i="1"/>
  <c r="AA249" i="1" s="1"/>
  <c r="AC245" i="1"/>
  <c r="AA245" i="1" s="1"/>
  <c r="AC241" i="1"/>
  <c r="AA241" i="1" s="1"/>
  <c r="AB237" i="1"/>
  <c r="AC237" i="1"/>
  <c r="AA237" i="1" s="1"/>
  <c r="AC233" i="1"/>
  <c r="AA233" i="1" s="1"/>
  <c r="AC229" i="1"/>
  <c r="AA229" i="1" s="1"/>
  <c r="AB225" i="1"/>
  <c r="AC225" i="1"/>
  <c r="AA225" i="1" s="1"/>
  <c r="AC221" i="1"/>
  <c r="AA221" i="1" s="1"/>
  <c r="AC217" i="1"/>
  <c r="AA217" i="1" s="1"/>
  <c r="AC213" i="1"/>
  <c r="AA213" i="1" s="1"/>
  <c r="AC209" i="1"/>
  <c r="AA209" i="1" s="1"/>
  <c r="AC205" i="1"/>
  <c r="AA205" i="1" s="1"/>
  <c r="AC201" i="1"/>
  <c r="AA201" i="1" s="1"/>
  <c r="AC197" i="1"/>
  <c r="AA197" i="1" s="1"/>
  <c r="AC193" i="1"/>
  <c r="AA193" i="1" s="1"/>
  <c r="AC189" i="1"/>
  <c r="AA189" i="1" s="1"/>
  <c r="AC185" i="1"/>
  <c r="AA185" i="1" s="1"/>
  <c r="AC181" i="1"/>
  <c r="AA181" i="1" s="1"/>
  <c r="AC177" i="1"/>
  <c r="AA177" i="1" s="1"/>
  <c r="AB173" i="1"/>
  <c r="AC173" i="1"/>
  <c r="AA173" i="1" s="1"/>
  <c r="AC169" i="1"/>
  <c r="AA169" i="1" s="1"/>
  <c r="AC165" i="1"/>
  <c r="AA165" i="1" s="1"/>
  <c r="AB161" i="1"/>
  <c r="AC161" i="1"/>
  <c r="AA161" i="1" s="1"/>
  <c r="AC157" i="1"/>
  <c r="AA157" i="1" s="1"/>
  <c r="AC153" i="1"/>
  <c r="AA153" i="1" s="1"/>
  <c r="AC149" i="1"/>
  <c r="AA149" i="1" s="1"/>
  <c r="AC145" i="1"/>
  <c r="AA145" i="1" s="1"/>
  <c r="AB141" i="1"/>
  <c r="AC141" i="1"/>
  <c r="AA141" i="1" s="1"/>
  <c r="AC137" i="1"/>
  <c r="AA137" i="1" s="1"/>
  <c r="AC133" i="1"/>
  <c r="AA133" i="1" s="1"/>
  <c r="AC129" i="1"/>
  <c r="AA129" i="1" s="1"/>
  <c r="AC125" i="1"/>
  <c r="AA125" i="1" s="1"/>
  <c r="AC121" i="1"/>
  <c r="AA121" i="1" s="1"/>
  <c r="AC117" i="1"/>
  <c r="AA117" i="1" s="1"/>
  <c r="AC113" i="1"/>
  <c r="AA113" i="1" s="1"/>
  <c r="AB109" i="1"/>
  <c r="AC109" i="1"/>
  <c r="AA109" i="1" s="1"/>
  <c r="AC105" i="1"/>
  <c r="AA105" i="1" s="1"/>
  <c r="AC101" i="1"/>
  <c r="AA101" i="1" s="1"/>
  <c r="AB97" i="1"/>
  <c r="AC97" i="1"/>
  <c r="AA97" i="1" s="1"/>
  <c r="AC93" i="1"/>
  <c r="AA93" i="1" s="1"/>
  <c r="AC89" i="1"/>
  <c r="AA89" i="1" s="1"/>
  <c r="AH89" i="1" s="1"/>
  <c r="AI89" i="1" s="1"/>
  <c r="AJ89" i="1" s="1"/>
  <c r="AC85" i="1"/>
  <c r="AA85" i="1" s="1"/>
  <c r="AC81" i="1"/>
  <c r="AA81" i="1" s="1"/>
  <c r="AC77" i="1"/>
  <c r="AA77" i="1" s="1"/>
  <c r="AC73" i="1"/>
  <c r="AA73" i="1" s="1"/>
  <c r="AC69" i="1"/>
  <c r="AA69" i="1" s="1"/>
  <c r="AC65" i="1"/>
  <c r="AA65" i="1" s="1"/>
  <c r="AC61" i="1"/>
  <c r="AA61" i="1" s="1"/>
  <c r="AC57" i="1"/>
  <c r="AA57" i="1" s="1"/>
  <c r="AC53" i="1"/>
  <c r="AA53" i="1" s="1"/>
  <c r="AC49" i="1"/>
  <c r="AA49" i="1" s="1"/>
  <c r="AB45" i="1"/>
  <c r="AC45" i="1"/>
  <c r="AA45" i="1" s="1"/>
  <c r="AC41" i="1"/>
  <c r="AA41" i="1" s="1"/>
  <c r="AC37" i="1"/>
  <c r="AA37" i="1" s="1"/>
  <c r="AB33" i="1"/>
  <c r="AC33" i="1"/>
  <c r="AA33" i="1" s="1"/>
  <c r="AC29" i="1"/>
  <c r="AA29" i="1" s="1"/>
  <c r="AC25" i="1"/>
  <c r="AA25" i="1" s="1"/>
  <c r="AC21" i="1"/>
  <c r="AA21" i="1" s="1"/>
  <c r="AC17" i="1"/>
  <c r="AA17" i="1" s="1"/>
  <c r="AH17" i="1" s="1"/>
  <c r="AI17" i="1" s="1"/>
  <c r="AB13" i="1"/>
  <c r="AC13" i="1"/>
  <c r="AA13" i="1" s="1"/>
  <c r="AC9" i="1"/>
  <c r="AA9" i="1" s="1"/>
  <c r="AC5" i="1"/>
  <c r="AA5" i="1" s="1"/>
  <c r="AA488" i="1"/>
  <c r="AA472" i="1"/>
  <c r="AH472" i="1" s="1"/>
  <c r="AI472" i="1" s="1"/>
  <c r="AJ472" i="1" s="1"/>
  <c r="AA456" i="1"/>
  <c r="AA440" i="1"/>
  <c r="AA424" i="1"/>
  <c r="AA408" i="1"/>
  <c r="AH408" i="1" s="1"/>
  <c r="AI408" i="1" s="1"/>
  <c r="AA392" i="1"/>
  <c r="AA376" i="1"/>
  <c r="AA360" i="1"/>
  <c r="AA344" i="1"/>
  <c r="AH344" i="1" s="1"/>
  <c r="AI344" i="1" s="1"/>
  <c r="AJ344" i="1" s="1"/>
  <c r="AA336" i="1"/>
  <c r="AA332" i="1"/>
  <c r="AA320" i="1"/>
  <c r="AH320" i="1" s="1"/>
  <c r="AI320" i="1" s="1"/>
  <c r="AA312" i="1"/>
  <c r="AD300" i="1"/>
  <c r="AE300" i="1" s="1"/>
  <c r="AA288" i="1"/>
  <c r="AA284" i="1"/>
  <c r="AC276" i="1"/>
  <c r="AA276" i="1" s="1"/>
  <c r="AA272" i="1"/>
  <c r="AC260" i="1"/>
  <c r="AA260" i="1" s="1"/>
  <c r="AA256" i="1"/>
  <c r="AA248" i="1"/>
  <c r="AA224" i="1"/>
  <c r="AA220" i="1"/>
  <c r="AA216" i="1"/>
  <c r="AA208" i="1"/>
  <c r="AH208" i="1" s="1"/>
  <c r="AI208" i="1" s="1"/>
  <c r="AJ208" i="1" s="1"/>
  <c r="AC196" i="1"/>
  <c r="AA196" i="1" s="1"/>
  <c r="AA188" i="1"/>
  <c r="AA184" i="1"/>
  <c r="AC164" i="1"/>
  <c r="AA164" i="1" s="1"/>
  <c r="AA156" i="1"/>
  <c r="AA152" i="1"/>
  <c r="AA144" i="1"/>
  <c r="AC132" i="1"/>
  <c r="AA132" i="1" s="1"/>
  <c r="AA124" i="1"/>
  <c r="AA120" i="1"/>
  <c r="AC100" i="1"/>
  <c r="AA100" i="1" s="1"/>
  <c r="AH100" i="1" s="1"/>
  <c r="AI100" i="1" s="1"/>
  <c r="AJ100" i="1" s="1"/>
  <c r="AA92" i="1"/>
  <c r="AA88" i="1"/>
  <c r="AA80" i="1"/>
  <c r="AC68" i="1"/>
  <c r="AA68" i="1" s="1"/>
  <c r="AH68" i="1" s="1"/>
  <c r="AI68" i="1" s="1"/>
  <c r="AJ68" i="1" s="1"/>
  <c r="AA60" i="1"/>
  <c r="AH60" i="1" s="1"/>
  <c r="AI60" i="1" s="1"/>
  <c r="AA56" i="1"/>
  <c r="AC36" i="1"/>
  <c r="AA36" i="1" s="1"/>
  <c r="AA28" i="1"/>
  <c r="AA24" i="1"/>
  <c r="AA16" i="1"/>
  <c r="AC4" i="1"/>
  <c r="AA4" i="1" s="1"/>
  <c r="AC484" i="1"/>
  <c r="AA484" i="1" s="1"/>
  <c r="AC468" i="1"/>
  <c r="AA468" i="1" s="1"/>
  <c r="AC452" i="1"/>
  <c r="AA452" i="1" s="1"/>
  <c r="AC436" i="1"/>
  <c r="AA436" i="1" s="1"/>
  <c r="AC420" i="1"/>
  <c r="AA420" i="1" s="1"/>
  <c r="AC404" i="1"/>
  <c r="AA404" i="1" s="1"/>
  <c r="AC388" i="1"/>
  <c r="AA388" i="1" s="1"/>
  <c r="AC372" i="1"/>
  <c r="AA372" i="1" s="1"/>
  <c r="AC356" i="1"/>
  <c r="AA356" i="1" s="1"/>
  <c r="AC340" i="1"/>
  <c r="AA340" i="1" s="1"/>
  <c r="AC324" i="1"/>
  <c r="AA324" i="1" s="1"/>
  <c r="AC304" i="1"/>
  <c r="AA304" i="1" s="1"/>
  <c r="AC296" i="1"/>
  <c r="AA296" i="1" s="1"/>
  <c r="AC268" i="1"/>
  <c r="AA268" i="1" s="1"/>
  <c r="AC240" i="1"/>
  <c r="AA240" i="1" s="1"/>
  <c r="AC232" i="1"/>
  <c r="AA232" i="1" s="1"/>
  <c r="AC176" i="1"/>
  <c r="AA176" i="1" s="1"/>
  <c r="AC112" i="1"/>
  <c r="AA112" i="1" s="1"/>
  <c r="AC48" i="1"/>
  <c r="AA48" i="1" s="1"/>
  <c r="AA292" i="1"/>
  <c r="AA180" i="1"/>
  <c r="AA116" i="1"/>
  <c r="AA52" i="1"/>
  <c r="AD486" i="1"/>
  <c r="AE486" i="1" s="1"/>
  <c r="AD482" i="1"/>
  <c r="AE482" i="1" s="1"/>
  <c r="AD470" i="1"/>
  <c r="AE470" i="1" s="1"/>
  <c r="AD454" i="1"/>
  <c r="AE454" i="1" s="1"/>
  <c r="AD422" i="1"/>
  <c r="AE422" i="1" s="1"/>
  <c r="AD418" i="1"/>
  <c r="AE418" i="1" s="1"/>
  <c r="AD406" i="1"/>
  <c r="AE406" i="1" s="1"/>
  <c r="AD402" i="1"/>
  <c r="AE402" i="1" s="1"/>
  <c r="AD390" i="1"/>
  <c r="AE390" i="1" s="1"/>
  <c r="AD370" i="1"/>
  <c r="AE370" i="1" s="1"/>
  <c r="AD354" i="1"/>
  <c r="AE354" i="1" s="1"/>
  <c r="AD342" i="1"/>
  <c r="AE342" i="1" s="1"/>
  <c r="AD338" i="1"/>
  <c r="AE338" i="1" s="1"/>
  <c r="AA326" i="1"/>
  <c r="AD306" i="1"/>
  <c r="AE306" i="1" s="1"/>
  <c r="AA294" i="1"/>
  <c r="AA278" i="1"/>
  <c r="AA262" i="1"/>
  <c r="AA246" i="1"/>
  <c r="AA230" i="1"/>
  <c r="AA214" i="1"/>
  <c r="AH214" i="1" s="1"/>
  <c r="AI214" i="1" s="1"/>
  <c r="AJ214" i="1" s="1"/>
  <c r="AA210" i="1"/>
  <c r="AA206" i="1"/>
  <c r="AA198" i="1"/>
  <c r="AH198" i="1" s="1"/>
  <c r="AI198" i="1" s="1"/>
  <c r="AA194" i="1"/>
  <c r="AH194" i="1" s="1"/>
  <c r="AI194" i="1" s="1"/>
  <c r="AA190" i="1"/>
  <c r="AA182" i="1"/>
  <c r="AA178" i="1"/>
  <c r="AA174" i="1"/>
  <c r="AA166" i="1"/>
  <c r="AA162" i="1"/>
  <c r="AA158" i="1"/>
  <c r="AA150" i="1"/>
  <c r="AH150" i="1" s="1"/>
  <c r="AI150" i="1" s="1"/>
  <c r="AJ150" i="1" s="1"/>
  <c r="AA146" i="1"/>
  <c r="AA142" i="1"/>
  <c r="AA134" i="1"/>
  <c r="AH134" i="1" s="1"/>
  <c r="AI134" i="1" s="1"/>
  <c r="AA130" i="1"/>
  <c r="AH130" i="1" s="1"/>
  <c r="AI130" i="1" s="1"/>
  <c r="AJ130" i="1" s="1"/>
  <c r="AA126" i="1"/>
  <c r="AA118" i="1"/>
  <c r="AA114" i="1"/>
  <c r="AA110" i="1"/>
  <c r="AA102" i="1"/>
  <c r="AA98" i="1"/>
  <c r="AA94" i="1"/>
  <c r="AA86" i="1"/>
  <c r="AA82" i="1"/>
  <c r="AA78" i="1"/>
  <c r="AA70" i="1"/>
  <c r="AH70" i="1" s="1"/>
  <c r="AI70" i="1" s="1"/>
  <c r="AJ70" i="1" s="1"/>
  <c r="AA66" i="1"/>
  <c r="AA62" i="1"/>
  <c r="AA54" i="1"/>
  <c r="AA50" i="1"/>
  <c r="AH50" i="1" s="1"/>
  <c r="AI50" i="1" s="1"/>
  <c r="AJ50" i="1" s="1"/>
  <c r="AA46" i="1"/>
  <c r="AA38" i="1"/>
  <c r="AA34" i="1"/>
  <c r="AA30" i="1"/>
  <c r="AA22" i="1"/>
  <c r="AH22" i="1" s="1"/>
  <c r="AI22" i="1" s="1"/>
  <c r="AA18" i="1"/>
  <c r="AA14" i="1"/>
  <c r="AA6" i="1"/>
  <c r="AH6" i="1" s="1"/>
  <c r="AI6" i="1" s="1"/>
  <c r="AJ6" i="1" s="1"/>
  <c r="AA2" i="1"/>
  <c r="AB482" i="1"/>
  <c r="AB462" i="1"/>
  <c r="AB418" i="1"/>
  <c r="AB398" i="1"/>
  <c r="AB354" i="1"/>
  <c r="AB326" i="1"/>
  <c r="AC314" i="1"/>
  <c r="AA314" i="1" s="1"/>
  <c r="AC282" i="1"/>
  <c r="AA282" i="1" s="1"/>
  <c r="AC218" i="1"/>
  <c r="AA218" i="1" s="1"/>
  <c r="AC202" i="1"/>
  <c r="AA202" i="1" s="1"/>
  <c r="AC186" i="1"/>
  <c r="AA186" i="1" s="1"/>
  <c r="AC170" i="1"/>
  <c r="AA170" i="1" s="1"/>
  <c r="AH170" i="1" s="1"/>
  <c r="AI170" i="1" s="1"/>
  <c r="AJ170" i="1" s="1"/>
  <c r="AC154" i="1"/>
  <c r="AA154" i="1" s="1"/>
  <c r="AC138" i="1"/>
  <c r="AA138" i="1" s="1"/>
  <c r="AC122" i="1"/>
  <c r="AA122" i="1" s="1"/>
  <c r="AC106" i="1"/>
  <c r="AA106" i="1" s="1"/>
  <c r="AH106" i="1" s="1"/>
  <c r="AI106" i="1" s="1"/>
  <c r="AJ106" i="1" s="1"/>
  <c r="AC90" i="1"/>
  <c r="AA90" i="1" s="1"/>
  <c r="AC74" i="1"/>
  <c r="AA74" i="1" s="1"/>
  <c r="AC58" i="1"/>
  <c r="AA58" i="1" s="1"/>
  <c r="AC42" i="1"/>
  <c r="AA42" i="1" s="1"/>
  <c r="AC26" i="1"/>
  <c r="AA26" i="1" s="1"/>
  <c r="AC10" i="1"/>
  <c r="AA10" i="1" s="1"/>
  <c r="AA462" i="1"/>
  <c r="AA430" i="1"/>
  <c r="AA398" i="1"/>
  <c r="AA366" i="1"/>
  <c r="AA318" i="1"/>
  <c r="AB341" i="1"/>
  <c r="AB285" i="1"/>
  <c r="AB221" i="1"/>
  <c r="AB189" i="1"/>
  <c r="AB125" i="1"/>
  <c r="AB93" i="1"/>
  <c r="AB17" i="1"/>
  <c r="AB457" i="1"/>
  <c r="AB393" i="1"/>
  <c r="AB273" i="1"/>
  <c r="AB145" i="1"/>
  <c r="AB497" i="1"/>
  <c r="AB465" i="1"/>
  <c r="AB401" i="1"/>
  <c r="AB269" i="1"/>
  <c r="AB77" i="1"/>
  <c r="AB501" i="1"/>
  <c r="AB493" i="1"/>
  <c r="AB485" i="1"/>
  <c r="AB477" i="1"/>
  <c r="AB469" i="1"/>
  <c r="AB461" i="1"/>
  <c r="AB453" i="1"/>
  <c r="AB445" i="1"/>
  <c r="AB437" i="1"/>
  <c r="AD429" i="1"/>
  <c r="AE429" i="1" s="1"/>
  <c r="AB429" i="1"/>
  <c r="AB421" i="1"/>
  <c r="AB413" i="1"/>
  <c r="AB405" i="1"/>
  <c r="AB397" i="1"/>
  <c r="AB389" i="1"/>
  <c r="AB381" i="1"/>
  <c r="AB373" i="1"/>
  <c r="AB365" i="1"/>
  <c r="AB357" i="1"/>
  <c r="AB349" i="1"/>
  <c r="AB325" i="1"/>
  <c r="AB309" i="1"/>
  <c r="AB257" i="1"/>
  <c r="AD253" i="1"/>
  <c r="AE253" i="1" s="1"/>
  <c r="AB253" i="1"/>
  <c r="AB193" i="1"/>
  <c r="AB157" i="1"/>
  <c r="AB129" i="1"/>
  <c r="AB65" i="1"/>
  <c r="AB61" i="1"/>
  <c r="AB49" i="1"/>
  <c r="AB29" i="1"/>
  <c r="AB489" i="1"/>
  <c r="AB425" i="1"/>
  <c r="AB361" i="1"/>
  <c r="AB337" i="1"/>
  <c r="AB209" i="1"/>
  <c r="AB81" i="1"/>
  <c r="AB433" i="1"/>
  <c r="AB369" i="1"/>
  <c r="AB205" i="1"/>
  <c r="AB473" i="1"/>
  <c r="AB441" i="1"/>
  <c r="AB409" i="1"/>
  <c r="AB377" i="1"/>
  <c r="AB345" i="1"/>
  <c r="AB305" i="1"/>
  <c r="AB241" i="1"/>
  <c r="AB177" i="1"/>
  <c r="AB113" i="1"/>
  <c r="AB490" i="1"/>
  <c r="AB481" i="1"/>
  <c r="AB470" i="1"/>
  <c r="AB458" i="1"/>
  <c r="AB449" i="1"/>
  <c r="AB438" i="1"/>
  <c r="AB426" i="1"/>
  <c r="AB417" i="1"/>
  <c r="AB406" i="1"/>
  <c r="AB394" i="1"/>
  <c r="AB385" i="1"/>
  <c r="AB374" i="1"/>
  <c r="AB362" i="1"/>
  <c r="AB353" i="1"/>
  <c r="AB342" i="1"/>
  <c r="AB321" i="1"/>
  <c r="AB298" i="1"/>
  <c r="AB499" i="1"/>
  <c r="AB495" i="1"/>
  <c r="AB491" i="1"/>
  <c r="AB487" i="1"/>
  <c r="AB483" i="1"/>
  <c r="AB479" i="1"/>
  <c r="AB475" i="1"/>
  <c r="AB471" i="1"/>
  <c r="AB467" i="1"/>
  <c r="AB463" i="1"/>
  <c r="AB459" i="1"/>
  <c r="AB455" i="1"/>
  <c r="AB451" i="1"/>
  <c r="AB447" i="1"/>
  <c r="AB443" i="1"/>
  <c r="AB439" i="1"/>
  <c r="AB435" i="1"/>
  <c r="AB431" i="1"/>
  <c r="AB427" i="1"/>
  <c r="AB423" i="1"/>
  <c r="AB419" i="1"/>
  <c r="AB415" i="1"/>
  <c r="AB411" i="1"/>
  <c r="AB407" i="1"/>
  <c r="AB403" i="1"/>
  <c r="AB399" i="1"/>
  <c r="AB395" i="1"/>
  <c r="AB391" i="1"/>
  <c r="AB387" i="1"/>
  <c r="AB383" i="1"/>
  <c r="AB379" i="1"/>
  <c r="AB375" i="1"/>
  <c r="AB371" i="1"/>
  <c r="AB367" i="1"/>
  <c r="AB363" i="1"/>
  <c r="AB359" i="1"/>
  <c r="AB355" i="1"/>
  <c r="AB351" i="1"/>
  <c r="AB347" i="1"/>
  <c r="AB343" i="1"/>
  <c r="AB339" i="1"/>
  <c r="AB335" i="1"/>
  <c r="AB331" i="1"/>
  <c r="AB327" i="1"/>
  <c r="AB323" i="1"/>
  <c r="AB319" i="1"/>
  <c r="AB315" i="1"/>
  <c r="AB311" i="1"/>
  <c r="AB307" i="1"/>
  <c r="AB303" i="1"/>
  <c r="AB299" i="1"/>
  <c r="AB295" i="1"/>
  <c r="AB291" i="1"/>
  <c r="AB287" i="1"/>
  <c r="AB283" i="1"/>
  <c r="AB279" i="1"/>
  <c r="AB275" i="1"/>
  <c r="AB271" i="1"/>
  <c r="AB267" i="1"/>
  <c r="AB263" i="1"/>
  <c r="AB259" i="1"/>
  <c r="AB255" i="1"/>
  <c r="AB251" i="1"/>
  <c r="AB247" i="1"/>
  <c r="AD243" i="1"/>
  <c r="AE243" i="1" s="1"/>
  <c r="AB243" i="1"/>
  <c r="AB239" i="1"/>
  <c r="AB235" i="1"/>
  <c r="AB231" i="1"/>
  <c r="AB227" i="1"/>
  <c r="AB223" i="1"/>
  <c r="AB219" i="1"/>
  <c r="AD215" i="1"/>
  <c r="AE215" i="1" s="1"/>
  <c r="AB215" i="1"/>
  <c r="AB211" i="1"/>
  <c r="AB207" i="1"/>
  <c r="AB203" i="1"/>
  <c r="AB199" i="1"/>
  <c r="AB195" i="1"/>
  <c r="AB191" i="1"/>
  <c r="AB187" i="1"/>
  <c r="AB183" i="1"/>
  <c r="AB179" i="1"/>
  <c r="AB175" i="1"/>
  <c r="AB171" i="1"/>
  <c r="AB167" i="1"/>
  <c r="AB163" i="1"/>
  <c r="AB159" i="1"/>
  <c r="AB155" i="1"/>
  <c r="AB151" i="1"/>
  <c r="AB147" i="1"/>
  <c r="AB332" i="1"/>
  <c r="AB316" i="1"/>
  <c r="AD500" i="1"/>
  <c r="AE500" i="1" s="1"/>
  <c r="AB500" i="1"/>
  <c r="AB496" i="1"/>
  <c r="AD492" i="1"/>
  <c r="AE492" i="1" s="1"/>
  <c r="AB492" i="1"/>
  <c r="AB488" i="1"/>
  <c r="AB484" i="1"/>
  <c r="AD480" i="1"/>
  <c r="AE480" i="1" s="1"/>
  <c r="AB480" i="1"/>
  <c r="AD476" i="1"/>
  <c r="AE476" i="1" s="1"/>
  <c r="AB476" i="1"/>
  <c r="AD472" i="1"/>
  <c r="AE472" i="1" s="1"/>
  <c r="AB472" i="1"/>
  <c r="AB468" i="1"/>
  <c r="AB464" i="1"/>
  <c r="AD460" i="1"/>
  <c r="AE460" i="1" s="1"/>
  <c r="AB460" i="1"/>
  <c r="AB456" i="1"/>
  <c r="AB452" i="1"/>
  <c r="AD448" i="1"/>
  <c r="AE448" i="1" s="1"/>
  <c r="AB448" i="1"/>
  <c r="AD444" i="1"/>
  <c r="AE444" i="1" s="1"/>
  <c r="AB444" i="1"/>
  <c r="AB440" i="1"/>
  <c r="AB436" i="1"/>
  <c r="AB432" i="1"/>
  <c r="AD428" i="1"/>
  <c r="AE428" i="1" s="1"/>
  <c r="AB428" i="1"/>
  <c r="AB424" i="1"/>
  <c r="AB420" i="1"/>
  <c r="AB416" i="1"/>
  <c r="AD412" i="1"/>
  <c r="AE412" i="1" s="1"/>
  <c r="AB412" i="1"/>
  <c r="AD408" i="1"/>
  <c r="AE408" i="1" s="1"/>
  <c r="AB408" i="1"/>
  <c r="AB404" i="1"/>
  <c r="AB400" i="1"/>
  <c r="AD396" i="1"/>
  <c r="AE396" i="1" s="1"/>
  <c r="AB396" i="1"/>
  <c r="AB392" i="1"/>
  <c r="AB388" i="1"/>
  <c r="AB384" i="1"/>
  <c r="AD380" i="1"/>
  <c r="AE380" i="1" s="1"/>
  <c r="AB380" i="1"/>
  <c r="AB376" i="1"/>
  <c r="AB372" i="1"/>
  <c r="AB368" i="1"/>
  <c r="AD364" i="1"/>
  <c r="AE364" i="1" s="1"/>
  <c r="AB364" i="1"/>
  <c r="AB360" i="1"/>
  <c r="AB356" i="1"/>
  <c r="AD352" i="1"/>
  <c r="AE352" i="1" s="1"/>
  <c r="AB352" i="1"/>
  <c r="AD348" i="1"/>
  <c r="AE348" i="1" s="1"/>
  <c r="AB348" i="1"/>
  <c r="AB344" i="1"/>
  <c r="AB340" i="1"/>
  <c r="AB336" i="1"/>
  <c r="AD328" i="1"/>
  <c r="AE328" i="1" s="1"/>
  <c r="AB328" i="1"/>
  <c r="AB324" i="1"/>
  <c r="AD320" i="1"/>
  <c r="AE320" i="1" s="1"/>
  <c r="AB320" i="1"/>
  <c r="AB312" i="1"/>
  <c r="AB308" i="1"/>
  <c r="AB304" i="1"/>
  <c r="AB296" i="1"/>
  <c r="AB292" i="1"/>
  <c r="AB288" i="1"/>
  <c r="AB284" i="1"/>
  <c r="AD280" i="1"/>
  <c r="AE280" i="1" s="1"/>
  <c r="AB280" i="1"/>
  <c r="AB276" i="1"/>
  <c r="AB272" i="1"/>
  <c r="AB268" i="1"/>
  <c r="AB264" i="1"/>
  <c r="AB260" i="1"/>
  <c r="AB256" i="1"/>
  <c r="AD252" i="1"/>
  <c r="AE252" i="1" s="1"/>
  <c r="AB252" i="1"/>
  <c r="AB248" i="1"/>
  <c r="AD244" i="1"/>
  <c r="AE244" i="1" s="1"/>
  <c r="AB244" i="1"/>
  <c r="AB240" i="1"/>
  <c r="AB236" i="1"/>
  <c r="AB232" i="1"/>
  <c r="AB228" i="1"/>
  <c r="AB224" i="1"/>
  <c r="AB220" i="1"/>
  <c r="AB216" i="1"/>
  <c r="AB212" i="1"/>
  <c r="AB208" i="1"/>
  <c r="AD204" i="1"/>
  <c r="AE204" i="1" s="1"/>
  <c r="AB204" i="1"/>
  <c r="AB200" i="1"/>
  <c r="AB196" i="1"/>
  <c r="AB192" i="1"/>
  <c r="AB188" i="1"/>
  <c r="AB184" i="1"/>
  <c r="AB180" i="1"/>
  <c r="AB176" i="1"/>
  <c r="AB172" i="1"/>
  <c r="AB168" i="1"/>
  <c r="AB164" i="1"/>
  <c r="AD160" i="1"/>
  <c r="AE160" i="1" s="1"/>
  <c r="AB160" i="1"/>
  <c r="AB156" i="1"/>
  <c r="AB152" i="1"/>
  <c r="AB148" i="1"/>
  <c r="AB144" i="1"/>
  <c r="AD140" i="1"/>
  <c r="AE140" i="1" s="1"/>
  <c r="AB140" i="1"/>
  <c r="AB136" i="1"/>
  <c r="AB132" i="1"/>
  <c r="AB128" i="1"/>
  <c r="AB124" i="1"/>
  <c r="AB120" i="1"/>
  <c r="AB116" i="1"/>
  <c r="AB112" i="1"/>
  <c r="AD108" i="1"/>
  <c r="AE108" i="1" s="1"/>
  <c r="AB108" i="1"/>
  <c r="AD104" i="1"/>
  <c r="AE104" i="1" s="1"/>
  <c r="AB104" i="1"/>
  <c r="AD100" i="1"/>
  <c r="AE100" i="1" s="1"/>
  <c r="AB100" i="1"/>
  <c r="AD96" i="1"/>
  <c r="AE96" i="1" s="1"/>
  <c r="AB96" i="1"/>
  <c r="AB92" i="1"/>
  <c r="AB88" i="1"/>
  <c r="AB84" i="1"/>
  <c r="AB80" i="1"/>
  <c r="AD76" i="1"/>
  <c r="AE76" i="1" s="1"/>
  <c r="AB76" i="1"/>
  <c r="AB72" i="1"/>
  <c r="AD68" i="1"/>
  <c r="AE68" i="1" s="1"/>
  <c r="AB68" i="1"/>
  <c r="AB64" i="1"/>
  <c r="AB60" i="1"/>
  <c r="AB56" i="1"/>
  <c r="AB52" i="1"/>
  <c r="AB48" i="1"/>
  <c r="AB44" i="1"/>
  <c r="AB40" i="1"/>
  <c r="AB36" i="1"/>
  <c r="AD32" i="1"/>
  <c r="AE32" i="1" s="1"/>
  <c r="AB32" i="1"/>
  <c r="AB28" i="1"/>
  <c r="AB24" i="1"/>
  <c r="AB20" i="1"/>
  <c r="AB16" i="1"/>
  <c r="AD12" i="1"/>
  <c r="AE12" i="1" s="1"/>
  <c r="AB12" i="1"/>
  <c r="AB8" i="1"/>
  <c r="AB4" i="1"/>
  <c r="AB300" i="1"/>
  <c r="AB143" i="1"/>
  <c r="AB139" i="1"/>
  <c r="AB135" i="1"/>
  <c r="AB131" i="1"/>
  <c r="AB123" i="1"/>
  <c r="AB127" i="1"/>
  <c r="AB119" i="1"/>
  <c r="AB111" i="1"/>
  <c r="AB103" i="1"/>
  <c r="AB99" i="1"/>
  <c r="AB91" i="1"/>
  <c r="AB83" i="1"/>
  <c r="AB75" i="1"/>
  <c r="AB67" i="1"/>
  <c r="AB59" i="1"/>
  <c r="AB51" i="1"/>
  <c r="AB43" i="1"/>
  <c r="AB35" i="1"/>
  <c r="AB27" i="1"/>
  <c r="AB19" i="1"/>
  <c r="AD11" i="1"/>
  <c r="AE11" i="1" s="1"/>
  <c r="AB11" i="1"/>
  <c r="AB3" i="1"/>
  <c r="AB294" i="1"/>
  <c r="AB290" i="1"/>
  <c r="AD286" i="1"/>
  <c r="AE286" i="1" s="1"/>
  <c r="AB286" i="1"/>
  <c r="AB282" i="1"/>
  <c r="AB278" i="1"/>
  <c r="AB274" i="1"/>
  <c r="AD270" i="1"/>
  <c r="AE270" i="1" s="1"/>
  <c r="AB270" i="1"/>
  <c r="AD266" i="1"/>
  <c r="AE266" i="1" s="1"/>
  <c r="AB266" i="1"/>
  <c r="AB262" i="1"/>
  <c r="AD258" i="1"/>
  <c r="AE258" i="1" s="1"/>
  <c r="AB258" i="1"/>
  <c r="AB254" i="1"/>
  <c r="AD250" i="1"/>
  <c r="AE250" i="1" s="1"/>
  <c r="AB250" i="1"/>
  <c r="AB246" i="1"/>
  <c r="AD242" i="1"/>
  <c r="AE242" i="1" s="1"/>
  <c r="AB242" i="1"/>
  <c r="AD238" i="1"/>
  <c r="AE238" i="1" s="1"/>
  <c r="AB238" i="1"/>
  <c r="AD234" i="1"/>
  <c r="AE234" i="1" s="1"/>
  <c r="AB234" i="1"/>
  <c r="AB230" i="1"/>
  <c r="AB226" i="1"/>
  <c r="AD222" i="1"/>
  <c r="AE222" i="1" s="1"/>
  <c r="AB222" i="1"/>
  <c r="AB218" i="1"/>
  <c r="AD214" i="1"/>
  <c r="AE214" i="1" s="1"/>
  <c r="AB214" i="1"/>
  <c r="AB210" i="1"/>
  <c r="AB206" i="1"/>
  <c r="AB202" i="1"/>
  <c r="AB198" i="1"/>
  <c r="AB194" i="1"/>
  <c r="AB190" i="1"/>
  <c r="AB186" i="1"/>
  <c r="AB182" i="1"/>
  <c r="AB178" i="1"/>
  <c r="AB174" i="1"/>
  <c r="AB170" i="1"/>
  <c r="AB166" i="1"/>
  <c r="AB162" i="1"/>
  <c r="AB158" i="1"/>
  <c r="AB154" i="1"/>
  <c r="AB150" i="1"/>
  <c r="AB146" i="1"/>
  <c r="AB142" i="1"/>
  <c r="AB138" i="1"/>
  <c r="AB134" i="1"/>
  <c r="AB130" i="1"/>
  <c r="AB126" i="1"/>
  <c r="AB122" i="1"/>
  <c r="AB118" i="1"/>
  <c r="AB114" i="1"/>
  <c r="AB110" i="1"/>
  <c r="AD106" i="1"/>
  <c r="AE106" i="1" s="1"/>
  <c r="AB106" i="1"/>
  <c r="AB102" i="1"/>
  <c r="AB98" i="1"/>
  <c r="AB94" i="1"/>
  <c r="AB90" i="1"/>
  <c r="AB86" i="1"/>
  <c r="AB82" i="1"/>
  <c r="AB78" i="1"/>
  <c r="AB74" i="1"/>
  <c r="AB70" i="1"/>
  <c r="AB66" i="1"/>
  <c r="AB62" i="1"/>
  <c r="AB58" i="1"/>
  <c r="AB54" i="1"/>
  <c r="AB50" i="1"/>
  <c r="AB46" i="1"/>
  <c r="AB42" i="1"/>
  <c r="AB38" i="1"/>
  <c r="AB34" i="1"/>
  <c r="AB30" i="1"/>
  <c r="AB26" i="1"/>
  <c r="AB22" i="1"/>
  <c r="AB18" i="1"/>
  <c r="AB14" i="1"/>
  <c r="AB10" i="1"/>
  <c r="AB6" i="1"/>
  <c r="AB2" i="1"/>
  <c r="AB334" i="1"/>
  <c r="AB329" i="1"/>
  <c r="AB318" i="1"/>
  <c r="AB313" i="1"/>
  <c r="AB302" i="1"/>
  <c r="AB297" i="1"/>
  <c r="AB281" i="1"/>
  <c r="AB265" i="1"/>
  <c r="AB249" i="1"/>
  <c r="AB233" i="1"/>
  <c r="AB217" i="1"/>
  <c r="AB201" i="1"/>
  <c r="AB185" i="1"/>
  <c r="AB169" i="1"/>
  <c r="AB153" i="1"/>
  <c r="AB137" i="1"/>
  <c r="AB121" i="1"/>
  <c r="AB105" i="1"/>
  <c r="AB89" i="1"/>
  <c r="AB73" i="1"/>
  <c r="AB57" i="1"/>
  <c r="AB41" i="1"/>
  <c r="AB25" i="1"/>
  <c r="AB9" i="1"/>
  <c r="AB115" i="1"/>
  <c r="AB107" i="1"/>
  <c r="AB95" i="1"/>
  <c r="AB87" i="1"/>
  <c r="AB79" i="1"/>
  <c r="AB71" i="1"/>
  <c r="AB63" i="1"/>
  <c r="AB55" i="1"/>
  <c r="AB47" i="1"/>
  <c r="AB39" i="1"/>
  <c r="AB31" i="1"/>
  <c r="AD23" i="1"/>
  <c r="AE23" i="1" s="1"/>
  <c r="AB23" i="1"/>
  <c r="AB15" i="1"/>
  <c r="AB7" i="1"/>
  <c r="AB338" i="1"/>
  <c r="AB322" i="1"/>
  <c r="AB306" i="1"/>
  <c r="AB293" i="1"/>
  <c r="AB277" i="1"/>
  <c r="AB261" i="1"/>
  <c r="AB245" i="1"/>
  <c r="AB229" i="1"/>
  <c r="AB213" i="1"/>
  <c r="AB197" i="1"/>
  <c r="AB181" i="1"/>
  <c r="AB165" i="1"/>
  <c r="AB149" i="1"/>
  <c r="AB133" i="1"/>
  <c r="AB117" i="1"/>
  <c r="AB101" i="1"/>
  <c r="AB85" i="1"/>
  <c r="AB69" i="1"/>
  <c r="AB53" i="1"/>
  <c r="AB37" i="1"/>
  <c r="AB21" i="1"/>
  <c r="AB5" i="1"/>
  <c r="S284" i="1"/>
  <c r="T284" i="1" s="1"/>
  <c r="AR3" i="1"/>
  <c r="V6" i="1"/>
  <c r="V21" i="1"/>
  <c r="V5" i="1"/>
  <c r="V143" i="1"/>
  <c r="V151" i="1"/>
  <c r="V159" i="1"/>
  <c r="V167" i="1"/>
  <c r="V175" i="1"/>
  <c r="V183" i="1"/>
  <c r="V191" i="1"/>
  <c r="V199" i="1"/>
  <c r="V135" i="1"/>
  <c r="V103" i="1"/>
  <c r="V479" i="1"/>
  <c r="V447" i="1"/>
  <c r="V415" i="1"/>
  <c r="V383" i="1"/>
  <c r="V351" i="1"/>
  <c r="V319" i="1"/>
  <c r="V287" i="1"/>
  <c r="V255" i="1"/>
  <c r="V223" i="1"/>
  <c r="V471" i="1"/>
  <c r="V439" i="1"/>
  <c r="V407" i="1"/>
  <c r="V375" i="1"/>
  <c r="V343" i="1"/>
  <c r="V311" i="1"/>
  <c r="V279" i="1"/>
  <c r="V247" i="1"/>
  <c r="V215" i="1"/>
  <c r="V495" i="1"/>
  <c r="V463" i="1"/>
  <c r="V431" i="1"/>
  <c r="V399" i="1"/>
  <c r="V367" i="1"/>
  <c r="V335" i="1"/>
  <c r="V303" i="1"/>
  <c r="V271" i="1"/>
  <c r="V239" i="1"/>
  <c r="V207" i="1"/>
  <c r="V487" i="1"/>
  <c r="V455" i="1"/>
  <c r="V423" i="1"/>
  <c r="V391" i="1"/>
  <c r="V359" i="1"/>
  <c r="V327" i="1"/>
  <c r="V295" i="1"/>
  <c r="V263" i="1"/>
  <c r="V231" i="1"/>
  <c r="V127" i="1"/>
  <c r="V119" i="1"/>
  <c r="V111" i="1"/>
  <c r="V95" i="1"/>
  <c r="V87" i="1"/>
  <c r="V79" i="1"/>
  <c r="V70" i="1"/>
  <c r="V60" i="1"/>
  <c r="V49" i="1"/>
  <c r="V37" i="1"/>
  <c r="V500" i="1"/>
  <c r="V492" i="1"/>
  <c r="V484" i="1"/>
  <c r="V476" i="1"/>
  <c r="V468" i="1"/>
  <c r="V460" i="1"/>
  <c r="V452" i="1"/>
  <c r="V444" i="1"/>
  <c r="V436" i="1"/>
  <c r="V428" i="1"/>
  <c r="V420" i="1"/>
  <c r="V412" i="1"/>
  <c r="V404" i="1"/>
  <c r="V396" i="1"/>
  <c r="V388" i="1"/>
  <c r="V380" i="1"/>
  <c r="V372" i="1"/>
  <c r="V364" i="1"/>
  <c r="V356" i="1"/>
  <c r="V348" i="1"/>
  <c r="V340" i="1"/>
  <c r="V332" i="1"/>
  <c r="V324" i="1"/>
  <c r="V316" i="1"/>
  <c r="V308" i="1"/>
  <c r="V300" i="1"/>
  <c r="V292" i="1"/>
  <c r="V284" i="1"/>
  <c r="V276" i="1"/>
  <c r="V268" i="1"/>
  <c r="V260" i="1"/>
  <c r="V252" i="1"/>
  <c r="V244" i="1"/>
  <c r="V236" i="1"/>
  <c r="V228" i="1"/>
  <c r="V220" i="1"/>
  <c r="V212" i="1"/>
  <c r="V204" i="1"/>
  <c r="V196" i="1"/>
  <c r="V188" i="1"/>
  <c r="V180" i="1"/>
  <c r="V172" i="1"/>
  <c r="V164" i="1"/>
  <c r="V156" i="1"/>
  <c r="V148" i="1"/>
  <c r="V140" i="1"/>
  <c r="V132" i="1"/>
  <c r="V124" i="1"/>
  <c r="V116" i="1"/>
  <c r="V108" i="1"/>
  <c r="V100" i="1"/>
  <c r="V92" i="1"/>
  <c r="V84" i="1"/>
  <c r="V76" i="1"/>
  <c r="V66" i="1"/>
  <c r="V56" i="1"/>
  <c r="V45" i="1"/>
  <c r="V30" i="1"/>
  <c r="V14" i="1"/>
  <c r="V499" i="1"/>
  <c r="V491" i="1"/>
  <c r="V483" i="1"/>
  <c r="V475" i="1"/>
  <c r="V467" i="1"/>
  <c r="V459" i="1"/>
  <c r="V451" i="1"/>
  <c r="V443" i="1"/>
  <c r="V435" i="1"/>
  <c r="V427" i="1"/>
  <c r="V419" i="1"/>
  <c r="V411" i="1"/>
  <c r="V403" i="1"/>
  <c r="V395" i="1"/>
  <c r="V387" i="1"/>
  <c r="V379" i="1"/>
  <c r="V371" i="1"/>
  <c r="V363" i="1"/>
  <c r="V355" i="1"/>
  <c r="V347" i="1"/>
  <c r="V339" i="1"/>
  <c r="V331" i="1"/>
  <c r="V323" i="1"/>
  <c r="V315" i="1"/>
  <c r="V307" i="1"/>
  <c r="V299" i="1"/>
  <c r="V291" i="1"/>
  <c r="V283" i="1"/>
  <c r="V275" i="1"/>
  <c r="V267" i="1"/>
  <c r="V259" i="1"/>
  <c r="V251" i="1"/>
  <c r="V243" i="1"/>
  <c r="V235" i="1"/>
  <c r="V227" i="1"/>
  <c r="V219" i="1"/>
  <c r="V211" i="1"/>
  <c r="V203" i="1"/>
  <c r="V195" i="1"/>
  <c r="V187" i="1"/>
  <c r="V179" i="1"/>
  <c r="V171" i="1"/>
  <c r="V163" i="1"/>
  <c r="V155" i="1"/>
  <c r="V147" i="1"/>
  <c r="V139" i="1"/>
  <c r="V131" i="1"/>
  <c r="V123" i="1"/>
  <c r="V115" i="1"/>
  <c r="V107" i="1"/>
  <c r="V99" i="1"/>
  <c r="V91" i="1"/>
  <c r="V83" i="1"/>
  <c r="V75" i="1"/>
  <c r="V65" i="1"/>
  <c r="V54" i="1"/>
  <c r="V44" i="1"/>
  <c r="V29" i="1"/>
  <c r="V13" i="1"/>
  <c r="V496" i="1"/>
  <c r="V488" i="1"/>
  <c r="V480" i="1"/>
  <c r="V472" i="1"/>
  <c r="V464" i="1"/>
  <c r="V456" i="1"/>
  <c r="V448" i="1"/>
  <c r="V440" i="1"/>
  <c r="V432" i="1"/>
  <c r="V424" i="1"/>
  <c r="V416" i="1"/>
  <c r="V408" i="1"/>
  <c r="V400" i="1"/>
  <c r="V392" i="1"/>
  <c r="V384" i="1"/>
  <c r="V376" i="1"/>
  <c r="V368" i="1"/>
  <c r="V360" i="1"/>
  <c r="V352" i="1"/>
  <c r="V344" i="1"/>
  <c r="V336" i="1"/>
  <c r="V328" i="1"/>
  <c r="V320" i="1"/>
  <c r="V312" i="1"/>
  <c r="V304" i="1"/>
  <c r="V296" i="1"/>
  <c r="V288" i="1"/>
  <c r="V280" i="1"/>
  <c r="V272" i="1"/>
  <c r="V264" i="1"/>
  <c r="V256" i="1"/>
  <c r="V248" i="1"/>
  <c r="V240" i="1"/>
  <c r="V232" i="1"/>
  <c r="V224" i="1"/>
  <c r="V216" i="1"/>
  <c r="V208" i="1"/>
  <c r="V200" i="1"/>
  <c r="V192" i="1"/>
  <c r="V184" i="1"/>
  <c r="V176" i="1"/>
  <c r="V168" i="1"/>
  <c r="V160" i="1"/>
  <c r="V152" i="1"/>
  <c r="V144" i="1"/>
  <c r="V136" i="1"/>
  <c r="V128" i="1"/>
  <c r="V120" i="1"/>
  <c r="V112" i="1"/>
  <c r="V104" i="1"/>
  <c r="V96" i="1"/>
  <c r="V88" i="1"/>
  <c r="V80" i="1"/>
  <c r="V72" i="1"/>
  <c r="V61" i="1"/>
  <c r="V50" i="1"/>
  <c r="V38" i="1"/>
  <c r="V22" i="1"/>
  <c r="V498" i="1"/>
  <c r="V494" i="1"/>
  <c r="V490" i="1"/>
  <c r="V486" i="1"/>
  <c r="V482" i="1"/>
  <c r="V478" i="1"/>
  <c r="V474" i="1"/>
  <c r="V470" i="1"/>
  <c r="V466" i="1"/>
  <c r="V462" i="1"/>
  <c r="V458" i="1"/>
  <c r="V454" i="1"/>
  <c r="V450" i="1"/>
  <c r="V446" i="1"/>
  <c r="V442" i="1"/>
  <c r="V438" i="1"/>
  <c r="V434" i="1"/>
  <c r="V430" i="1"/>
  <c r="V426" i="1"/>
  <c r="V422" i="1"/>
  <c r="V418" i="1"/>
  <c r="V414" i="1"/>
  <c r="V410" i="1"/>
  <c r="V406" i="1"/>
  <c r="V402" i="1"/>
  <c r="V398" i="1"/>
  <c r="V394" i="1"/>
  <c r="V390" i="1"/>
  <c r="V386" i="1"/>
  <c r="V382" i="1"/>
  <c r="V378" i="1"/>
  <c r="V374" i="1"/>
  <c r="V370" i="1"/>
  <c r="V366" i="1"/>
  <c r="V362" i="1"/>
  <c r="V358" i="1"/>
  <c r="V354" i="1"/>
  <c r="V350" i="1"/>
  <c r="V346" i="1"/>
  <c r="V342" i="1"/>
  <c r="V338" i="1"/>
  <c r="V334" i="1"/>
  <c r="V330" i="1"/>
  <c r="V326" i="1"/>
  <c r="V322" i="1"/>
  <c r="V318" i="1"/>
  <c r="V314" i="1"/>
  <c r="V310" i="1"/>
  <c r="V306" i="1"/>
  <c r="V302" i="1"/>
  <c r="V298" i="1"/>
  <c r="V294" i="1"/>
  <c r="V290" i="1"/>
  <c r="V286" i="1"/>
  <c r="V282" i="1"/>
  <c r="V278" i="1"/>
  <c r="V274" i="1"/>
  <c r="V270" i="1"/>
  <c r="V266" i="1"/>
  <c r="V262" i="1"/>
  <c r="V258" i="1"/>
  <c r="V254" i="1"/>
  <c r="V250" i="1"/>
  <c r="V246" i="1"/>
  <c r="V242" i="1"/>
  <c r="V238" i="1"/>
  <c r="V234" i="1"/>
  <c r="V230" i="1"/>
  <c r="V226" i="1"/>
  <c r="V222" i="1"/>
  <c r="V218" i="1"/>
  <c r="V214" i="1"/>
  <c r="V210" i="1"/>
  <c r="V206" i="1"/>
  <c r="V202" i="1"/>
  <c r="V198" i="1"/>
  <c r="V194" i="1"/>
  <c r="V190" i="1"/>
  <c r="V186" i="1"/>
  <c r="V182" i="1"/>
  <c r="V178" i="1"/>
  <c r="V174" i="1"/>
  <c r="V170" i="1"/>
  <c r="V166" i="1"/>
  <c r="V162" i="1"/>
  <c r="V158" i="1"/>
  <c r="V154" i="1"/>
  <c r="V150" i="1"/>
  <c r="V146" i="1"/>
  <c r="V142" i="1"/>
  <c r="V138" i="1"/>
  <c r="V134" i="1"/>
  <c r="V130" i="1"/>
  <c r="V126" i="1"/>
  <c r="V122" i="1"/>
  <c r="V118" i="1"/>
  <c r="V114" i="1"/>
  <c r="V110" i="1"/>
  <c r="V106" i="1"/>
  <c r="V102" i="1"/>
  <c r="V98" i="1"/>
  <c r="V94" i="1"/>
  <c r="V90" i="1"/>
  <c r="V86" i="1"/>
  <c r="V82" i="1"/>
  <c r="V78" i="1"/>
  <c r="V74" i="1"/>
  <c r="V69" i="1"/>
  <c r="V64" i="1"/>
  <c r="V58" i="1"/>
  <c r="V53" i="1"/>
  <c r="V48" i="1"/>
  <c r="V42" i="1"/>
  <c r="V34" i="1"/>
  <c r="V26" i="1"/>
  <c r="V18" i="1"/>
  <c r="V10" i="1"/>
  <c r="V3" i="1"/>
  <c r="V7" i="1"/>
  <c r="V11" i="1"/>
  <c r="V15" i="1"/>
  <c r="V19" i="1"/>
  <c r="V23" i="1"/>
  <c r="V27" i="1"/>
  <c r="V31" i="1"/>
  <c r="V35" i="1"/>
  <c r="V39" i="1"/>
  <c r="V43" i="1"/>
  <c r="V47" i="1"/>
  <c r="V51" i="1"/>
  <c r="V55" i="1"/>
  <c r="V59" i="1"/>
  <c r="V63" i="1"/>
  <c r="V67" i="1"/>
  <c r="V71" i="1"/>
  <c r="V4" i="1"/>
  <c r="V8" i="1"/>
  <c r="V12" i="1"/>
  <c r="V16" i="1"/>
  <c r="V20" i="1"/>
  <c r="V24" i="1"/>
  <c r="V28" i="1"/>
  <c r="V32" i="1"/>
  <c r="V36" i="1"/>
  <c r="V40" i="1"/>
  <c r="V501" i="1"/>
  <c r="V497" i="1"/>
  <c r="V493" i="1"/>
  <c r="V489" i="1"/>
  <c r="V485" i="1"/>
  <c r="V481" i="1"/>
  <c r="V477" i="1"/>
  <c r="V473" i="1"/>
  <c r="V469" i="1"/>
  <c r="V465" i="1"/>
  <c r="V461" i="1"/>
  <c r="V457" i="1"/>
  <c r="V453" i="1"/>
  <c r="V449" i="1"/>
  <c r="V445" i="1"/>
  <c r="V441" i="1"/>
  <c r="V437" i="1"/>
  <c r="V433" i="1"/>
  <c r="V429" i="1"/>
  <c r="V425" i="1"/>
  <c r="V421" i="1"/>
  <c r="V417" i="1"/>
  <c r="V413" i="1"/>
  <c r="V409" i="1"/>
  <c r="V405" i="1"/>
  <c r="V401" i="1"/>
  <c r="V397" i="1"/>
  <c r="V393" i="1"/>
  <c r="V389" i="1"/>
  <c r="V385" i="1"/>
  <c r="V381" i="1"/>
  <c r="V377" i="1"/>
  <c r="V373" i="1"/>
  <c r="V369" i="1"/>
  <c r="V365" i="1"/>
  <c r="V361" i="1"/>
  <c r="V357" i="1"/>
  <c r="V353" i="1"/>
  <c r="V349" i="1"/>
  <c r="V345" i="1"/>
  <c r="V341" i="1"/>
  <c r="V337" i="1"/>
  <c r="V333" i="1"/>
  <c r="V329" i="1"/>
  <c r="V325" i="1"/>
  <c r="V321" i="1"/>
  <c r="V317" i="1"/>
  <c r="V313" i="1"/>
  <c r="V309" i="1"/>
  <c r="V305" i="1"/>
  <c r="V301" i="1"/>
  <c r="V297" i="1"/>
  <c r="V293" i="1"/>
  <c r="V289" i="1"/>
  <c r="V285" i="1"/>
  <c r="V281" i="1"/>
  <c r="V277" i="1"/>
  <c r="V273" i="1"/>
  <c r="V269" i="1"/>
  <c r="V265" i="1"/>
  <c r="V261" i="1"/>
  <c r="V257" i="1"/>
  <c r="V253" i="1"/>
  <c r="V249" i="1"/>
  <c r="V245" i="1"/>
  <c r="V241" i="1"/>
  <c r="V237" i="1"/>
  <c r="V233" i="1"/>
  <c r="V229" i="1"/>
  <c r="V225" i="1"/>
  <c r="V221" i="1"/>
  <c r="V217" i="1"/>
  <c r="V213" i="1"/>
  <c r="V209" i="1"/>
  <c r="V205" i="1"/>
  <c r="V201" i="1"/>
  <c r="V197" i="1"/>
  <c r="V193" i="1"/>
  <c r="V189" i="1"/>
  <c r="V185" i="1"/>
  <c r="V181" i="1"/>
  <c r="V177" i="1"/>
  <c r="V173" i="1"/>
  <c r="V169" i="1"/>
  <c r="V165" i="1"/>
  <c r="V161" i="1"/>
  <c r="V157" i="1"/>
  <c r="V153" i="1"/>
  <c r="V149" i="1"/>
  <c r="V145" i="1"/>
  <c r="V141" i="1"/>
  <c r="V137" i="1"/>
  <c r="V133" i="1"/>
  <c r="V129" i="1"/>
  <c r="V125" i="1"/>
  <c r="V121" i="1"/>
  <c r="V117" i="1"/>
  <c r="V113" i="1"/>
  <c r="V109" i="1"/>
  <c r="V105" i="1"/>
  <c r="V101" i="1"/>
  <c r="V97" i="1"/>
  <c r="V93" i="1"/>
  <c r="V89" i="1"/>
  <c r="V85" i="1"/>
  <c r="V81" i="1"/>
  <c r="V77" i="1"/>
  <c r="V73" i="1"/>
  <c r="V68" i="1"/>
  <c r="V62" i="1"/>
  <c r="V57" i="1"/>
  <c r="V52" i="1"/>
  <c r="V46" i="1"/>
  <c r="V41" i="1"/>
  <c r="V33" i="1"/>
  <c r="V25" i="1"/>
  <c r="V17" i="1"/>
  <c r="V9" i="1"/>
  <c r="S87" i="1"/>
  <c r="T87" i="1" s="1"/>
  <c r="S246" i="1"/>
  <c r="T246" i="1" s="1"/>
  <c r="S495" i="1"/>
  <c r="T495" i="1" s="1"/>
  <c r="S282" i="1"/>
  <c r="T282" i="1" s="1"/>
  <c r="S437" i="1"/>
  <c r="T437" i="1" s="1"/>
  <c r="S88" i="1"/>
  <c r="T88" i="1" s="1"/>
  <c r="S185" i="1"/>
  <c r="T185" i="1" s="1"/>
  <c r="S360" i="1"/>
  <c r="T360" i="1" s="1"/>
  <c r="S276" i="1"/>
  <c r="T276" i="1" s="1"/>
  <c r="S254" i="1"/>
  <c r="T254" i="1" s="1"/>
  <c r="S249" i="1"/>
  <c r="T249" i="1" s="1"/>
  <c r="S269" i="1"/>
  <c r="T269" i="1" s="1"/>
  <c r="S499" i="1"/>
  <c r="T499" i="1" s="1"/>
  <c r="S184" i="1"/>
  <c r="T184" i="1" s="1"/>
  <c r="S123" i="1"/>
  <c r="T123" i="1" s="1"/>
  <c r="S359" i="1"/>
  <c r="T359" i="1" s="1"/>
  <c r="S335" i="1"/>
  <c r="T335" i="1" s="1"/>
  <c r="S422" i="1"/>
  <c r="T422" i="1" s="1"/>
  <c r="S107" i="1"/>
  <c r="T107" i="1" s="1"/>
  <c r="S156" i="1"/>
  <c r="T156" i="1" s="1"/>
  <c r="S215" i="1"/>
  <c r="T215" i="1" s="1"/>
  <c r="S289" i="1"/>
  <c r="T289" i="1" s="1"/>
  <c r="S365" i="1"/>
  <c r="T365" i="1" s="1"/>
  <c r="S401" i="1"/>
  <c r="T401" i="1" s="1"/>
  <c r="S242" i="1"/>
  <c r="T242" i="1" s="1"/>
  <c r="S176" i="1"/>
  <c r="T176" i="1" s="1"/>
  <c r="S222" i="1"/>
  <c r="T222" i="1" s="1"/>
  <c r="AP3" i="1"/>
  <c r="W2" i="1" s="1"/>
  <c r="X2" i="1" s="1"/>
  <c r="S337" i="1"/>
  <c r="T337" i="1" s="1"/>
  <c r="S213" i="1"/>
  <c r="T213" i="1" s="1"/>
  <c r="S357" i="1"/>
  <c r="T357" i="1" s="1"/>
  <c r="S307" i="1"/>
  <c r="T307" i="1" s="1"/>
  <c r="S147" i="1"/>
  <c r="T147" i="1" s="1"/>
  <c r="S197" i="1"/>
  <c r="T197" i="1" s="1"/>
  <c r="S428" i="1"/>
  <c r="T428" i="1" s="1"/>
  <c r="S461" i="1"/>
  <c r="T461" i="1" s="1"/>
  <c r="S229" i="1"/>
  <c r="T229" i="1" s="1"/>
  <c r="S91" i="1"/>
  <c r="T91" i="1" s="1"/>
  <c r="S415" i="1"/>
  <c r="T415" i="1" s="1"/>
  <c r="S137" i="1"/>
  <c r="T137" i="1" s="1"/>
  <c r="S478" i="1"/>
  <c r="T478" i="1" s="1"/>
  <c r="S188" i="1"/>
  <c r="T188" i="1" s="1"/>
  <c r="S431" i="1"/>
  <c r="T431" i="1" s="1"/>
  <c r="S438" i="1"/>
  <c r="T438" i="1" s="1"/>
  <c r="S34" i="1"/>
  <c r="T34" i="1" s="1"/>
  <c r="S205" i="1"/>
  <c r="T205" i="1" s="1"/>
  <c r="S6" i="1"/>
  <c r="T6" i="1" s="1"/>
  <c r="S125" i="1"/>
  <c r="T125" i="1" s="1"/>
  <c r="S17" i="1"/>
  <c r="T17" i="1" s="1"/>
  <c r="S92" i="1"/>
  <c r="T92" i="1" s="1"/>
  <c r="S66" i="1"/>
  <c r="T66" i="1" s="1"/>
  <c r="S164" i="1"/>
  <c r="T164" i="1" s="1"/>
  <c r="S240" i="1"/>
  <c r="T240" i="1" s="1"/>
  <c r="S60" i="1"/>
  <c r="T60" i="1" s="1"/>
  <c r="S124" i="1"/>
  <c r="T124" i="1" s="1"/>
  <c r="S445" i="1"/>
  <c r="T445" i="1" s="1"/>
  <c r="S186" i="1"/>
  <c r="T186" i="1" s="1"/>
  <c r="S352" i="1"/>
  <c r="T352" i="1" s="1"/>
  <c r="S440" i="1"/>
  <c r="T440" i="1" s="1"/>
  <c r="S275" i="1"/>
  <c r="T275" i="1" s="1"/>
  <c r="S182" i="1"/>
  <c r="T182" i="1" s="1"/>
  <c r="S361" i="1"/>
  <c r="T361" i="1" s="1"/>
  <c r="S46" i="1"/>
  <c r="T46" i="1" s="1"/>
  <c r="S116" i="1"/>
  <c r="T116" i="1" s="1"/>
  <c r="S165" i="1"/>
  <c r="T165" i="1" s="1"/>
  <c r="S134" i="1"/>
  <c r="T134" i="1" s="1"/>
  <c r="S293" i="1"/>
  <c r="T293" i="1" s="1"/>
  <c r="S183" i="1"/>
  <c r="T183" i="1" s="1"/>
  <c r="S74" i="1"/>
  <c r="T74" i="1" s="1"/>
  <c r="S479" i="1"/>
  <c r="T479" i="1" s="1"/>
  <c r="S388" i="1"/>
  <c r="T388" i="1" s="1"/>
  <c r="S299" i="1"/>
  <c r="T299" i="1" s="1"/>
  <c r="S344" i="1"/>
  <c r="T344" i="1" s="1"/>
  <c r="S380" i="1"/>
  <c r="T380" i="1" s="1"/>
  <c r="S303" i="1"/>
  <c r="T303" i="1" s="1"/>
  <c r="S5" i="1"/>
  <c r="T5" i="1" s="1"/>
  <c r="S216" i="1"/>
  <c r="T216" i="1" s="1"/>
  <c r="S214" i="1"/>
  <c r="T214" i="1" s="1"/>
  <c r="S189" i="1"/>
  <c r="T189" i="1" s="1"/>
  <c r="S425" i="1"/>
  <c r="T425" i="1" s="1"/>
  <c r="S486" i="1"/>
  <c r="T486" i="1" s="1"/>
  <c r="S101" i="1"/>
  <c r="T101" i="1" s="1"/>
  <c r="S2" i="1"/>
  <c r="T2" i="1" s="1"/>
  <c r="S366" i="1"/>
  <c r="T366" i="1" s="1"/>
  <c r="S470" i="1"/>
  <c r="T470" i="1" s="1"/>
  <c r="S102" i="1"/>
  <c r="T102" i="1" s="1"/>
  <c r="S385" i="1"/>
  <c r="T385" i="1" s="1"/>
  <c r="S277" i="1"/>
  <c r="T277" i="1" s="1"/>
  <c r="S112" i="1"/>
  <c r="T112" i="1" s="1"/>
  <c r="S167" i="1"/>
  <c r="T167" i="1" s="1"/>
  <c r="S375" i="1"/>
  <c r="T375" i="1" s="1"/>
  <c r="S50" i="1"/>
  <c r="T50" i="1" s="1"/>
  <c r="S57" i="1"/>
  <c r="T57" i="1" s="1"/>
  <c r="S38" i="1"/>
  <c r="T38" i="1" s="1"/>
  <c r="S480" i="1"/>
  <c r="T480" i="1" s="1"/>
  <c r="S287" i="1"/>
  <c r="T287" i="1" s="1"/>
  <c r="S118" i="1"/>
  <c r="T118" i="1" s="1"/>
  <c r="S336" i="1"/>
  <c r="T336" i="1" s="1"/>
  <c r="S198" i="1"/>
  <c r="T198" i="1" s="1"/>
  <c r="S41" i="1"/>
  <c r="T41" i="1" s="1"/>
  <c r="S386" i="1"/>
  <c r="T386" i="1" s="1"/>
  <c r="S354" i="1"/>
  <c r="T354" i="1" s="1"/>
  <c r="S10" i="1"/>
  <c r="T10" i="1" s="1"/>
  <c r="S86" i="1"/>
  <c r="T86" i="1" s="1"/>
  <c r="S378" i="1"/>
  <c r="T378" i="1" s="1"/>
  <c r="S417" i="1"/>
  <c r="T417" i="1" s="1"/>
  <c r="S463" i="1"/>
  <c r="T463" i="1" s="1"/>
  <c r="S267" i="1"/>
  <c r="T267" i="1" s="1"/>
  <c r="S208" i="1"/>
  <c r="T208" i="1" s="1"/>
  <c r="S56" i="1"/>
  <c r="T56" i="1" s="1"/>
  <c r="S404" i="1"/>
  <c r="T404" i="1" s="1"/>
  <c r="S207" i="1"/>
  <c r="T207" i="1" s="1"/>
  <c r="S196" i="1"/>
  <c r="T196" i="1" s="1"/>
  <c r="S481" i="1"/>
  <c r="T481" i="1" s="1"/>
  <c r="S297" i="1"/>
  <c r="T297" i="1" s="1"/>
  <c r="S268" i="1"/>
  <c r="T268" i="1" s="1"/>
  <c r="S347" i="1"/>
  <c r="T347" i="1" s="1"/>
  <c r="S396" i="1"/>
  <c r="T396" i="1" s="1"/>
  <c r="S220" i="1"/>
  <c r="T220" i="1" s="1"/>
  <c r="S449" i="1"/>
  <c r="T449" i="1" s="1"/>
  <c r="S250" i="1"/>
  <c r="T250" i="1" s="1"/>
  <c r="S59" i="1"/>
  <c r="T59" i="1" s="1"/>
  <c r="S414" i="1"/>
  <c r="T414" i="1" s="1"/>
  <c r="S179" i="1"/>
  <c r="T179" i="1" s="1"/>
  <c r="S233" i="1"/>
  <c r="T233" i="1" s="1"/>
  <c r="S328" i="1"/>
  <c r="T328" i="1" s="1"/>
  <c r="S345" i="1"/>
  <c r="T345" i="1" s="1"/>
  <c r="S261" i="1"/>
  <c r="T261" i="1" s="1"/>
  <c r="S61" i="1"/>
  <c r="T61" i="1" s="1"/>
  <c r="S394" i="1"/>
  <c r="T394" i="1" s="1"/>
  <c r="S330" i="1"/>
  <c r="T330" i="1" s="1"/>
  <c r="S252" i="1"/>
  <c r="T252" i="1" s="1"/>
  <c r="S292" i="1"/>
  <c r="T292" i="1" s="1"/>
  <c r="S262" i="1"/>
  <c r="T262" i="1" s="1"/>
  <c r="S20" i="1"/>
  <c r="T20" i="1" s="1"/>
  <c r="S407" i="1"/>
  <c r="T407" i="1" s="1"/>
  <c r="S236" i="1"/>
  <c r="T236" i="1" s="1"/>
  <c r="S496" i="1"/>
  <c r="T496" i="1" s="1"/>
  <c r="S439" i="1"/>
  <c r="T439" i="1" s="1"/>
  <c r="S181" i="1"/>
  <c r="T181" i="1" s="1"/>
  <c r="S228" i="1"/>
  <c r="T228" i="1" s="1"/>
  <c r="S149" i="1"/>
  <c r="T149" i="1" s="1"/>
  <c r="S139" i="1"/>
  <c r="T139" i="1" s="1"/>
  <c r="S462" i="1"/>
  <c r="T462" i="1" s="1"/>
  <c r="S322" i="1"/>
  <c r="T322" i="1" s="1"/>
  <c r="S190" i="1"/>
  <c r="T190" i="1" s="1"/>
  <c r="S199" i="1"/>
  <c r="T199" i="1" s="1"/>
  <c r="S348" i="1"/>
  <c r="T348" i="1" s="1"/>
  <c r="S150" i="1"/>
  <c r="T150" i="1" s="1"/>
  <c r="S427" i="1"/>
  <c r="T427" i="1" s="1"/>
  <c r="S109" i="1"/>
  <c r="T109" i="1" s="1"/>
  <c r="S305" i="1"/>
  <c r="T305" i="1" s="1"/>
  <c r="S69" i="1"/>
  <c r="T69" i="1" s="1"/>
  <c r="S79" i="1"/>
  <c r="T79" i="1" s="1"/>
  <c r="S138" i="1"/>
  <c r="T138" i="1" s="1"/>
  <c r="S161" i="1"/>
  <c r="T161" i="1" s="1"/>
  <c r="S29" i="1"/>
  <c r="T29" i="1" s="1"/>
  <c r="S498" i="1"/>
  <c r="T498" i="1" s="1"/>
  <c r="S35" i="1"/>
  <c r="T35" i="1" s="1"/>
  <c r="S430" i="1"/>
  <c r="T430" i="1" s="1"/>
  <c r="S278" i="1"/>
  <c r="T278" i="1" s="1"/>
  <c r="S453" i="1"/>
  <c r="T453" i="1" s="1"/>
  <c r="S419" i="1"/>
  <c r="T419" i="1" s="1"/>
  <c r="S410" i="1"/>
  <c r="T410" i="1" s="1"/>
  <c r="S76" i="1"/>
  <c r="T76" i="1" s="1"/>
  <c r="S489" i="1"/>
  <c r="T489" i="1" s="1"/>
  <c r="S96" i="1"/>
  <c r="T96" i="1" s="1"/>
  <c r="S362" i="1"/>
  <c r="T362" i="1" s="1"/>
  <c r="S195" i="1"/>
  <c r="T195" i="1" s="1"/>
  <c r="S25" i="1"/>
  <c r="T25" i="1" s="1"/>
  <c r="S466" i="1"/>
  <c r="T466" i="1" s="1"/>
  <c r="S97" i="1"/>
  <c r="T97" i="1" s="1"/>
  <c r="S170" i="1"/>
  <c r="T170" i="1" s="1"/>
  <c r="S339" i="1"/>
  <c r="T339" i="1" s="1"/>
  <c r="S27" i="1"/>
  <c r="T27" i="1" s="1"/>
  <c r="S343" i="1"/>
  <c r="T343" i="1" s="1"/>
  <c r="S391" i="1"/>
  <c r="T391" i="1" s="1"/>
  <c r="S23" i="1"/>
  <c r="T23" i="1" s="1"/>
  <c r="S103" i="1"/>
  <c r="T103" i="1" s="1"/>
  <c r="S281" i="1"/>
  <c r="T281" i="1" s="1"/>
  <c r="S286" i="1"/>
  <c r="T286" i="1" s="1"/>
  <c r="S89" i="1"/>
  <c r="T89" i="1" s="1"/>
  <c r="S464" i="1"/>
  <c r="T464" i="1" s="1"/>
  <c r="S374" i="1"/>
  <c r="T374" i="1" s="1"/>
  <c r="S224" i="1"/>
  <c r="T224" i="1" s="1"/>
  <c r="S290" i="1"/>
  <c r="T290" i="1" s="1"/>
  <c r="S402" i="1"/>
  <c r="T402" i="1" s="1"/>
  <c r="S73" i="1"/>
  <c r="T73" i="1" s="1"/>
  <c r="S132" i="1"/>
  <c r="T132" i="1" s="1"/>
  <c r="S274" i="1"/>
  <c r="T274" i="1" s="1"/>
  <c r="S62" i="1"/>
  <c r="T62" i="1" s="1"/>
  <c r="S457" i="1"/>
  <c r="T457" i="1" s="1"/>
  <c r="S53" i="1"/>
  <c r="T53" i="1" s="1"/>
  <c r="S474" i="1"/>
  <c r="T474" i="1" s="1"/>
  <c r="S369" i="1"/>
  <c r="T369" i="1" s="1"/>
  <c r="S204" i="1"/>
  <c r="T204" i="1" s="1"/>
  <c r="S75" i="1"/>
  <c r="T75" i="1" s="1"/>
  <c r="S48" i="1"/>
  <c r="T48" i="1" s="1"/>
  <c r="S459" i="1"/>
  <c r="T459" i="1" s="1"/>
  <c r="S333" i="1"/>
  <c r="T333" i="1" s="1"/>
  <c r="S153" i="1"/>
  <c r="T153" i="1" s="1"/>
  <c r="S58" i="1"/>
  <c r="T58" i="1" s="1"/>
  <c r="S255" i="1"/>
  <c r="T255" i="1" s="1"/>
  <c r="S129" i="1"/>
  <c r="T129" i="1" s="1"/>
  <c r="S72" i="1"/>
  <c r="T72" i="1" s="1"/>
  <c r="S296" i="1"/>
  <c r="T296" i="1" s="1"/>
  <c r="S128" i="1"/>
  <c r="T128" i="1" s="1"/>
  <c r="S500" i="1"/>
  <c r="T500" i="1" s="1"/>
  <c r="S108" i="1"/>
  <c r="T108" i="1" s="1"/>
  <c r="S9" i="1"/>
  <c r="T9" i="1" s="1"/>
  <c r="S455" i="1"/>
  <c r="T455" i="1" s="1"/>
  <c r="S384" i="1"/>
  <c r="T384" i="1" s="1"/>
  <c r="S291" i="1"/>
  <c r="T291" i="1" s="1"/>
  <c r="S219" i="1"/>
  <c r="T219" i="1" s="1"/>
  <c r="S346" i="1"/>
  <c r="T346" i="1" s="1"/>
  <c r="S432" i="1"/>
  <c r="T432" i="1" s="1"/>
  <c r="S409" i="1"/>
  <c r="T409" i="1" s="1"/>
  <c r="S202" i="1"/>
  <c r="T202" i="1" s="1"/>
  <c r="S327" i="1"/>
  <c r="T327" i="1" s="1"/>
  <c r="S44" i="1"/>
  <c r="T44" i="1" s="1"/>
  <c r="S225" i="1"/>
  <c r="T225" i="1" s="1"/>
  <c r="S241" i="1"/>
  <c r="T241" i="1" s="1"/>
  <c r="S248" i="1"/>
  <c r="T248" i="1" s="1"/>
  <c r="S12" i="1"/>
  <c r="T12" i="1" s="1"/>
  <c r="S342" i="1"/>
  <c r="T342" i="1" s="1"/>
  <c r="S136" i="1"/>
  <c r="T136" i="1" s="1"/>
  <c r="S166" i="1"/>
  <c r="T166" i="1" s="1"/>
  <c r="S397" i="1"/>
  <c r="T397" i="1" s="1"/>
  <c r="S120" i="1"/>
  <c r="T120" i="1" s="1"/>
  <c r="S211" i="1"/>
  <c r="T211" i="1" s="1"/>
  <c r="S98" i="1"/>
  <c r="T98" i="1" s="1"/>
  <c r="S192" i="1"/>
  <c r="T192" i="1" s="1"/>
  <c r="S54" i="1"/>
  <c r="T54" i="1" s="1"/>
  <c r="S444" i="1"/>
  <c r="T444" i="1" s="1"/>
  <c r="S458" i="1"/>
  <c r="T458" i="1" s="1"/>
  <c r="S82" i="1"/>
  <c r="T82" i="1" s="1"/>
  <c r="S206" i="1"/>
  <c r="T206" i="1" s="1"/>
  <c r="S180" i="1"/>
  <c r="T180" i="1" s="1"/>
  <c r="S244" i="1"/>
  <c r="T244" i="1" s="1"/>
  <c r="S370" i="1"/>
  <c r="T370" i="1" s="1"/>
  <c r="S411" i="1"/>
  <c r="T411" i="1" s="1"/>
  <c r="S376" i="1"/>
  <c r="T376" i="1" s="1"/>
  <c r="S159" i="1"/>
  <c r="T159" i="1" s="1"/>
  <c r="S392" i="1"/>
  <c r="T392" i="1" s="1"/>
  <c r="S304" i="1"/>
  <c r="T304" i="1" s="1"/>
  <c r="S174" i="1"/>
  <c r="T174" i="1" s="1"/>
  <c r="S452" i="1"/>
  <c r="T452" i="1" s="1"/>
  <c r="S232" i="1"/>
  <c r="T232" i="1" s="1"/>
  <c r="S148" i="1"/>
  <c r="T148" i="1" s="1"/>
  <c r="S363" i="1"/>
  <c r="T363" i="1" s="1"/>
  <c r="S390" i="1"/>
  <c r="T390" i="1" s="1"/>
  <c r="S373" i="1"/>
  <c r="T373" i="1" s="1"/>
  <c r="S338" i="1"/>
  <c r="T338" i="1" s="1"/>
  <c r="S227" i="1"/>
  <c r="T227" i="1" s="1"/>
  <c r="S288" i="1"/>
  <c r="T288" i="1" s="1"/>
  <c r="S105" i="1"/>
  <c r="T105" i="1" s="1"/>
  <c r="S63" i="1"/>
  <c r="T63" i="1" s="1"/>
  <c r="S11" i="1"/>
  <c r="T11" i="1" s="1"/>
  <c r="S313" i="1"/>
  <c r="T313" i="1" s="1"/>
  <c r="S155" i="1"/>
  <c r="T155" i="1" s="1"/>
  <c r="S52" i="1"/>
  <c r="T52" i="1" s="1"/>
  <c r="S130" i="1"/>
  <c r="T130" i="1" s="1"/>
  <c r="S43" i="1"/>
  <c r="T43" i="1" s="1"/>
  <c r="S301" i="1"/>
  <c r="T301" i="1" s="1"/>
  <c r="S16" i="1"/>
  <c r="T16" i="1" s="1"/>
  <c r="S32" i="1"/>
  <c r="T32" i="1" s="1"/>
  <c r="S473" i="1"/>
  <c r="T473" i="1" s="1"/>
  <c r="S93" i="1"/>
  <c r="T93" i="1" s="1"/>
  <c r="S83" i="1"/>
  <c r="T83" i="1" s="1"/>
  <c r="S31" i="1"/>
  <c r="T31" i="1" s="1"/>
  <c r="S311" i="1"/>
  <c r="T311" i="1" s="1"/>
  <c r="S350" i="1"/>
  <c r="T350" i="1" s="1"/>
  <c r="S131" i="1"/>
  <c r="T131" i="1" s="1"/>
  <c r="S55" i="1"/>
  <c r="T55" i="1" s="1"/>
  <c r="S42" i="1"/>
  <c r="T42" i="1" s="1"/>
  <c r="S77" i="1"/>
  <c r="T77" i="1" s="1"/>
  <c r="S4" i="1"/>
  <c r="T4" i="1" s="1"/>
  <c r="S285" i="1"/>
  <c r="T285" i="1" s="1"/>
  <c r="S312" i="1"/>
  <c r="T312" i="1" s="1"/>
  <c r="S95" i="1"/>
  <c r="T95" i="1" s="1"/>
  <c r="S454" i="1"/>
  <c r="T454" i="1" s="1"/>
  <c r="S468" i="1"/>
  <c r="T468" i="1" s="1"/>
  <c r="S306" i="1"/>
  <c r="T306" i="1" s="1"/>
  <c r="S451" i="1"/>
  <c r="T451" i="1" s="1"/>
  <c r="S400" i="1"/>
  <c r="T400" i="1" s="1"/>
  <c r="S163" i="1"/>
  <c r="T163" i="1" s="1"/>
  <c r="S309" i="1"/>
  <c r="T309" i="1" s="1"/>
  <c r="S151" i="1"/>
  <c r="T151" i="1" s="1"/>
  <c r="S40" i="1"/>
  <c r="T40" i="1" s="1"/>
  <c r="S341" i="1"/>
  <c r="T341" i="1" s="1"/>
  <c r="S424" i="1"/>
  <c r="T424" i="1" s="1"/>
  <c r="S127" i="1"/>
  <c r="T127" i="1" s="1"/>
  <c r="S257" i="1"/>
  <c r="T257" i="1" s="1"/>
  <c r="S99" i="1"/>
  <c r="T99" i="1" s="1"/>
  <c r="S172" i="1"/>
  <c r="T172" i="1" s="1"/>
  <c r="S28" i="1"/>
  <c r="T28" i="1" s="1"/>
  <c r="S3" i="1"/>
  <c r="T3" i="1" s="1"/>
  <c r="S356" i="1"/>
  <c r="T356" i="1" s="1"/>
  <c r="S126" i="1"/>
  <c r="T126" i="1" s="1"/>
  <c r="S487" i="1"/>
  <c r="T487" i="1" s="1"/>
  <c r="S447" i="1"/>
  <c r="T447" i="1" s="1"/>
  <c r="S494" i="1"/>
  <c r="T494" i="1" s="1"/>
  <c r="S501" i="1"/>
  <c r="T501" i="1" s="1"/>
  <c r="S383" i="1"/>
  <c r="T383" i="1" s="1"/>
  <c r="S142" i="1"/>
  <c r="T142" i="1" s="1"/>
  <c r="S144" i="1"/>
  <c r="T144" i="1" s="1"/>
  <c r="S450" i="1"/>
  <c r="T450" i="1" s="1"/>
  <c r="S483" i="1"/>
  <c r="T483" i="1" s="1"/>
  <c r="S177" i="1"/>
  <c r="T177" i="1" s="1"/>
  <c r="S104" i="1"/>
  <c r="T104" i="1" s="1"/>
  <c r="S210" i="1"/>
  <c r="T210" i="1" s="1"/>
  <c r="S201" i="1"/>
  <c r="T201" i="1" s="1"/>
  <c r="S133" i="1"/>
  <c r="T133" i="1" s="1"/>
  <c r="S294" i="1"/>
  <c r="T294" i="1" s="1"/>
  <c r="S426" i="1"/>
  <c r="T426" i="1" s="1"/>
  <c r="S471" i="1"/>
  <c r="T471" i="1" s="1"/>
  <c r="S465" i="1"/>
  <c r="T465" i="1" s="1"/>
  <c r="S485" i="1"/>
  <c r="T485" i="1" s="1"/>
  <c r="S37" i="1"/>
  <c r="T37" i="1" s="1"/>
  <c r="S408" i="1"/>
  <c r="T408" i="1" s="1"/>
  <c r="S140" i="1"/>
  <c r="T140" i="1" s="1"/>
  <c r="S300" i="1"/>
  <c r="T300" i="1" s="1"/>
  <c r="S371" i="1"/>
  <c r="T371" i="1" s="1"/>
  <c r="S15" i="1"/>
  <c r="T15" i="1" s="1"/>
  <c r="S321" i="1"/>
  <c r="T321" i="1" s="1"/>
  <c r="S64" i="1"/>
  <c r="T64" i="1" s="1"/>
  <c r="S18" i="1"/>
  <c r="T18" i="1" s="1"/>
  <c r="S22" i="1"/>
  <c r="T22" i="1" s="1"/>
  <c r="S477" i="1"/>
  <c r="T477" i="1" s="1"/>
  <c r="S238" i="1"/>
  <c r="T238" i="1" s="1"/>
  <c r="S106" i="1"/>
  <c r="T106" i="1" s="1"/>
  <c r="S239" i="1"/>
  <c r="T239" i="1" s="1"/>
  <c r="S469" i="1"/>
  <c r="T469" i="1" s="1"/>
  <c r="S175" i="1"/>
  <c r="T175" i="1" s="1"/>
  <c r="S90" i="1"/>
  <c r="T90" i="1" s="1"/>
  <c r="S212" i="1"/>
  <c r="T212" i="1" s="1"/>
  <c r="S395" i="1"/>
  <c r="T395" i="1" s="1"/>
  <c r="S171" i="1"/>
  <c r="T171" i="1" s="1"/>
  <c r="S298" i="1"/>
  <c r="T298" i="1" s="1"/>
  <c r="S416" i="1"/>
  <c r="T416" i="1" s="1"/>
  <c r="S259" i="1"/>
  <c r="T259" i="1" s="1"/>
  <c r="S209" i="1"/>
  <c r="T209" i="1" s="1"/>
  <c r="S141" i="1"/>
  <c r="T141" i="1" s="1"/>
  <c r="S331" i="1"/>
  <c r="T331" i="1" s="1"/>
  <c r="S398" i="1"/>
  <c r="T398" i="1" s="1"/>
  <c r="S423" i="1"/>
  <c r="T423" i="1" s="1"/>
  <c r="S111" i="1"/>
  <c r="T111" i="1" s="1"/>
  <c r="S256" i="1"/>
  <c r="T256" i="1" s="1"/>
  <c r="S121" i="1"/>
  <c r="T121" i="1" s="1"/>
  <c r="S78" i="1"/>
  <c r="T78" i="1" s="1"/>
  <c r="S247" i="1"/>
  <c r="T247" i="1" s="1"/>
  <c r="S260" i="1"/>
  <c r="T260" i="1" s="1"/>
  <c r="S490" i="1"/>
  <c r="T490" i="1" s="1"/>
  <c r="S475" i="1"/>
  <c r="T475" i="1" s="1"/>
  <c r="S295" i="1"/>
  <c r="T295" i="1" s="1"/>
  <c r="S448" i="1"/>
  <c r="T448" i="1" s="1"/>
  <c r="S315" i="1"/>
  <c r="T315" i="1" s="1"/>
  <c r="S117" i="1"/>
  <c r="T117" i="1" s="1"/>
  <c r="S47" i="1"/>
  <c r="T47" i="1" s="1"/>
  <c r="S355" i="1"/>
  <c r="T355" i="1" s="1"/>
  <c r="S436" i="1"/>
  <c r="T436" i="1" s="1"/>
  <c r="S279" i="1"/>
  <c r="T279" i="1" s="1"/>
  <c r="S349" i="1"/>
  <c r="T349" i="1" s="1"/>
  <c r="S484" i="1"/>
  <c r="T484" i="1" s="1"/>
  <c r="S358" i="1"/>
  <c r="T358" i="1" s="1"/>
  <c r="S497" i="1"/>
  <c r="T497" i="1" s="1"/>
  <c r="S367" i="1"/>
  <c r="T367" i="1" s="1"/>
  <c r="S456" i="1"/>
  <c r="T456" i="1" s="1"/>
  <c r="S251" i="1"/>
  <c r="T251" i="1" s="1"/>
  <c r="S65" i="1"/>
  <c r="T65" i="1" s="1"/>
  <c r="S218" i="1"/>
  <c r="T218" i="1" s="1"/>
  <c r="S36" i="1"/>
  <c r="T36" i="1" s="1"/>
  <c r="S221" i="1"/>
  <c r="T221" i="1" s="1"/>
  <c r="S413" i="1"/>
  <c r="T413" i="1" s="1"/>
  <c r="S113" i="1"/>
  <c r="T113" i="1" s="1"/>
  <c r="S316" i="1"/>
  <c r="T316" i="1" s="1"/>
  <c r="S33" i="1"/>
  <c r="T33" i="1" s="1"/>
  <c r="S119" i="1"/>
  <c r="T119" i="1" s="1"/>
  <c r="S235" i="1"/>
  <c r="T235" i="1" s="1"/>
  <c r="S318" i="1"/>
  <c r="T318" i="1" s="1"/>
  <c r="S372" i="1"/>
  <c r="T372" i="1" s="1"/>
  <c r="S223" i="1"/>
  <c r="T223" i="1" s="1"/>
  <c r="S302" i="1"/>
  <c r="T302" i="1" s="1"/>
  <c r="S324" i="1"/>
  <c r="T324" i="1" s="1"/>
  <c r="S253" i="1"/>
  <c r="T253" i="1" s="1"/>
  <c r="S14" i="1"/>
  <c r="T14" i="1" s="1"/>
  <c r="S115" i="1"/>
  <c r="T115" i="1" s="1"/>
  <c r="S226" i="1"/>
  <c r="T226" i="1" s="1"/>
  <c r="S266" i="1"/>
  <c r="T266" i="1" s="1"/>
  <c r="S381" i="1"/>
  <c r="T381" i="1" s="1"/>
  <c r="S442" i="1"/>
  <c r="T442" i="1" s="1"/>
  <c r="S100" i="1"/>
  <c r="T100" i="1" s="1"/>
  <c r="S162" i="1"/>
  <c r="T162" i="1" s="1"/>
  <c r="S169" i="1"/>
  <c r="T169" i="1" s="1"/>
  <c r="S283" i="1"/>
  <c r="T283" i="1" s="1"/>
  <c r="S429" i="1"/>
  <c r="T429" i="1" s="1"/>
  <c r="S418" i="1"/>
  <c r="T418" i="1" s="1"/>
  <c r="S230" i="1"/>
  <c r="T230" i="1" s="1"/>
  <c r="S323" i="1"/>
  <c r="T323" i="1" s="1"/>
  <c r="S435" i="1"/>
  <c r="T435" i="1" s="1"/>
  <c r="S382" i="1"/>
  <c r="T382" i="1" s="1"/>
  <c r="S154" i="1"/>
  <c r="T154" i="1" s="1"/>
  <c r="S70" i="1"/>
  <c r="T70" i="1" s="1"/>
  <c r="S158" i="1"/>
  <c r="T158" i="1" s="1"/>
  <c r="S143" i="1"/>
  <c r="T143" i="1" s="1"/>
  <c r="S265" i="1"/>
  <c r="T265" i="1" s="1"/>
  <c r="S332" i="1"/>
  <c r="T332" i="1" s="1"/>
  <c r="S243" i="1"/>
  <c r="T243" i="1" s="1"/>
  <c r="S271" i="1"/>
  <c r="T271" i="1" s="1"/>
  <c r="S263" i="1"/>
  <c r="T263" i="1" s="1"/>
  <c r="S405" i="1"/>
  <c r="T405" i="1" s="1"/>
  <c r="S94" i="1"/>
  <c r="T94" i="1" s="1"/>
  <c r="S446" i="1"/>
  <c r="T446" i="1" s="1"/>
  <c r="S320" i="1"/>
  <c r="T320" i="1" s="1"/>
  <c r="S434" i="1"/>
  <c r="T434" i="1" s="1"/>
  <c r="S412" i="1"/>
  <c r="T412" i="1" s="1"/>
  <c r="S389" i="1"/>
  <c r="T389" i="1" s="1"/>
  <c r="S19" i="1"/>
  <c r="T19" i="1" s="1"/>
  <c r="S191" i="1"/>
  <c r="T191" i="1" s="1"/>
  <c r="S310" i="1"/>
  <c r="T310" i="1" s="1"/>
  <c r="S491" i="1"/>
  <c r="T491" i="1" s="1"/>
  <c r="S68" i="1"/>
  <c r="T68" i="1" s="1"/>
  <c r="S460" i="1"/>
  <c r="T460" i="1" s="1"/>
  <c r="S334" i="1"/>
  <c r="T334" i="1" s="1"/>
  <c r="S493" i="1"/>
  <c r="T493" i="1" s="1"/>
  <c r="S49" i="1"/>
  <c r="T49" i="1" s="1"/>
  <c r="S492" i="1"/>
  <c r="T492" i="1" s="1"/>
  <c r="S329" i="1"/>
  <c r="T329" i="1" s="1"/>
  <c r="S393" i="1"/>
  <c r="T393" i="1" s="1"/>
  <c r="S26" i="1"/>
  <c r="T26" i="1" s="1"/>
  <c r="S264" i="1"/>
  <c r="T264" i="1" s="1"/>
  <c r="S482" i="1"/>
  <c r="T482" i="1" s="1"/>
  <c r="S280" i="1"/>
  <c r="T280" i="1" s="1"/>
  <c r="S377" i="1"/>
  <c r="T377" i="1" s="1"/>
  <c r="S7" i="1"/>
  <c r="T7" i="1" s="1"/>
  <c r="S399" i="1"/>
  <c r="T399" i="1" s="1"/>
  <c r="S51" i="1"/>
  <c r="T51" i="1" s="1"/>
  <c r="S245" i="1"/>
  <c r="T245" i="1" s="1"/>
  <c r="S406" i="1"/>
  <c r="T406" i="1" s="1"/>
  <c r="S467" i="1"/>
  <c r="T467" i="1" s="1"/>
  <c r="S8" i="1"/>
  <c r="T8" i="1" s="1"/>
  <c r="S488" i="1"/>
  <c r="T488" i="1" s="1"/>
  <c r="S368" i="1"/>
  <c r="T368" i="1" s="1"/>
  <c r="S39" i="1"/>
  <c r="T39" i="1" s="1"/>
  <c r="S173" i="1"/>
  <c r="T173" i="1" s="1"/>
  <c r="S231" i="1"/>
  <c r="T231" i="1" s="1"/>
  <c r="S24" i="1"/>
  <c r="T24" i="1" s="1"/>
  <c r="S84" i="1"/>
  <c r="T84" i="1" s="1"/>
  <c r="S314" i="1"/>
  <c r="T314" i="1" s="1"/>
  <c r="S340" i="1"/>
  <c r="T340" i="1" s="1"/>
  <c r="S387" i="1"/>
  <c r="T387" i="1" s="1"/>
  <c r="S270" i="1"/>
  <c r="T270" i="1" s="1"/>
  <c r="S272" i="1"/>
  <c r="T272" i="1" s="1"/>
  <c r="S178" i="1"/>
  <c r="T178" i="1" s="1"/>
  <c r="S13" i="1"/>
  <c r="T13" i="1" s="1"/>
  <c r="S379" i="1"/>
  <c r="T379" i="1" s="1"/>
  <c r="S135" i="1"/>
  <c r="T135" i="1" s="1"/>
  <c r="S200" i="1"/>
  <c r="T200" i="1" s="1"/>
  <c r="S30" i="1"/>
  <c r="T30" i="1" s="1"/>
  <c r="S421" i="1"/>
  <c r="T421" i="1" s="1"/>
  <c r="S217" i="1"/>
  <c r="T217" i="1" s="1"/>
  <c r="S168" i="1"/>
  <c r="T168" i="1" s="1"/>
  <c r="S319" i="1"/>
  <c r="T319" i="1" s="1"/>
  <c r="S273" i="1"/>
  <c r="T273" i="1" s="1"/>
  <c r="S21" i="1"/>
  <c r="T21" i="1" s="1"/>
  <c r="S45" i="1"/>
  <c r="T45" i="1" s="1"/>
  <c r="S443" i="1"/>
  <c r="T443" i="1" s="1"/>
  <c r="S67" i="1"/>
  <c r="T67" i="1" s="1"/>
  <c r="S353" i="1"/>
  <c r="T353" i="1" s="1"/>
  <c r="S194" i="1"/>
  <c r="T194" i="1" s="1"/>
  <c r="S441" i="1"/>
  <c r="T441" i="1" s="1"/>
  <c r="S258" i="1"/>
  <c r="T258" i="1" s="1"/>
  <c r="S193" i="1"/>
  <c r="T193" i="1" s="1"/>
  <c r="S326" i="1"/>
  <c r="T326" i="1" s="1"/>
  <c r="S472" i="1"/>
  <c r="T472" i="1" s="1"/>
  <c r="S160" i="1"/>
  <c r="T160" i="1" s="1"/>
  <c r="S325" i="1"/>
  <c r="T325" i="1" s="1"/>
  <c r="S157" i="1"/>
  <c r="T157" i="1" s="1"/>
  <c r="S85" i="1"/>
  <c r="T85" i="1" s="1"/>
  <c r="S420" i="1"/>
  <c r="T420" i="1" s="1"/>
  <c r="S187" i="1"/>
  <c r="T187" i="1" s="1"/>
  <c r="S433" i="1"/>
  <c r="T433" i="1" s="1"/>
  <c r="S234" i="1"/>
  <c r="T234" i="1" s="1"/>
  <c r="S317" i="1"/>
  <c r="T317" i="1" s="1"/>
  <c r="S237" i="1"/>
  <c r="T237" i="1" s="1"/>
  <c r="S364" i="1"/>
  <c r="T364" i="1" s="1"/>
  <c r="S152" i="1"/>
  <c r="T152" i="1" s="1"/>
  <c r="S403" i="1"/>
  <c r="T403" i="1" s="1"/>
  <c r="S308" i="1"/>
  <c r="T308" i="1" s="1"/>
  <c r="S146" i="1"/>
  <c r="T146" i="1" s="1"/>
  <c r="S81" i="1"/>
  <c r="T81" i="1" s="1"/>
  <c r="S114" i="1"/>
  <c r="T114" i="1" s="1"/>
  <c r="S476" i="1"/>
  <c r="T476" i="1" s="1"/>
  <c r="S110" i="1"/>
  <c r="T110" i="1" s="1"/>
  <c r="S351" i="1"/>
  <c r="T351" i="1" s="1"/>
  <c r="S145" i="1"/>
  <c r="T145" i="1" s="1"/>
  <c r="S71" i="1"/>
  <c r="T71" i="1" s="1"/>
  <c r="S80" i="1"/>
  <c r="T80" i="1" s="1"/>
  <c r="S203" i="1"/>
  <c r="T203" i="1" s="1"/>
  <c r="S122" i="1"/>
  <c r="T122" i="1" s="1"/>
  <c r="AD150" i="1" l="1"/>
  <c r="AE150" i="1" s="1"/>
  <c r="AK450" i="1"/>
  <c r="AD22" i="1"/>
  <c r="AE22" i="1" s="1"/>
  <c r="AD194" i="1"/>
  <c r="AE194" i="1" s="1"/>
  <c r="AJ7" i="1"/>
  <c r="AK7" i="1"/>
  <c r="AK334" i="1"/>
  <c r="AK362" i="1"/>
  <c r="AD130" i="1"/>
  <c r="AE130" i="1" s="1"/>
  <c r="AD170" i="1"/>
  <c r="AE170" i="1" s="1"/>
  <c r="AJ320" i="1"/>
  <c r="AK320" i="1"/>
  <c r="AK416" i="1"/>
  <c r="AK50" i="1"/>
  <c r="AK106" i="1"/>
  <c r="AD70" i="1"/>
  <c r="AE70" i="1" s="1"/>
  <c r="AD7" i="1"/>
  <c r="AE7" i="1" s="1"/>
  <c r="AD55" i="1"/>
  <c r="AE55" i="1" s="1"/>
  <c r="AD60" i="1"/>
  <c r="AE60" i="1" s="1"/>
  <c r="AD200" i="1"/>
  <c r="AE200" i="1" s="1"/>
  <c r="AD208" i="1"/>
  <c r="AE208" i="1" s="1"/>
  <c r="AD307" i="1"/>
  <c r="AE307" i="1" s="1"/>
  <c r="AD416" i="1"/>
  <c r="AE416" i="1" s="1"/>
  <c r="AD344" i="1"/>
  <c r="AE344" i="1" s="1"/>
  <c r="AD432" i="1"/>
  <c r="AE432" i="1" s="1"/>
  <c r="AD425" i="1"/>
  <c r="AE425" i="1" s="1"/>
  <c r="AD455" i="1"/>
  <c r="AE455" i="1" s="1"/>
  <c r="AH455" i="1"/>
  <c r="AI455" i="1" s="1"/>
  <c r="AD443" i="1"/>
  <c r="AE443" i="1" s="1"/>
  <c r="AH443" i="1"/>
  <c r="AI443" i="1" s="1"/>
  <c r="AJ443" i="1" s="1"/>
  <c r="AD13" i="1"/>
  <c r="AE13" i="1" s="1"/>
  <c r="AH13" i="1"/>
  <c r="AI13" i="1" s="1"/>
  <c r="AD423" i="1"/>
  <c r="AE423" i="1" s="1"/>
  <c r="AH423" i="1"/>
  <c r="AI423" i="1" s="1"/>
  <c r="AJ423" i="1" s="1"/>
  <c r="AD129" i="1"/>
  <c r="AE129" i="1" s="1"/>
  <c r="AH129" i="1"/>
  <c r="AI129" i="1" s="1"/>
  <c r="AJ129" i="1" s="1"/>
  <c r="AD318" i="1"/>
  <c r="AE318" i="1" s="1"/>
  <c r="AH318" i="1"/>
  <c r="AI318" i="1" s="1"/>
  <c r="AD58" i="1"/>
  <c r="AE58" i="1" s="1"/>
  <c r="AH58" i="1"/>
  <c r="AI58" i="1" s="1"/>
  <c r="AJ58" i="1" s="1"/>
  <c r="AD186" i="1"/>
  <c r="AE186" i="1" s="1"/>
  <c r="AH186" i="1"/>
  <c r="AI186" i="1" s="1"/>
  <c r="AJ186" i="1" s="1"/>
  <c r="AD94" i="1"/>
  <c r="AE94" i="1" s="1"/>
  <c r="AH94" i="1"/>
  <c r="AI94" i="1" s="1"/>
  <c r="AJ94" i="1" s="1"/>
  <c r="AD114" i="1"/>
  <c r="AE114" i="1" s="1"/>
  <c r="AH114" i="1"/>
  <c r="AI114" i="1" s="1"/>
  <c r="AJ114" i="1" s="1"/>
  <c r="AD52" i="1"/>
  <c r="AE52" i="1" s="1"/>
  <c r="AH52" i="1"/>
  <c r="AI52" i="1" s="1"/>
  <c r="AJ52" i="1" s="1"/>
  <c r="AD240" i="1"/>
  <c r="AE240" i="1" s="1"/>
  <c r="AH240" i="1"/>
  <c r="AI240" i="1" s="1"/>
  <c r="AJ240" i="1" s="1"/>
  <c r="AD388" i="1"/>
  <c r="AE388" i="1" s="1"/>
  <c r="AH388" i="1"/>
  <c r="AI388" i="1" s="1"/>
  <c r="AJ388" i="1" s="1"/>
  <c r="AD16" i="1"/>
  <c r="AE16" i="1" s="1"/>
  <c r="AH16" i="1"/>
  <c r="AI16" i="1" s="1"/>
  <c r="AD88" i="1"/>
  <c r="AE88" i="1" s="1"/>
  <c r="AH88" i="1"/>
  <c r="AI88" i="1" s="1"/>
  <c r="AD156" i="1"/>
  <c r="AE156" i="1" s="1"/>
  <c r="AH156" i="1"/>
  <c r="AI156" i="1" s="1"/>
  <c r="AD196" i="1"/>
  <c r="AE196" i="1" s="1"/>
  <c r="AH196" i="1"/>
  <c r="AI196" i="1" s="1"/>
  <c r="AD224" i="1"/>
  <c r="AE224" i="1" s="1"/>
  <c r="AH224" i="1"/>
  <c r="AI224" i="1" s="1"/>
  <c r="AJ224" i="1" s="1"/>
  <c r="AD272" i="1"/>
  <c r="AE272" i="1" s="1"/>
  <c r="AH272" i="1"/>
  <c r="AI272" i="1" s="1"/>
  <c r="AJ272" i="1" s="1"/>
  <c r="AD332" i="1"/>
  <c r="AE332" i="1" s="1"/>
  <c r="AH332" i="1"/>
  <c r="AI332" i="1" s="1"/>
  <c r="AD5" i="1"/>
  <c r="AE5" i="1" s="1"/>
  <c r="AH5" i="1"/>
  <c r="AI5" i="1" s="1"/>
  <c r="AD29" i="1"/>
  <c r="AE29" i="1" s="1"/>
  <c r="AH29" i="1"/>
  <c r="AI29" i="1" s="1"/>
  <c r="AD69" i="1"/>
  <c r="AE69" i="1" s="1"/>
  <c r="AH69" i="1"/>
  <c r="AI69" i="1" s="1"/>
  <c r="AJ69" i="1" s="1"/>
  <c r="AD321" i="1"/>
  <c r="AE321" i="1" s="1"/>
  <c r="AH321" i="1"/>
  <c r="AI321" i="1" s="1"/>
  <c r="AD31" i="1"/>
  <c r="AE31" i="1" s="1"/>
  <c r="AH31" i="1"/>
  <c r="AI31" i="1" s="1"/>
  <c r="AD111" i="1"/>
  <c r="AE111" i="1" s="1"/>
  <c r="AH111" i="1"/>
  <c r="AI111" i="1" s="1"/>
  <c r="AD175" i="1"/>
  <c r="AE175" i="1" s="1"/>
  <c r="AH175" i="1"/>
  <c r="AI175" i="1" s="1"/>
  <c r="AD195" i="1"/>
  <c r="AE195" i="1" s="1"/>
  <c r="AH195" i="1"/>
  <c r="AI195" i="1" s="1"/>
  <c r="AD275" i="1"/>
  <c r="AE275" i="1" s="1"/>
  <c r="AH275" i="1"/>
  <c r="AI275" i="1" s="1"/>
  <c r="AJ275" i="1" s="1"/>
  <c r="AD295" i="1"/>
  <c r="AE295" i="1" s="1"/>
  <c r="AH295" i="1"/>
  <c r="AI295" i="1" s="1"/>
  <c r="AJ295" i="1" s="1"/>
  <c r="AD347" i="1"/>
  <c r="AE347" i="1" s="1"/>
  <c r="AH347" i="1"/>
  <c r="AI347" i="1" s="1"/>
  <c r="AJ347" i="1" s="1"/>
  <c r="AD411" i="1"/>
  <c r="AE411" i="1" s="1"/>
  <c r="AH411" i="1"/>
  <c r="AI411" i="1" s="1"/>
  <c r="AJ411" i="1" s="1"/>
  <c r="AD501" i="1"/>
  <c r="AE501" i="1" s="1"/>
  <c r="AH501" i="1"/>
  <c r="AI501" i="1" s="1"/>
  <c r="AD417" i="1"/>
  <c r="AE417" i="1" s="1"/>
  <c r="AH417" i="1"/>
  <c r="AI417" i="1" s="1"/>
  <c r="AD341" i="1"/>
  <c r="AE341" i="1" s="1"/>
  <c r="AH341" i="1"/>
  <c r="AI341" i="1" s="1"/>
  <c r="AD413" i="1"/>
  <c r="AE413" i="1" s="1"/>
  <c r="AH413" i="1"/>
  <c r="AI413" i="1" s="1"/>
  <c r="AD6" i="1"/>
  <c r="AE6" i="1" s="1"/>
  <c r="AD10" i="1"/>
  <c r="AE10" i="1" s="1"/>
  <c r="AH10" i="1"/>
  <c r="AI10" i="1" s="1"/>
  <c r="AD202" i="1"/>
  <c r="AE202" i="1" s="1"/>
  <c r="AH202" i="1"/>
  <c r="AI202" i="1" s="1"/>
  <c r="AD34" i="1"/>
  <c r="AE34" i="1" s="1"/>
  <c r="AH34" i="1"/>
  <c r="AI34" i="1" s="1"/>
  <c r="AD78" i="1"/>
  <c r="AE78" i="1" s="1"/>
  <c r="AH78" i="1"/>
  <c r="AI78" i="1" s="1"/>
  <c r="AD118" i="1"/>
  <c r="AE118" i="1" s="1"/>
  <c r="AH118" i="1"/>
  <c r="AI118" i="1" s="1"/>
  <c r="AJ118" i="1" s="1"/>
  <c r="AD162" i="1"/>
  <c r="AE162" i="1" s="1"/>
  <c r="AH162" i="1"/>
  <c r="AI162" i="1" s="1"/>
  <c r="AD182" i="1"/>
  <c r="AE182" i="1" s="1"/>
  <c r="AH182" i="1"/>
  <c r="AI182" i="1" s="1"/>
  <c r="AJ182" i="1" s="1"/>
  <c r="AD206" i="1"/>
  <c r="AE206" i="1" s="1"/>
  <c r="AH206" i="1"/>
  <c r="AI206" i="1" s="1"/>
  <c r="AD246" i="1"/>
  <c r="AE246" i="1" s="1"/>
  <c r="AH246" i="1"/>
  <c r="AI246" i="1" s="1"/>
  <c r="AD450" i="1"/>
  <c r="AE450" i="1" s="1"/>
  <c r="AD112" i="1"/>
  <c r="AE112" i="1" s="1"/>
  <c r="AH112" i="1"/>
  <c r="AI112" i="1" s="1"/>
  <c r="AD468" i="1"/>
  <c r="AE468" i="1" s="1"/>
  <c r="AH468" i="1"/>
  <c r="AI468" i="1" s="1"/>
  <c r="AD169" i="1"/>
  <c r="AE169" i="1" s="1"/>
  <c r="AH169" i="1"/>
  <c r="AI169" i="1" s="1"/>
  <c r="AD197" i="1"/>
  <c r="AE197" i="1" s="1"/>
  <c r="AH197" i="1"/>
  <c r="AI197" i="1" s="1"/>
  <c r="AJ197" i="1" s="1"/>
  <c r="AD285" i="1"/>
  <c r="AE285" i="1" s="1"/>
  <c r="AH285" i="1"/>
  <c r="AI285" i="1" s="1"/>
  <c r="AD365" i="1"/>
  <c r="AE365" i="1" s="1"/>
  <c r="AH365" i="1"/>
  <c r="AI365" i="1" s="1"/>
  <c r="AD15" i="1"/>
  <c r="AE15" i="1" s="1"/>
  <c r="AH15" i="1"/>
  <c r="AI15" i="1" s="1"/>
  <c r="AJ15" i="1" s="1"/>
  <c r="AD51" i="1"/>
  <c r="AE51" i="1" s="1"/>
  <c r="AH51" i="1"/>
  <c r="AI51" i="1" s="1"/>
  <c r="AJ51" i="1" s="1"/>
  <c r="AD119" i="1"/>
  <c r="AE119" i="1" s="1"/>
  <c r="AH119" i="1"/>
  <c r="AI119" i="1" s="1"/>
  <c r="AJ119" i="1" s="1"/>
  <c r="AD163" i="1"/>
  <c r="AE163" i="1" s="1"/>
  <c r="AH163" i="1"/>
  <c r="AI163" i="1" s="1"/>
  <c r="AJ163" i="1" s="1"/>
  <c r="AD179" i="1"/>
  <c r="AE179" i="1" s="1"/>
  <c r="AH179" i="1"/>
  <c r="AI179" i="1" s="1"/>
  <c r="AJ179" i="1" s="1"/>
  <c r="AD235" i="1"/>
  <c r="AE235" i="1" s="1"/>
  <c r="AH235" i="1"/>
  <c r="AI235" i="1" s="1"/>
  <c r="AJ235" i="1" s="1"/>
  <c r="AD299" i="1"/>
  <c r="AE299" i="1" s="1"/>
  <c r="AH299" i="1"/>
  <c r="AI299" i="1" s="1"/>
  <c r="AD351" i="1"/>
  <c r="AE351" i="1" s="1"/>
  <c r="AH351" i="1"/>
  <c r="AI351" i="1" s="1"/>
  <c r="AJ351" i="1" s="1"/>
  <c r="AD415" i="1"/>
  <c r="AE415" i="1" s="1"/>
  <c r="AH415" i="1"/>
  <c r="AI415" i="1" s="1"/>
  <c r="AJ415" i="1" s="1"/>
  <c r="AD463" i="1"/>
  <c r="AE463" i="1" s="1"/>
  <c r="AH463" i="1"/>
  <c r="AI463" i="1" s="1"/>
  <c r="AJ463" i="1" s="1"/>
  <c r="AD445" i="1"/>
  <c r="AE445" i="1" s="1"/>
  <c r="AH445" i="1"/>
  <c r="AI445" i="1" s="1"/>
  <c r="AD481" i="1"/>
  <c r="AE481" i="1" s="1"/>
  <c r="AH481" i="1"/>
  <c r="AI481" i="1" s="1"/>
  <c r="AJ481" i="1" s="1"/>
  <c r="AD325" i="1"/>
  <c r="AE325" i="1" s="1"/>
  <c r="AH325" i="1"/>
  <c r="AI325" i="1" s="1"/>
  <c r="AJ325" i="1" s="1"/>
  <c r="AD369" i="1"/>
  <c r="AE369" i="1" s="1"/>
  <c r="AH369" i="1"/>
  <c r="AI369" i="1" s="1"/>
  <c r="AD421" i="1"/>
  <c r="AE421" i="1" s="1"/>
  <c r="AH421" i="1"/>
  <c r="AI421" i="1" s="1"/>
  <c r="AD264" i="1"/>
  <c r="AE264" i="1" s="1"/>
  <c r="AH264" i="1"/>
  <c r="AI264" i="1" s="1"/>
  <c r="AD274" i="1"/>
  <c r="AE274" i="1" s="1"/>
  <c r="AH274" i="1"/>
  <c r="AI274" i="1" s="1"/>
  <c r="AJ274" i="1" s="1"/>
  <c r="AD50" i="1"/>
  <c r="AE50" i="1" s="1"/>
  <c r="AD40" i="1"/>
  <c r="AE40" i="1" s="1"/>
  <c r="AD192" i="1"/>
  <c r="AE192" i="1" s="1"/>
  <c r="AD367" i="1"/>
  <c r="AE367" i="1" s="1"/>
  <c r="AD89" i="1"/>
  <c r="AE89" i="1" s="1"/>
  <c r="AD398" i="1"/>
  <c r="AE398" i="1" s="1"/>
  <c r="AH398" i="1"/>
  <c r="AI398" i="1" s="1"/>
  <c r="AJ398" i="1" s="1"/>
  <c r="AD26" i="1"/>
  <c r="AE26" i="1" s="1"/>
  <c r="AH26" i="1"/>
  <c r="AI26" i="1" s="1"/>
  <c r="AD90" i="1"/>
  <c r="AE90" i="1" s="1"/>
  <c r="AH90" i="1"/>
  <c r="AI90" i="1" s="1"/>
  <c r="AD154" i="1"/>
  <c r="AE154" i="1" s="1"/>
  <c r="AH154" i="1"/>
  <c r="AI154" i="1" s="1"/>
  <c r="AD218" i="1"/>
  <c r="AE218" i="1" s="1"/>
  <c r="AH218" i="1"/>
  <c r="AI218" i="1" s="1"/>
  <c r="AD18" i="1"/>
  <c r="AE18" i="1" s="1"/>
  <c r="AH18" i="1"/>
  <c r="AI18" i="1" s="1"/>
  <c r="AD38" i="1"/>
  <c r="AE38" i="1" s="1"/>
  <c r="AH38" i="1"/>
  <c r="AI38" i="1" s="1"/>
  <c r="AJ38" i="1" s="1"/>
  <c r="AD62" i="1"/>
  <c r="AE62" i="1" s="1"/>
  <c r="AH62" i="1"/>
  <c r="AI62" i="1" s="1"/>
  <c r="AD82" i="1"/>
  <c r="AE82" i="1" s="1"/>
  <c r="AH82" i="1"/>
  <c r="AI82" i="1" s="1"/>
  <c r="AJ82" i="1" s="1"/>
  <c r="AD102" i="1"/>
  <c r="AE102" i="1" s="1"/>
  <c r="AH102" i="1"/>
  <c r="AI102" i="1" s="1"/>
  <c r="AD126" i="1"/>
  <c r="AE126" i="1" s="1"/>
  <c r="AH126" i="1"/>
  <c r="AI126" i="1" s="1"/>
  <c r="AD146" i="1"/>
  <c r="AE146" i="1" s="1"/>
  <c r="AH146" i="1"/>
  <c r="AI146" i="1" s="1"/>
  <c r="AD166" i="1"/>
  <c r="AE166" i="1" s="1"/>
  <c r="AH166" i="1"/>
  <c r="AI166" i="1" s="1"/>
  <c r="AD190" i="1"/>
  <c r="AE190" i="1" s="1"/>
  <c r="AH190" i="1"/>
  <c r="AI190" i="1" s="1"/>
  <c r="AJ190" i="1" s="1"/>
  <c r="AD210" i="1"/>
  <c r="AE210" i="1" s="1"/>
  <c r="AH210" i="1"/>
  <c r="AI210" i="1" s="1"/>
  <c r="AJ210" i="1" s="1"/>
  <c r="AD262" i="1"/>
  <c r="AE262" i="1" s="1"/>
  <c r="AH262" i="1"/>
  <c r="AI262" i="1" s="1"/>
  <c r="AD326" i="1"/>
  <c r="AE326" i="1" s="1"/>
  <c r="AH326" i="1"/>
  <c r="AI326" i="1" s="1"/>
  <c r="AJ326" i="1" s="1"/>
  <c r="AD358" i="1"/>
  <c r="AE358" i="1" s="1"/>
  <c r="AD180" i="1"/>
  <c r="AE180" i="1" s="1"/>
  <c r="AH180" i="1"/>
  <c r="AI180" i="1" s="1"/>
  <c r="AD176" i="1"/>
  <c r="AE176" i="1" s="1"/>
  <c r="AH176" i="1"/>
  <c r="AI176" i="1" s="1"/>
  <c r="AJ176" i="1" s="1"/>
  <c r="AD296" i="1"/>
  <c r="AE296" i="1" s="1"/>
  <c r="AH296" i="1"/>
  <c r="AI296" i="1" s="1"/>
  <c r="AJ296" i="1" s="1"/>
  <c r="AD356" i="1"/>
  <c r="AE356" i="1" s="1"/>
  <c r="AH356" i="1"/>
  <c r="AI356" i="1" s="1"/>
  <c r="AD420" i="1"/>
  <c r="AE420" i="1" s="1"/>
  <c r="AH420" i="1"/>
  <c r="AI420" i="1" s="1"/>
  <c r="AJ420" i="1" s="1"/>
  <c r="AD484" i="1"/>
  <c r="AE484" i="1" s="1"/>
  <c r="AH484" i="1"/>
  <c r="AI484" i="1" s="1"/>
  <c r="AD28" i="1"/>
  <c r="AE28" i="1" s="1"/>
  <c r="AH28" i="1"/>
  <c r="AI28" i="1" s="1"/>
  <c r="AD144" i="1"/>
  <c r="AE144" i="1" s="1"/>
  <c r="AH144" i="1"/>
  <c r="AI144" i="1" s="1"/>
  <c r="AD184" i="1"/>
  <c r="AE184" i="1" s="1"/>
  <c r="AH184" i="1"/>
  <c r="AI184" i="1" s="1"/>
  <c r="AJ184" i="1" s="1"/>
  <c r="AD216" i="1"/>
  <c r="AE216" i="1" s="1"/>
  <c r="AH216" i="1"/>
  <c r="AI216" i="1" s="1"/>
  <c r="AJ216" i="1" s="1"/>
  <c r="AD256" i="1"/>
  <c r="AE256" i="1" s="1"/>
  <c r="AH256" i="1"/>
  <c r="AI256" i="1" s="1"/>
  <c r="AD284" i="1"/>
  <c r="AE284" i="1" s="1"/>
  <c r="AH284" i="1"/>
  <c r="AI284" i="1" s="1"/>
  <c r="AD316" i="1"/>
  <c r="AE316" i="1" s="1"/>
  <c r="AD21" i="1"/>
  <c r="AE21" i="1" s="1"/>
  <c r="AH21" i="1"/>
  <c r="AI21" i="1" s="1"/>
  <c r="AD61" i="1"/>
  <c r="AE61" i="1" s="1"/>
  <c r="AH61" i="1"/>
  <c r="AI61" i="1" s="1"/>
  <c r="AD77" i="1"/>
  <c r="AE77" i="1" s="1"/>
  <c r="AH77" i="1"/>
  <c r="AI77" i="1" s="1"/>
  <c r="AD93" i="1"/>
  <c r="AE93" i="1" s="1"/>
  <c r="AH93" i="1"/>
  <c r="AI93" i="1" s="1"/>
  <c r="AD105" i="1"/>
  <c r="AE105" i="1" s="1"/>
  <c r="AH105" i="1"/>
  <c r="AI105" i="1" s="1"/>
  <c r="AJ105" i="1" s="1"/>
  <c r="AD117" i="1"/>
  <c r="AE117" i="1" s="1"/>
  <c r="AH117" i="1"/>
  <c r="AI117" i="1" s="1"/>
  <c r="AJ117" i="1" s="1"/>
  <c r="AD133" i="1"/>
  <c r="AE133" i="1" s="1"/>
  <c r="AH133" i="1"/>
  <c r="AI133" i="1" s="1"/>
  <c r="AD145" i="1"/>
  <c r="AE145" i="1" s="1"/>
  <c r="AH145" i="1"/>
  <c r="AI145" i="1" s="1"/>
  <c r="AJ145" i="1" s="1"/>
  <c r="AD161" i="1"/>
  <c r="AE161" i="1" s="1"/>
  <c r="AH161" i="1"/>
  <c r="AI161" i="1" s="1"/>
  <c r="AJ161" i="1" s="1"/>
  <c r="AD173" i="1"/>
  <c r="AE173" i="1" s="1"/>
  <c r="AH173" i="1"/>
  <c r="AI173" i="1" s="1"/>
  <c r="AD185" i="1"/>
  <c r="AE185" i="1" s="1"/>
  <c r="AH185" i="1"/>
  <c r="AI185" i="1" s="1"/>
  <c r="AD201" i="1"/>
  <c r="AE201" i="1" s="1"/>
  <c r="AH201" i="1"/>
  <c r="AI201" i="1" s="1"/>
  <c r="AJ201" i="1" s="1"/>
  <c r="AD217" i="1"/>
  <c r="AE217" i="1" s="1"/>
  <c r="AH217" i="1"/>
  <c r="AI217" i="1" s="1"/>
  <c r="AJ217" i="1" s="1"/>
  <c r="AD229" i="1"/>
  <c r="AE229" i="1" s="1"/>
  <c r="AH229" i="1"/>
  <c r="AI229" i="1" s="1"/>
  <c r="AJ229" i="1" s="1"/>
  <c r="AD241" i="1"/>
  <c r="AE241" i="1" s="1"/>
  <c r="AH241" i="1"/>
  <c r="AI241" i="1" s="1"/>
  <c r="AD257" i="1"/>
  <c r="AE257" i="1" s="1"/>
  <c r="AH257" i="1"/>
  <c r="AI257" i="1" s="1"/>
  <c r="AD273" i="1"/>
  <c r="AE273" i="1" s="1"/>
  <c r="AH273" i="1"/>
  <c r="AI273" i="1" s="1"/>
  <c r="AD63" i="1"/>
  <c r="AE63" i="1" s="1"/>
  <c r="AH63" i="1"/>
  <c r="AI63" i="1" s="1"/>
  <c r="AJ63" i="1" s="1"/>
  <c r="AD59" i="1"/>
  <c r="AE59" i="1" s="1"/>
  <c r="AH59" i="1"/>
  <c r="AI59" i="1" s="1"/>
  <c r="AD131" i="1"/>
  <c r="AE131" i="1" s="1"/>
  <c r="AH131" i="1"/>
  <c r="AI131" i="1" s="1"/>
  <c r="AD385" i="1"/>
  <c r="AE385" i="1" s="1"/>
  <c r="AH385" i="1"/>
  <c r="AI385" i="1" s="1"/>
  <c r="AJ385" i="1" s="1"/>
  <c r="AD3" i="1"/>
  <c r="AE3" i="1" s="1"/>
  <c r="AH3" i="1"/>
  <c r="AI3" i="1" s="1"/>
  <c r="AJ3" i="1" s="1"/>
  <c r="AD19" i="1"/>
  <c r="AE19" i="1" s="1"/>
  <c r="AH19" i="1"/>
  <c r="AI19" i="1" s="1"/>
  <c r="AJ19" i="1" s="1"/>
  <c r="AD39" i="1"/>
  <c r="AE39" i="1" s="1"/>
  <c r="AH39" i="1"/>
  <c r="AI39" i="1" s="1"/>
  <c r="AJ39" i="1" s="1"/>
  <c r="AD83" i="1"/>
  <c r="AE83" i="1" s="1"/>
  <c r="AH83" i="1"/>
  <c r="AI83" i="1" s="1"/>
  <c r="AD99" i="1"/>
  <c r="AE99" i="1" s="1"/>
  <c r="AH99" i="1"/>
  <c r="AI99" i="1" s="1"/>
  <c r="AJ99" i="1" s="1"/>
  <c r="AD123" i="1"/>
  <c r="AE123" i="1" s="1"/>
  <c r="AH123" i="1"/>
  <c r="AI123" i="1" s="1"/>
  <c r="AD147" i="1"/>
  <c r="AE147" i="1" s="1"/>
  <c r="AH147" i="1"/>
  <c r="AI147" i="1" s="1"/>
  <c r="AJ147" i="1" s="1"/>
  <c r="AD167" i="1"/>
  <c r="AE167" i="1" s="1"/>
  <c r="AH167" i="1"/>
  <c r="AI167" i="1" s="1"/>
  <c r="AJ167" i="1" s="1"/>
  <c r="AD183" i="1"/>
  <c r="AE183" i="1" s="1"/>
  <c r="AH183" i="1"/>
  <c r="AI183" i="1" s="1"/>
  <c r="AJ183" i="1" s="1"/>
  <c r="AD203" i="1"/>
  <c r="AE203" i="1" s="1"/>
  <c r="AH203" i="1"/>
  <c r="AI203" i="1" s="1"/>
  <c r="AJ203" i="1" s="1"/>
  <c r="AD223" i="1"/>
  <c r="AE223" i="1" s="1"/>
  <c r="AH223" i="1"/>
  <c r="AI223" i="1" s="1"/>
  <c r="AD239" i="1"/>
  <c r="AE239" i="1" s="1"/>
  <c r="AH239" i="1"/>
  <c r="AI239" i="1" s="1"/>
  <c r="AJ239" i="1" s="1"/>
  <c r="AD263" i="1"/>
  <c r="AE263" i="1" s="1"/>
  <c r="AH263" i="1"/>
  <c r="AI263" i="1" s="1"/>
  <c r="AJ263" i="1" s="1"/>
  <c r="AD283" i="1"/>
  <c r="AE283" i="1" s="1"/>
  <c r="AH283" i="1"/>
  <c r="AI283" i="1" s="1"/>
  <c r="AJ283" i="1" s="1"/>
  <c r="AD303" i="1"/>
  <c r="AE303" i="1" s="1"/>
  <c r="AH303" i="1"/>
  <c r="AI303" i="1" s="1"/>
  <c r="AD323" i="1"/>
  <c r="AE323" i="1" s="1"/>
  <c r="AH323" i="1"/>
  <c r="AI323" i="1" s="1"/>
  <c r="AD383" i="1"/>
  <c r="AE383" i="1" s="1"/>
  <c r="AH383" i="1"/>
  <c r="AI383" i="1" s="1"/>
  <c r="AJ383" i="1" s="1"/>
  <c r="AD399" i="1"/>
  <c r="AE399" i="1" s="1"/>
  <c r="AH399" i="1"/>
  <c r="AI399" i="1" s="1"/>
  <c r="AD419" i="1"/>
  <c r="AE419" i="1" s="1"/>
  <c r="AH419" i="1"/>
  <c r="AI419" i="1" s="1"/>
  <c r="AJ419" i="1" s="1"/>
  <c r="AD435" i="1"/>
  <c r="AE435" i="1" s="1"/>
  <c r="AH435" i="1"/>
  <c r="AI435" i="1" s="1"/>
  <c r="AD451" i="1"/>
  <c r="AE451" i="1" s="1"/>
  <c r="AH451" i="1"/>
  <c r="AI451" i="1" s="1"/>
  <c r="AJ451" i="1" s="1"/>
  <c r="AD467" i="1"/>
  <c r="AE467" i="1" s="1"/>
  <c r="AH467" i="1"/>
  <c r="AI467" i="1" s="1"/>
  <c r="AJ467" i="1" s="1"/>
  <c r="AD491" i="1"/>
  <c r="AE491" i="1" s="1"/>
  <c r="AH491" i="1"/>
  <c r="AI491" i="1" s="1"/>
  <c r="AD465" i="1"/>
  <c r="AE465" i="1" s="1"/>
  <c r="AH465" i="1"/>
  <c r="AI465" i="1" s="1"/>
  <c r="AD287" i="1"/>
  <c r="AE287" i="1" s="1"/>
  <c r="AH287" i="1"/>
  <c r="AI287" i="1" s="1"/>
  <c r="AD337" i="1"/>
  <c r="AE337" i="1" s="1"/>
  <c r="AH337" i="1"/>
  <c r="AI337" i="1" s="1"/>
  <c r="AJ337" i="1" s="1"/>
  <c r="AD72" i="1"/>
  <c r="AE72" i="1" s="1"/>
  <c r="AH72" i="1"/>
  <c r="AI72" i="1" s="1"/>
  <c r="AD353" i="1"/>
  <c r="AE353" i="1" s="1"/>
  <c r="AH353" i="1"/>
  <c r="AI353" i="1" s="1"/>
  <c r="AD289" i="1"/>
  <c r="AE289" i="1" s="1"/>
  <c r="AH289" i="1"/>
  <c r="AI289" i="1" s="1"/>
  <c r="AD301" i="1"/>
  <c r="AE301" i="1" s="1"/>
  <c r="AH301" i="1"/>
  <c r="AI301" i="1" s="1"/>
  <c r="AD313" i="1"/>
  <c r="AE313" i="1" s="1"/>
  <c r="AH313" i="1"/>
  <c r="AI313" i="1" s="1"/>
  <c r="AD329" i="1"/>
  <c r="AE329" i="1" s="1"/>
  <c r="AH329" i="1"/>
  <c r="AI329" i="1" s="1"/>
  <c r="AJ329" i="1" s="1"/>
  <c r="AD349" i="1"/>
  <c r="AE349" i="1" s="1"/>
  <c r="AH349" i="1"/>
  <c r="AI349" i="1" s="1"/>
  <c r="AD373" i="1"/>
  <c r="AE373" i="1" s="1"/>
  <c r="AH373" i="1"/>
  <c r="AI373" i="1" s="1"/>
  <c r="AD405" i="1"/>
  <c r="AE405" i="1" s="1"/>
  <c r="AH405" i="1"/>
  <c r="AI405" i="1" s="1"/>
  <c r="AD469" i="1"/>
  <c r="AE469" i="1" s="1"/>
  <c r="AH469" i="1"/>
  <c r="AI469" i="1" s="1"/>
  <c r="AD497" i="1"/>
  <c r="AE497" i="1" s="1"/>
  <c r="AH497" i="1"/>
  <c r="AI497" i="1" s="1"/>
  <c r="AJ497" i="1" s="1"/>
  <c r="AD308" i="1"/>
  <c r="AE308" i="1" s="1"/>
  <c r="AH308" i="1"/>
  <c r="AI308" i="1" s="1"/>
  <c r="AJ308" i="1" s="1"/>
  <c r="AD368" i="1"/>
  <c r="AE368" i="1" s="1"/>
  <c r="AH368" i="1"/>
  <c r="AI368" i="1" s="1"/>
  <c r="AJ368" i="1" s="1"/>
  <c r="AD20" i="1"/>
  <c r="AE20" i="1" s="1"/>
  <c r="AH20" i="1"/>
  <c r="AI20" i="1" s="1"/>
  <c r="AJ20" i="1" s="1"/>
  <c r="AD254" i="1"/>
  <c r="AE254" i="1" s="1"/>
  <c r="AH254" i="1"/>
  <c r="AI254" i="1" s="1"/>
  <c r="AD290" i="1"/>
  <c r="AE290" i="1" s="1"/>
  <c r="AH290" i="1"/>
  <c r="AI290" i="1" s="1"/>
  <c r="AJ290" i="1" s="1"/>
  <c r="AD414" i="1"/>
  <c r="AE414" i="1" s="1"/>
  <c r="AH414" i="1"/>
  <c r="AI414" i="1" s="1"/>
  <c r="AJ414" i="1" s="1"/>
  <c r="AD494" i="1"/>
  <c r="AE494" i="1" s="1"/>
  <c r="AH494" i="1"/>
  <c r="AI494" i="1" s="1"/>
  <c r="AD87" i="1"/>
  <c r="AE87" i="1" s="1"/>
  <c r="AH87" i="1"/>
  <c r="AI87" i="1" s="1"/>
  <c r="AJ87" i="1" s="1"/>
  <c r="AD343" i="1"/>
  <c r="AE343" i="1" s="1"/>
  <c r="AH343" i="1"/>
  <c r="AI343" i="1" s="1"/>
  <c r="AJ343" i="1" s="1"/>
  <c r="AD471" i="1"/>
  <c r="AE471" i="1" s="1"/>
  <c r="AH471" i="1"/>
  <c r="AI471" i="1" s="1"/>
  <c r="AD442" i="1"/>
  <c r="AE442" i="1" s="1"/>
  <c r="AH442" i="1"/>
  <c r="AI442" i="1" s="1"/>
  <c r="AD127" i="1"/>
  <c r="AE127" i="1" s="1"/>
  <c r="AH127" i="1"/>
  <c r="AI127" i="1" s="1"/>
  <c r="AD462" i="1"/>
  <c r="AE462" i="1" s="1"/>
  <c r="AH462" i="1"/>
  <c r="AI462" i="1" s="1"/>
  <c r="AD122" i="1"/>
  <c r="AE122" i="1" s="1"/>
  <c r="AH122" i="1"/>
  <c r="AI122" i="1" s="1"/>
  <c r="AJ122" i="1" s="1"/>
  <c r="AD314" i="1"/>
  <c r="AE314" i="1" s="1"/>
  <c r="AH314" i="1"/>
  <c r="AI314" i="1" s="1"/>
  <c r="AJ314" i="1" s="1"/>
  <c r="AD30" i="1"/>
  <c r="AE30" i="1" s="1"/>
  <c r="AH30" i="1"/>
  <c r="AI30" i="1" s="1"/>
  <c r="AD158" i="1"/>
  <c r="AE158" i="1" s="1"/>
  <c r="AH158" i="1"/>
  <c r="AI158" i="1" s="1"/>
  <c r="AD178" i="1"/>
  <c r="AE178" i="1" s="1"/>
  <c r="AH178" i="1"/>
  <c r="AI178" i="1" s="1"/>
  <c r="AJ178" i="1" s="1"/>
  <c r="AD230" i="1"/>
  <c r="AE230" i="1" s="1"/>
  <c r="AH230" i="1"/>
  <c r="AI230" i="1" s="1"/>
  <c r="AD294" i="1"/>
  <c r="AE294" i="1" s="1"/>
  <c r="AH294" i="1"/>
  <c r="AI294" i="1" s="1"/>
  <c r="AD48" i="1"/>
  <c r="AE48" i="1" s="1"/>
  <c r="AH48" i="1"/>
  <c r="AI48" i="1" s="1"/>
  <c r="AD324" i="1"/>
  <c r="AE324" i="1" s="1"/>
  <c r="AH324" i="1"/>
  <c r="AI324" i="1" s="1"/>
  <c r="AD452" i="1"/>
  <c r="AE452" i="1" s="1"/>
  <c r="AH452" i="1"/>
  <c r="AI452" i="1" s="1"/>
  <c r="AD56" i="1"/>
  <c r="AE56" i="1" s="1"/>
  <c r="AH56" i="1"/>
  <c r="AI56" i="1" s="1"/>
  <c r="AD124" i="1"/>
  <c r="AE124" i="1" s="1"/>
  <c r="AH124" i="1"/>
  <c r="AI124" i="1" s="1"/>
  <c r="AD376" i="1"/>
  <c r="AE376" i="1" s="1"/>
  <c r="AH376" i="1"/>
  <c r="AI376" i="1" s="1"/>
  <c r="AD440" i="1"/>
  <c r="AE440" i="1" s="1"/>
  <c r="AH440" i="1"/>
  <c r="AI440" i="1" s="1"/>
  <c r="AD41" i="1"/>
  <c r="AE41" i="1" s="1"/>
  <c r="AH41" i="1"/>
  <c r="AI41" i="1" s="1"/>
  <c r="AJ41" i="1" s="1"/>
  <c r="AD53" i="1"/>
  <c r="AE53" i="1" s="1"/>
  <c r="AH53" i="1"/>
  <c r="AI53" i="1" s="1"/>
  <c r="AD85" i="1"/>
  <c r="AE85" i="1" s="1"/>
  <c r="AH85" i="1"/>
  <c r="AI85" i="1" s="1"/>
  <c r="AJ85" i="1" s="1"/>
  <c r="AD125" i="1"/>
  <c r="AE125" i="1" s="1"/>
  <c r="AH125" i="1"/>
  <c r="AI125" i="1" s="1"/>
  <c r="AD141" i="1"/>
  <c r="AE141" i="1" s="1"/>
  <c r="AH141" i="1"/>
  <c r="AI141" i="1" s="1"/>
  <c r="AD153" i="1"/>
  <c r="AE153" i="1" s="1"/>
  <c r="AH153" i="1"/>
  <c r="AI153" i="1" s="1"/>
  <c r="AJ153" i="1" s="1"/>
  <c r="AD165" i="1"/>
  <c r="AE165" i="1" s="1"/>
  <c r="AH165" i="1"/>
  <c r="AI165" i="1" s="1"/>
  <c r="AD177" i="1"/>
  <c r="AE177" i="1" s="1"/>
  <c r="AH177" i="1"/>
  <c r="AI177" i="1" s="1"/>
  <c r="AD193" i="1"/>
  <c r="AE193" i="1" s="1"/>
  <c r="AH193" i="1"/>
  <c r="AI193" i="1" s="1"/>
  <c r="AJ193" i="1" s="1"/>
  <c r="AD209" i="1"/>
  <c r="AE209" i="1" s="1"/>
  <c r="AH209" i="1"/>
  <c r="AI209" i="1" s="1"/>
  <c r="AJ209" i="1" s="1"/>
  <c r="AD225" i="1"/>
  <c r="AE225" i="1" s="1"/>
  <c r="AH225" i="1"/>
  <c r="AI225" i="1" s="1"/>
  <c r="AD237" i="1"/>
  <c r="AE237" i="1" s="1"/>
  <c r="AH237" i="1"/>
  <c r="AI237" i="1" s="1"/>
  <c r="AJ237" i="1" s="1"/>
  <c r="AD249" i="1"/>
  <c r="AE249" i="1" s="1"/>
  <c r="AH249" i="1"/>
  <c r="AI249" i="1" s="1"/>
  <c r="AJ249" i="1" s="1"/>
  <c r="AD265" i="1"/>
  <c r="AE265" i="1" s="1"/>
  <c r="AH265" i="1"/>
  <c r="AI265" i="1" s="1"/>
  <c r="AD281" i="1"/>
  <c r="AE281" i="1" s="1"/>
  <c r="AH281" i="1"/>
  <c r="AI281" i="1" s="1"/>
  <c r="AD103" i="1"/>
  <c r="AE103" i="1" s="1"/>
  <c r="AH103" i="1"/>
  <c r="AI103" i="1" s="1"/>
  <c r="AD449" i="1"/>
  <c r="AE449" i="1" s="1"/>
  <c r="AH449" i="1"/>
  <c r="AI449" i="1" s="1"/>
  <c r="AD47" i="1"/>
  <c r="AE47" i="1" s="1"/>
  <c r="AH47" i="1"/>
  <c r="AI47" i="1" s="1"/>
  <c r="AD71" i="1"/>
  <c r="AE71" i="1" s="1"/>
  <c r="AH71" i="1"/>
  <c r="AI71" i="1" s="1"/>
  <c r="AD95" i="1"/>
  <c r="AE95" i="1" s="1"/>
  <c r="AH95" i="1"/>
  <c r="AI95" i="1" s="1"/>
  <c r="AD139" i="1"/>
  <c r="AE139" i="1" s="1"/>
  <c r="AH139" i="1"/>
  <c r="AI139" i="1" s="1"/>
  <c r="AJ139" i="1" s="1"/>
  <c r="AD159" i="1"/>
  <c r="AE159" i="1" s="1"/>
  <c r="AH159" i="1"/>
  <c r="AI159" i="1" s="1"/>
  <c r="AJ159" i="1" s="1"/>
  <c r="AD211" i="1"/>
  <c r="AE211" i="1" s="1"/>
  <c r="AH211" i="1"/>
  <c r="AI211" i="1" s="1"/>
  <c r="AJ211" i="1" s="1"/>
  <c r="AD227" i="1"/>
  <c r="AE227" i="1" s="1"/>
  <c r="AH227" i="1"/>
  <c r="AI227" i="1" s="1"/>
  <c r="AJ227" i="1" s="1"/>
  <c r="AD251" i="1"/>
  <c r="AE251" i="1" s="1"/>
  <c r="AH251" i="1"/>
  <c r="AI251" i="1" s="1"/>
  <c r="AJ251" i="1" s="1"/>
  <c r="AD311" i="1"/>
  <c r="AE311" i="1" s="1"/>
  <c r="AH311" i="1"/>
  <c r="AI311" i="1" s="1"/>
  <c r="AJ311" i="1" s="1"/>
  <c r="AD331" i="1"/>
  <c r="AE331" i="1" s="1"/>
  <c r="AH331" i="1"/>
  <c r="AI331" i="1" s="1"/>
  <c r="AJ331" i="1" s="1"/>
  <c r="AD359" i="1"/>
  <c r="AE359" i="1" s="1"/>
  <c r="AH359" i="1"/>
  <c r="AI359" i="1" s="1"/>
  <c r="AJ359" i="1" s="1"/>
  <c r="AD379" i="1"/>
  <c r="AE379" i="1" s="1"/>
  <c r="AH379" i="1"/>
  <c r="AI379" i="1" s="1"/>
  <c r="AJ379" i="1" s="1"/>
  <c r="AD391" i="1"/>
  <c r="AE391" i="1" s="1"/>
  <c r="AH391" i="1"/>
  <c r="AI391" i="1" s="1"/>
  <c r="AJ391" i="1" s="1"/>
  <c r="AD479" i="1"/>
  <c r="AE479" i="1" s="1"/>
  <c r="AH479" i="1"/>
  <c r="AI479" i="1" s="1"/>
  <c r="AJ479" i="1" s="1"/>
  <c r="AD457" i="1"/>
  <c r="AE457" i="1" s="1"/>
  <c r="AH457" i="1"/>
  <c r="AI457" i="1" s="1"/>
  <c r="AJ457" i="1" s="1"/>
  <c r="AD427" i="1"/>
  <c r="AE427" i="1" s="1"/>
  <c r="AH427" i="1"/>
  <c r="AI427" i="1" s="1"/>
  <c r="AJ427" i="1" s="1"/>
  <c r="AD401" i="1"/>
  <c r="AE401" i="1" s="1"/>
  <c r="AH401" i="1"/>
  <c r="AI401" i="1" s="1"/>
  <c r="AD236" i="1"/>
  <c r="AE236" i="1" s="1"/>
  <c r="AH236" i="1"/>
  <c r="AI236" i="1" s="1"/>
  <c r="AD293" i="1"/>
  <c r="AE293" i="1" s="1"/>
  <c r="AH293" i="1"/>
  <c r="AI293" i="1" s="1"/>
  <c r="AJ293" i="1" s="1"/>
  <c r="AD305" i="1"/>
  <c r="AE305" i="1" s="1"/>
  <c r="AH305" i="1"/>
  <c r="AI305" i="1" s="1"/>
  <c r="AJ305" i="1" s="1"/>
  <c r="AD361" i="1"/>
  <c r="AE361" i="1" s="1"/>
  <c r="AH361" i="1"/>
  <c r="AI361" i="1" s="1"/>
  <c r="AD389" i="1"/>
  <c r="AE389" i="1" s="1"/>
  <c r="AH389" i="1"/>
  <c r="AI389" i="1" s="1"/>
  <c r="AJ389" i="1" s="1"/>
  <c r="AD437" i="1"/>
  <c r="AE437" i="1" s="1"/>
  <c r="AH437" i="1"/>
  <c r="AI437" i="1" s="1"/>
  <c r="AD485" i="1"/>
  <c r="AE485" i="1" s="1"/>
  <c r="AH485" i="1"/>
  <c r="AI485" i="1" s="1"/>
  <c r="AD128" i="1"/>
  <c r="AE128" i="1" s="1"/>
  <c r="AH128" i="1"/>
  <c r="AI128" i="1" s="1"/>
  <c r="AD496" i="1"/>
  <c r="AE496" i="1" s="1"/>
  <c r="AH496" i="1"/>
  <c r="AI496" i="1" s="1"/>
  <c r="AD148" i="1"/>
  <c r="AE148" i="1" s="1"/>
  <c r="AH148" i="1"/>
  <c r="AI148" i="1" s="1"/>
  <c r="AD400" i="1"/>
  <c r="AE400" i="1" s="1"/>
  <c r="AH400" i="1"/>
  <c r="AI400" i="1" s="1"/>
  <c r="AJ400" i="1" s="1"/>
  <c r="AD172" i="1"/>
  <c r="AE172" i="1" s="1"/>
  <c r="AH172" i="1"/>
  <c r="AI172" i="1" s="1"/>
  <c r="AD410" i="1"/>
  <c r="AE410" i="1" s="1"/>
  <c r="AH410" i="1"/>
  <c r="AI410" i="1" s="1"/>
  <c r="AD226" i="1"/>
  <c r="AE226" i="1" s="1"/>
  <c r="AH226" i="1"/>
  <c r="AI226" i="1" s="1"/>
  <c r="AJ226" i="1" s="1"/>
  <c r="AD378" i="1"/>
  <c r="AE378" i="1" s="1"/>
  <c r="AH378" i="1"/>
  <c r="AI378" i="1" s="1"/>
  <c r="AD386" i="1"/>
  <c r="AE386" i="1" s="1"/>
  <c r="AH386" i="1"/>
  <c r="AI386" i="1" s="1"/>
  <c r="AD434" i="1"/>
  <c r="AE434" i="1" s="1"/>
  <c r="AH434" i="1"/>
  <c r="AI434" i="1" s="1"/>
  <c r="AJ434" i="1" s="1"/>
  <c r="AD474" i="1"/>
  <c r="AE474" i="1" s="1"/>
  <c r="AH474" i="1"/>
  <c r="AI474" i="1" s="1"/>
  <c r="AJ474" i="1" s="1"/>
  <c r="AD259" i="1"/>
  <c r="AE259" i="1" s="1"/>
  <c r="AH259" i="1"/>
  <c r="AI259" i="1" s="1"/>
  <c r="AJ259" i="1" s="1"/>
  <c r="AD407" i="1"/>
  <c r="AE407" i="1" s="1"/>
  <c r="AH407" i="1"/>
  <c r="AI407" i="1" s="1"/>
  <c r="AJ407" i="1" s="1"/>
  <c r="AD374" i="1"/>
  <c r="AE374" i="1" s="1"/>
  <c r="AH374" i="1"/>
  <c r="AI374" i="1" s="1"/>
  <c r="AD490" i="1"/>
  <c r="AE490" i="1" s="1"/>
  <c r="AH490" i="1"/>
  <c r="AI490" i="1" s="1"/>
  <c r="AD375" i="1"/>
  <c r="AE375" i="1" s="1"/>
  <c r="AD366" i="1"/>
  <c r="AE366" i="1" s="1"/>
  <c r="AH366" i="1"/>
  <c r="AI366" i="1" s="1"/>
  <c r="AD74" i="1"/>
  <c r="AE74" i="1" s="1"/>
  <c r="AH74" i="1"/>
  <c r="AI74" i="1" s="1"/>
  <c r="AJ74" i="1" s="1"/>
  <c r="AD138" i="1"/>
  <c r="AE138" i="1" s="1"/>
  <c r="AH138" i="1"/>
  <c r="AI138" i="1" s="1"/>
  <c r="AD14" i="1"/>
  <c r="AE14" i="1" s="1"/>
  <c r="AH14" i="1"/>
  <c r="AI14" i="1" s="1"/>
  <c r="AJ14" i="1" s="1"/>
  <c r="AD54" i="1"/>
  <c r="AE54" i="1" s="1"/>
  <c r="AH54" i="1"/>
  <c r="AI54" i="1" s="1"/>
  <c r="AJ54" i="1" s="1"/>
  <c r="AD98" i="1"/>
  <c r="AE98" i="1" s="1"/>
  <c r="AH98" i="1"/>
  <c r="AI98" i="1" s="1"/>
  <c r="AD142" i="1"/>
  <c r="AE142" i="1" s="1"/>
  <c r="AH142" i="1"/>
  <c r="AI142" i="1" s="1"/>
  <c r="AJ142" i="1" s="1"/>
  <c r="AD116" i="1"/>
  <c r="AE116" i="1" s="1"/>
  <c r="AH116" i="1"/>
  <c r="AI116" i="1" s="1"/>
  <c r="AD268" i="1"/>
  <c r="AE268" i="1" s="1"/>
  <c r="AH268" i="1"/>
  <c r="AI268" i="1" s="1"/>
  <c r="AD340" i="1"/>
  <c r="AE340" i="1" s="1"/>
  <c r="AH340" i="1"/>
  <c r="AI340" i="1" s="1"/>
  <c r="AJ340" i="1" s="1"/>
  <c r="AD404" i="1"/>
  <c r="AE404" i="1" s="1"/>
  <c r="AH404" i="1"/>
  <c r="AI404" i="1" s="1"/>
  <c r="AD24" i="1"/>
  <c r="AE24" i="1" s="1"/>
  <c r="AH24" i="1"/>
  <c r="AI24" i="1" s="1"/>
  <c r="AD92" i="1"/>
  <c r="AE92" i="1" s="1"/>
  <c r="AH92" i="1"/>
  <c r="AI92" i="1" s="1"/>
  <c r="AJ92" i="1" s="1"/>
  <c r="AD132" i="1"/>
  <c r="AE132" i="1" s="1"/>
  <c r="AH132" i="1"/>
  <c r="AI132" i="1" s="1"/>
  <c r="AD164" i="1"/>
  <c r="AE164" i="1" s="1"/>
  <c r="AH164" i="1"/>
  <c r="AI164" i="1" s="1"/>
  <c r="AD248" i="1"/>
  <c r="AE248" i="1" s="1"/>
  <c r="AH248" i="1"/>
  <c r="AI248" i="1" s="1"/>
  <c r="AD276" i="1"/>
  <c r="AE276" i="1" s="1"/>
  <c r="AH276" i="1"/>
  <c r="AI276" i="1" s="1"/>
  <c r="AJ276" i="1" s="1"/>
  <c r="AD312" i="1"/>
  <c r="AE312" i="1" s="1"/>
  <c r="AH312" i="1"/>
  <c r="AI312" i="1" s="1"/>
  <c r="AD336" i="1"/>
  <c r="AE336" i="1" s="1"/>
  <c r="AH336" i="1"/>
  <c r="AI336" i="1" s="1"/>
  <c r="AD392" i="1"/>
  <c r="AE392" i="1" s="1"/>
  <c r="AH392" i="1"/>
  <c r="AI392" i="1" s="1"/>
  <c r="AJ392" i="1" s="1"/>
  <c r="AD456" i="1"/>
  <c r="AE456" i="1" s="1"/>
  <c r="AH456" i="1"/>
  <c r="AI456" i="1" s="1"/>
  <c r="AJ456" i="1" s="1"/>
  <c r="AD9" i="1"/>
  <c r="AE9" i="1" s="1"/>
  <c r="AH9" i="1"/>
  <c r="AI9" i="1" s="1"/>
  <c r="AD33" i="1"/>
  <c r="AE33" i="1" s="1"/>
  <c r="AH33" i="1"/>
  <c r="AI33" i="1" s="1"/>
  <c r="AD45" i="1"/>
  <c r="AE45" i="1" s="1"/>
  <c r="AH45" i="1"/>
  <c r="AI45" i="1" s="1"/>
  <c r="AJ45" i="1" s="1"/>
  <c r="AD57" i="1"/>
  <c r="AE57" i="1" s="1"/>
  <c r="AH57" i="1"/>
  <c r="AI57" i="1" s="1"/>
  <c r="AJ57" i="1" s="1"/>
  <c r="AD73" i="1"/>
  <c r="AE73" i="1" s="1"/>
  <c r="AH73" i="1"/>
  <c r="AI73" i="1" s="1"/>
  <c r="AJ73" i="1" s="1"/>
  <c r="AD101" i="1"/>
  <c r="AE101" i="1" s="1"/>
  <c r="AH101" i="1"/>
  <c r="AI101" i="1" s="1"/>
  <c r="AD113" i="1"/>
  <c r="AE113" i="1" s="1"/>
  <c r="AH113" i="1"/>
  <c r="AI113" i="1" s="1"/>
  <c r="AJ113" i="1" s="1"/>
  <c r="AD157" i="1"/>
  <c r="AE157" i="1" s="1"/>
  <c r="AH157" i="1"/>
  <c r="AI157" i="1" s="1"/>
  <c r="AJ157" i="1" s="1"/>
  <c r="AD181" i="1"/>
  <c r="AE181" i="1" s="1"/>
  <c r="AH181" i="1"/>
  <c r="AI181" i="1" s="1"/>
  <c r="AD213" i="1"/>
  <c r="AE213" i="1" s="1"/>
  <c r="AH213" i="1"/>
  <c r="AI213" i="1" s="1"/>
  <c r="AJ213" i="1" s="1"/>
  <c r="AD269" i="1"/>
  <c r="AE269" i="1" s="1"/>
  <c r="AH269" i="1"/>
  <c r="AI269" i="1" s="1"/>
  <c r="AD439" i="1"/>
  <c r="AE439" i="1" s="1"/>
  <c r="AH439" i="1"/>
  <c r="AI439" i="1" s="1"/>
  <c r="AJ439" i="1" s="1"/>
  <c r="AD115" i="1"/>
  <c r="AE115" i="1" s="1"/>
  <c r="AH115" i="1"/>
  <c r="AI115" i="1" s="1"/>
  <c r="AD493" i="1"/>
  <c r="AE493" i="1" s="1"/>
  <c r="AH493" i="1"/>
  <c r="AI493" i="1" s="1"/>
  <c r="AD35" i="1"/>
  <c r="AE35" i="1" s="1"/>
  <c r="AH35" i="1"/>
  <c r="AI35" i="1" s="1"/>
  <c r="AD79" i="1"/>
  <c r="AE79" i="1" s="1"/>
  <c r="AH79" i="1"/>
  <c r="AI79" i="1" s="1"/>
  <c r="AJ79" i="1" s="1"/>
  <c r="AD143" i="1"/>
  <c r="AE143" i="1" s="1"/>
  <c r="AH143" i="1"/>
  <c r="AI143" i="1" s="1"/>
  <c r="AJ143" i="1" s="1"/>
  <c r="AD199" i="1"/>
  <c r="AE199" i="1" s="1"/>
  <c r="AH199" i="1"/>
  <c r="AI199" i="1" s="1"/>
  <c r="AD219" i="1"/>
  <c r="AE219" i="1" s="1"/>
  <c r="AH219" i="1"/>
  <c r="AI219" i="1" s="1"/>
  <c r="AD255" i="1"/>
  <c r="AE255" i="1" s="1"/>
  <c r="AH255" i="1"/>
  <c r="AI255" i="1" s="1"/>
  <c r="AD279" i="1"/>
  <c r="AE279" i="1" s="1"/>
  <c r="AH279" i="1"/>
  <c r="AI279" i="1" s="1"/>
  <c r="AD319" i="1"/>
  <c r="AE319" i="1" s="1"/>
  <c r="AH319" i="1"/>
  <c r="AI319" i="1" s="1"/>
  <c r="AD335" i="1"/>
  <c r="AE335" i="1" s="1"/>
  <c r="AH335" i="1"/>
  <c r="AI335" i="1" s="1"/>
  <c r="AJ335" i="1" s="1"/>
  <c r="AD431" i="1"/>
  <c r="AE431" i="1" s="1"/>
  <c r="AH431" i="1"/>
  <c r="AI431" i="1" s="1"/>
  <c r="AD447" i="1"/>
  <c r="AE447" i="1" s="1"/>
  <c r="AH447" i="1"/>
  <c r="AI447" i="1" s="1"/>
  <c r="AD483" i="1"/>
  <c r="AE483" i="1" s="1"/>
  <c r="AH483" i="1"/>
  <c r="AI483" i="1" s="1"/>
  <c r="AD461" i="1"/>
  <c r="AE461" i="1" s="1"/>
  <c r="AH461" i="1"/>
  <c r="AI461" i="1" s="1"/>
  <c r="AJ461" i="1" s="1"/>
  <c r="AD151" i="1"/>
  <c r="AE151" i="1" s="1"/>
  <c r="AH151" i="1"/>
  <c r="AI151" i="1" s="1"/>
  <c r="AD487" i="1"/>
  <c r="AE487" i="1" s="1"/>
  <c r="AH487" i="1"/>
  <c r="AI487" i="1" s="1"/>
  <c r="AJ487" i="1" s="1"/>
  <c r="AD333" i="1"/>
  <c r="AE333" i="1" s="1"/>
  <c r="AH333" i="1"/>
  <c r="AI333" i="1" s="1"/>
  <c r="AD297" i="1"/>
  <c r="AE297" i="1" s="1"/>
  <c r="AH297" i="1"/>
  <c r="AI297" i="1" s="1"/>
  <c r="AD309" i="1"/>
  <c r="AE309" i="1" s="1"/>
  <c r="AH309" i="1"/>
  <c r="AI309" i="1" s="1"/>
  <c r="AJ309" i="1" s="1"/>
  <c r="AD345" i="1"/>
  <c r="AE345" i="1" s="1"/>
  <c r="AH345" i="1"/>
  <c r="AI345" i="1" s="1"/>
  <c r="AJ345" i="1" s="1"/>
  <c r="AD393" i="1"/>
  <c r="AE393" i="1" s="1"/>
  <c r="AH393" i="1"/>
  <c r="AI393" i="1" s="1"/>
  <c r="AJ393" i="1" s="1"/>
  <c r="AD441" i="1"/>
  <c r="AE441" i="1" s="1"/>
  <c r="AH441" i="1"/>
  <c r="AI441" i="1" s="1"/>
  <c r="AD489" i="1"/>
  <c r="AE489" i="1" s="1"/>
  <c r="AH489" i="1"/>
  <c r="AI489" i="1" s="1"/>
  <c r="AD168" i="1"/>
  <c r="AE168" i="1" s="1"/>
  <c r="AH168" i="1"/>
  <c r="AI168" i="1" s="1"/>
  <c r="AJ168" i="1" s="1"/>
  <c r="AD8" i="1"/>
  <c r="AE8" i="1" s="1"/>
  <c r="AH8" i="1"/>
  <c r="AI8" i="1" s="1"/>
  <c r="AD330" i="1"/>
  <c r="AE330" i="1" s="1"/>
  <c r="AH330" i="1"/>
  <c r="AI330" i="1" s="1"/>
  <c r="AD438" i="1"/>
  <c r="AE438" i="1" s="1"/>
  <c r="AH438" i="1"/>
  <c r="AI438" i="1" s="1"/>
  <c r="AD478" i="1"/>
  <c r="AE478" i="1" s="1"/>
  <c r="AH478" i="1"/>
  <c r="AI478" i="1" s="1"/>
  <c r="AJ478" i="1" s="1"/>
  <c r="AD271" i="1"/>
  <c r="AE271" i="1" s="1"/>
  <c r="AH271" i="1"/>
  <c r="AI271" i="1" s="1"/>
  <c r="AD459" i="1"/>
  <c r="AE459" i="1" s="1"/>
  <c r="AH459" i="1"/>
  <c r="AI459" i="1" s="1"/>
  <c r="AJ459" i="1" s="1"/>
  <c r="AD134" i="1"/>
  <c r="AE134" i="1" s="1"/>
  <c r="AD198" i="1"/>
  <c r="AE198" i="1" s="1"/>
  <c r="AD228" i="1"/>
  <c r="AE228" i="1" s="1"/>
  <c r="AD17" i="1"/>
  <c r="AE17" i="1" s="1"/>
  <c r="AD430" i="1"/>
  <c r="AE430" i="1" s="1"/>
  <c r="AH430" i="1"/>
  <c r="AI430" i="1" s="1"/>
  <c r="AJ430" i="1" s="1"/>
  <c r="AD42" i="1"/>
  <c r="AE42" i="1" s="1"/>
  <c r="AH42" i="1"/>
  <c r="AI42" i="1" s="1"/>
  <c r="AD282" i="1"/>
  <c r="AE282" i="1" s="1"/>
  <c r="AH282" i="1"/>
  <c r="AI282" i="1" s="1"/>
  <c r="AJ282" i="1" s="1"/>
  <c r="AD2" i="1"/>
  <c r="AF2" i="1" s="1"/>
  <c r="AG2" i="1" s="1"/>
  <c r="AH2" i="1"/>
  <c r="AI2" i="1" s="1"/>
  <c r="AJ2" i="1" s="1"/>
  <c r="AD46" i="1"/>
  <c r="AE46" i="1" s="1"/>
  <c r="AH46" i="1"/>
  <c r="AI46" i="1" s="1"/>
  <c r="AJ46" i="1" s="1"/>
  <c r="AD66" i="1"/>
  <c r="AE66" i="1" s="1"/>
  <c r="AH66" i="1"/>
  <c r="AI66" i="1" s="1"/>
  <c r="AD86" i="1"/>
  <c r="AE86" i="1" s="1"/>
  <c r="AH86" i="1"/>
  <c r="AI86" i="1" s="1"/>
  <c r="AJ86" i="1" s="1"/>
  <c r="AD110" i="1"/>
  <c r="AE110" i="1" s="1"/>
  <c r="AH110" i="1"/>
  <c r="AI110" i="1" s="1"/>
  <c r="AJ110" i="1" s="1"/>
  <c r="AD174" i="1"/>
  <c r="AE174" i="1" s="1"/>
  <c r="AH174" i="1"/>
  <c r="AI174" i="1" s="1"/>
  <c r="AJ174" i="1" s="1"/>
  <c r="AD278" i="1"/>
  <c r="AE278" i="1" s="1"/>
  <c r="AH278" i="1"/>
  <c r="AI278" i="1" s="1"/>
  <c r="AD466" i="1"/>
  <c r="AE466" i="1" s="1"/>
  <c r="AD498" i="1"/>
  <c r="AE498" i="1" s="1"/>
  <c r="AD292" i="1"/>
  <c r="AE292" i="1" s="1"/>
  <c r="AH292" i="1"/>
  <c r="AI292" i="1" s="1"/>
  <c r="AJ292" i="1" s="1"/>
  <c r="AD232" i="1"/>
  <c r="AE232" i="1" s="1"/>
  <c r="AH232" i="1"/>
  <c r="AI232" i="1" s="1"/>
  <c r="AJ232" i="1" s="1"/>
  <c r="AD304" i="1"/>
  <c r="AE304" i="1" s="1"/>
  <c r="AH304" i="1"/>
  <c r="AI304" i="1" s="1"/>
  <c r="AD372" i="1"/>
  <c r="AE372" i="1" s="1"/>
  <c r="AH372" i="1"/>
  <c r="AI372" i="1" s="1"/>
  <c r="AD436" i="1"/>
  <c r="AE436" i="1" s="1"/>
  <c r="AH436" i="1"/>
  <c r="AI436" i="1" s="1"/>
  <c r="AD4" i="1"/>
  <c r="AE4" i="1" s="1"/>
  <c r="AH4" i="1"/>
  <c r="AI4" i="1" s="1"/>
  <c r="AD36" i="1"/>
  <c r="AE36" i="1" s="1"/>
  <c r="AH36" i="1"/>
  <c r="AI36" i="1" s="1"/>
  <c r="AD80" i="1"/>
  <c r="AE80" i="1" s="1"/>
  <c r="AH80" i="1"/>
  <c r="AI80" i="1" s="1"/>
  <c r="AD120" i="1"/>
  <c r="AE120" i="1" s="1"/>
  <c r="AH120" i="1"/>
  <c r="AI120" i="1" s="1"/>
  <c r="AD152" i="1"/>
  <c r="AE152" i="1" s="1"/>
  <c r="AH152" i="1"/>
  <c r="AI152" i="1" s="1"/>
  <c r="AJ152" i="1" s="1"/>
  <c r="AD188" i="1"/>
  <c r="AE188" i="1" s="1"/>
  <c r="AH188" i="1"/>
  <c r="AI188" i="1" s="1"/>
  <c r="AJ188" i="1" s="1"/>
  <c r="AD220" i="1"/>
  <c r="AE220" i="1" s="1"/>
  <c r="AH220" i="1"/>
  <c r="AI220" i="1" s="1"/>
  <c r="AJ220" i="1" s="1"/>
  <c r="AD260" i="1"/>
  <c r="AE260" i="1" s="1"/>
  <c r="AH260" i="1"/>
  <c r="AI260" i="1" s="1"/>
  <c r="AD288" i="1"/>
  <c r="AE288" i="1" s="1"/>
  <c r="AH288" i="1"/>
  <c r="AI288" i="1" s="1"/>
  <c r="AJ288" i="1" s="1"/>
  <c r="AD360" i="1"/>
  <c r="AE360" i="1" s="1"/>
  <c r="AH360" i="1"/>
  <c r="AI360" i="1" s="1"/>
  <c r="AJ360" i="1" s="1"/>
  <c r="AD424" i="1"/>
  <c r="AE424" i="1" s="1"/>
  <c r="AH424" i="1"/>
  <c r="AI424" i="1" s="1"/>
  <c r="AJ424" i="1" s="1"/>
  <c r="AD488" i="1"/>
  <c r="AE488" i="1" s="1"/>
  <c r="AH488" i="1"/>
  <c r="AI488" i="1" s="1"/>
  <c r="AD25" i="1"/>
  <c r="AE25" i="1" s="1"/>
  <c r="AH25" i="1"/>
  <c r="AI25" i="1" s="1"/>
  <c r="AJ25" i="1" s="1"/>
  <c r="AD37" i="1"/>
  <c r="AE37" i="1" s="1"/>
  <c r="AH37" i="1"/>
  <c r="AI37" i="1" s="1"/>
  <c r="AD49" i="1"/>
  <c r="AE49" i="1" s="1"/>
  <c r="AH49" i="1"/>
  <c r="AI49" i="1" s="1"/>
  <c r="AD65" i="1"/>
  <c r="AE65" i="1" s="1"/>
  <c r="AH65" i="1"/>
  <c r="AI65" i="1" s="1"/>
  <c r="AJ65" i="1" s="1"/>
  <c r="AD81" i="1"/>
  <c r="AE81" i="1" s="1"/>
  <c r="AH81" i="1"/>
  <c r="AI81" i="1" s="1"/>
  <c r="AD97" i="1"/>
  <c r="AE97" i="1" s="1"/>
  <c r="AH97" i="1"/>
  <c r="AI97" i="1" s="1"/>
  <c r="AJ97" i="1" s="1"/>
  <c r="AD109" i="1"/>
  <c r="AE109" i="1" s="1"/>
  <c r="AH109" i="1"/>
  <c r="AI109" i="1" s="1"/>
  <c r="AD121" i="1"/>
  <c r="AE121" i="1" s="1"/>
  <c r="AH121" i="1"/>
  <c r="AI121" i="1" s="1"/>
  <c r="AD137" i="1"/>
  <c r="AE137" i="1" s="1"/>
  <c r="AH137" i="1"/>
  <c r="AI137" i="1" s="1"/>
  <c r="AJ137" i="1" s="1"/>
  <c r="AD149" i="1"/>
  <c r="AE149" i="1" s="1"/>
  <c r="AH149" i="1"/>
  <c r="AI149" i="1" s="1"/>
  <c r="AD189" i="1"/>
  <c r="AE189" i="1" s="1"/>
  <c r="AH189" i="1"/>
  <c r="AI189" i="1" s="1"/>
  <c r="AD205" i="1"/>
  <c r="AE205" i="1" s="1"/>
  <c r="AH205" i="1"/>
  <c r="AI205" i="1" s="1"/>
  <c r="AD221" i="1"/>
  <c r="AE221" i="1" s="1"/>
  <c r="AH221" i="1"/>
  <c r="AI221" i="1" s="1"/>
  <c r="AD233" i="1"/>
  <c r="AE233" i="1" s="1"/>
  <c r="AH233" i="1"/>
  <c r="AI233" i="1" s="1"/>
  <c r="AJ233" i="1" s="1"/>
  <c r="AD245" i="1"/>
  <c r="AE245" i="1" s="1"/>
  <c r="AH245" i="1"/>
  <c r="AI245" i="1" s="1"/>
  <c r="AJ245" i="1" s="1"/>
  <c r="AD261" i="1"/>
  <c r="AE261" i="1" s="1"/>
  <c r="AH261" i="1"/>
  <c r="AI261" i="1" s="1"/>
  <c r="AD277" i="1"/>
  <c r="AE277" i="1" s="1"/>
  <c r="AH277" i="1"/>
  <c r="AI277" i="1" s="1"/>
  <c r="AJ277" i="1" s="1"/>
  <c r="AD191" i="1"/>
  <c r="AE191" i="1" s="1"/>
  <c r="AH191" i="1"/>
  <c r="AI191" i="1" s="1"/>
  <c r="AJ191" i="1" s="1"/>
  <c r="AD75" i="1"/>
  <c r="AE75" i="1" s="1"/>
  <c r="AH75" i="1"/>
  <c r="AI75" i="1" s="1"/>
  <c r="AJ75" i="1" s="1"/>
  <c r="AD315" i="1"/>
  <c r="AE315" i="1" s="1"/>
  <c r="AH315" i="1"/>
  <c r="AI315" i="1" s="1"/>
  <c r="AD27" i="1"/>
  <c r="AE27" i="1" s="1"/>
  <c r="AH27" i="1"/>
  <c r="AI27" i="1" s="1"/>
  <c r="AJ27" i="1" s="1"/>
  <c r="AD43" i="1"/>
  <c r="AE43" i="1" s="1"/>
  <c r="AH43" i="1"/>
  <c r="AI43" i="1" s="1"/>
  <c r="AJ43" i="1" s="1"/>
  <c r="AD67" i="1"/>
  <c r="AE67" i="1" s="1"/>
  <c r="AH67" i="1"/>
  <c r="AI67" i="1" s="1"/>
  <c r="AJ67" i="1" s="1"/>
  <c r="AD91" i="1"/>
  <c r="AE91" i="1" s="1"/>
  <c r="AH91" i="1"/>
  <c r="AI91" i="1" s="1"/>
  <c r="AJ91" i="1" s="1"/>
  <c r="AD107" i="1"/>
  <c r="AE107" i="1" s="1"/>
  <c r="AH107" i="1"/>
  <c r="AI107" i="1" s="1"/>
  <c r="AJ107" i="1" s="1"/>
  <c r="AD135" i="1"/>
  <c r="AE135" i="1" s="1"/>
  <c r="AH135" i="1"/>
  <c r="AI135" i="1" s="1"/>
  <c r="AJ135" i="1" s="1"/>
  <c r="AD155" i="1"/>
  <c r="AE155" i="1" s="1"/>
  <c r="AH155" i="1"/>
  <c r="AI155" i="1" s="1"/>
  <c r="AD171" i="1"/>
  <c r="AE171" i="1" s="1"/>
  <c r="AH171" i="1"/>
  <c r="AI171" i="1" s="1"/>
  <c r="AD187" i="1"/>
  <c r="AE187" i="1" s="1"/>
  <c r="AH187" i="1"/>
  <c r="AI187" i="1" s="1"/>
  <c r="AJ187" i="1" s="1"/>
  <c r="AD207" i="1"/>
  <c r="AE207" i="1" s="1"/>
  <c r="AH207" i="1"/>
  <c r="AI207" i="1" s="1"/>
  <c r="AD247" i="1"/>
  <c r="AE247" i="1" s="1"/>
  <c r="AH247" i="1"/>
  <c r="AI247" i="1" s="1"/>
  <c r="AD267" i="1"/>
  <c r="AE267" i="1" s="1"/>
  <c r="AH267" i="1"/>
  <c r="AI267" i="1" s="1"/>
  <c r="AJ267" i="1" s="1"/>
  <c r="AD291" i="1"/>
  <c r="AE291" i="1" s="1"/>
  <c r="AH291" i="1"/>
  <c r="AI291" i="1" s="1"/>
  <c r="AD327" i="1"/>
  <c r="AE327" i="1" s="1"/>
  <c r="AH327" i="1"/>
  <c r="AI327" i="1" s="1"/>
  <c r="AJ327" i="1" s="1"/>
  <c r="AD339" i="1"/>
  <c r="AE339" i="1" s="1"/>
  <c r="AH339" i="1"/>
  <c r="AI339" i="1" s="1"/>
  <c r="AJ339" i="1" s="1"/>
  <c r="AD355" i="1"/>
  <c r="AE355" i="1" s="1"/>
  <c r="AH355" i="1"/>
  <c r="AI355" i="1" s="1"/>
  <c r="AJ355" i="1" s="1"/>
  <c r="AD371" i="1"/>
  <c r="AE371" i="1" s="1"/>
  <c r="AH371" i="1"/>
  <c r="AI371" i="1" s="1"/>
  <c r="AD387" i="1"/>
  <c r="AE387" i="1" s="1"/>
  <c r="AH387" i="1"/>
  <c r="AI387" i="1" s="1"/>
  <c r="AD403" i="1"/>
  <c r="AE403" i="1" s="1"/>
  <c r="AH403" i="1"/>
  <c r="AI403" i="1" s="1"/>
  <c r="AJ403" i="1" s="1"/>
  <c r="AD475" i="1"/>
  <c r="AE475" i="1" s="1"/>
  <c r="AH475" i="1"/>
  <c r="AI475" i="1" s="1"/>
  <c r="AJ475" i="1" s="1"/>
  <c r="AD499" i="1"/>
  <c r="AE499" i="1" s="1"/>
  <c r="AH499" i="1"/>
  <c r="AI499" i="1" s="1"/>
  <c r="AD477" i="1"/>
  <c r="AE477" i="1" s="1"/>
  <c r="AH477" i="1"/>
  <c r="AI477" i="1" s="1"/>
  <c r="AJ477" i="1" s="1"/>
  <c r="AD363" i="1"/>
  <c r="AE363" i="1" s="1"/>
  <c r="AH363" i="1"/>
  <c r="AI363" i="1" s="1"/>
  <c r="AD381" i="1"/>
  <c r="AE381" i="1" s="1"/>
  <c r="AH381" i="1"/>
  <c r="AI381" i="1" s="1"/>
  <c r="AD136" i="1"/>
  <c r="AE136" i="1" s="1"/>
  <c r="AH136" i="1"/>
  <c r="AI136" i="1" s="1"/>
  <c r="AD397" i="1"/>
  <c r="AE397" i="1" s="1"/>
  <c r="AH397" i="1"/>
  <c r="AI397" i="1" s="1"/>
  <c r="AD317" i="1"/>
  <c r="AE317" i="1" s="1"/>
  <c r="AH317" i="1"/>
  <c r="AI317" i="1" s="1"/>
  <c r="AJ317" i="1" s="1"/>
  <c r="AD357" i="1"/>
  <c r="AE357" i="1" s="1"/>
  <c r="AH357" i="1"/>
  <c r="AI357" i="1" s="1"/>
  <c r="AD377" i="1"/>
  <c r="AE377" i="1" s="1"/>
  <c r="AH377" i="1"/>
  <c r="AI377" i="1" s="1"/>
  <c r="AJ377" i="1" s="1"/>
  <c r="AD409" i="1"/>
  <c r="AE409" i="1" s="1"/>
  <c r="AH409" i="1"/>
  <c r="AI409" i="1" s="1"/>
  <c r="AJ409" i="1" s="1"/>
  <c r="AD433" i="1"/>
  <c r="AE433" i="1" s="1"/>
  <c r="AH433" i="1"/>
  <c r="AI433" i="1" s="1"/>
  <c r="AJ433" i="1" s="1"/>
  <c r="AD473" i="1"/>
  <c r="AE473" i="1" s="1"/>
  <c r="AH473" i="1"/>
  <c r="AI473" i="1" s="1"/>
  <c r="AJ473" i="1" s="1"/>
  <c r="AD453" i="1"/>
  <c r="AE453" i="1" s="1"/>
  <c r="AH453" i="1"/>
  <c r="AI453" i="1" s="1"/>
  <c r="AD64" i="1"/>
  <c r="AE64" i="1" s="1"/>
  <c r="AH64" i="1"/>
  <c r="AI64" i="1" s="1"/>
  <c r="AD384" i="1"/>
  <c r="AE384" i="1" s="1"/>
  <c r="AH384" i="1"/>
  <c r="AI384" i="1" s="1"/>
  <c r="AD84" i="1"/>
  <c r="AE84" i="1" s="1"/>
  <c r="AH84" i="1"/>
  <c r="AI84" i="1" s="1"/>
  <c r="AJ84" i="1" s="1"/>
  <c r="AD212" i="1"/>
  <c r="AE212" i="1" s="1"/>
  <c r="AH212" i="1"/>
  <c r="AI212" i="1" s="1"/>
  <c r="AJ212" i="1" s="1"/>
  <c r="AD464" i="1"/>
  <c r="AE464" i="1" s="1"/>
  <c r="AH464" i="1"/>
  <c r="AI464" i="1" s="1"/>
  <c r="AD382" i="1"/>
  <c r="AE382" i="1" s="1"/>
  <c r="AH382" i="1"/>
  <c r="AI382" i="1" s="1"/>
  <c r="AJ382" i="1" s="1"/>
  <c r="AD310" i="1"/>
  <c r="AE310" i="1" s="1"/>
  <c r="AH310" i="1"/>
  <c r="AI310" i="1" s="1"/>
  <c r="AJ310" i="1" s="1"/>
  <c r="AD350" i="1"/>
  <c r="AE350" i="1" s="1"/>
  <c r="AH350" i="1"/>
  <c r="AI350" i="1" s="1"/>
  <c r="AD446" i="1"/>
  <c r="AE446" i="1" s="1"/>
  <c r="AH446" i="1"/>
  <c r="AI446" i="1" s="1"/>
  <c r="AJ446" i="1" s="1"/>
  <c r="AD231" i="1"/>
  <c r="AE231" i="1" s="1"/>
  <c r="AH231" i="1"/>
  <c r="AI231" i="1" s="1"/>
  <c r="AD395" i="1"/>
  <c r="AE395" i="1" s="1"/>
  <c r="AH395" i="1"/>
  <c r="AI395" i="1" s="1"/>
  <c r="AJ395" i="1" s="1"/>
  <c r="AD495" i="1"/>
  <c r="AE495" i="1" s="1"/>
  <c r="AH495" i="1"/>
  <c r="AI495" i="1" s="1"/>
  <c r="AJ495" i="1" s="1"/>
  <c r="AD44" i="1"/>
  <c r="AE44" i="1" s="1"/>
  <c r="AH44" i="1"/>
  <c r="AI44" i="1" s="1"/>
  <c r="Y2" i="1"/>
  <c r="W159" i="1"/>
  <c r="X159" i="1" s="1"/>
  <c r="W167" i="1"/>
  <c r="X167" i="1" s="1"/>
  <c r="W9" i="1"/>
  <c r="X9" i="1" s="1"/>
  <c r="W62" i="1"/>
  <c r="X62" i="1" s="1"/>
  <c r="Y62" i="1" s="1"/>
  <c r="W97" i="1"/>
  <c r="X97" i="1" s="1"/>
  <c r="W129" i="1"/>
  <c r="X129" i="1" s="1"/>
  <c r="W145" i="1"/>
  <c r="X145" i="1" s="1"/>
  <c r="W177" i="1"/>
  <c r="X177" i="1" s="1"/>
  <c r="W209" i="1"/>
  <c r="X209" i="1" s="1"/>
  <c r="W241" i="1"/>
  <c r="X241" i="1" s="1"/>
  <c r="W273" i="1"/>
  <c r="X273" i="1" s="1"/>
  <c r="W305" i="1"/>
  <c r="X305" i="1" s="1"/>
  <c r="W337" i="1"/>
  <c r="X337" i="1" s="1"/>
  <c r="W369" i="1"/>
  <c r="X369" i="1" s="1"/>
  <c r="W401" i="1"/>
  <c r="X401" i="1" s="1"/>
  <c r="W433" i="1"/>
  <c r="X433" i="1" s="1"/>
  <c r="W465" i="1"/>
  <c r="X465" i="1" s="1"/>
  <c r="W481" i="1"/>
  <c r="X481" i="1" s="1"/>
  <c r="W32" i="1"/>
  <c r="X32" i="1" s="1"/>
  <c r="W71" i="1"/>
  <c r="X71" i="1" s="1"/>
  <c r="Y71" i="1" s="1"/>
  <c r="W39" i="1"/>
  <c r="X39" i="1" s="1"/>
  <c r="W7" i="1"/>
  <c r="X7" i="1" s="1"/>
  <c r="Y7" i="1" s="1"/>
  <c r="W26" i="1"/>
  <c r="X26" i="1" s="1"/>
  <c r="W74" i="1"/>
  <c r="X74" i="1" s="1"/>
  <c r="W106" i="1"/>
  <c r="X106" i="1" s="1"/>
  <c r="W138" i="1"/>
  <c r="X138" i="1" s="1"/>
  <c r="Y138" i="1" s="1"/>
  <c r="W170" i="1"/>
  <c r="X170" i="1" s="1"/>
  <c r="W202" i="1"/>
  <c r="X202" i="1" s="1"/>
  <c r="W234" i="1"/>
  <c r="X234" i="1" s="1"/>
  <c r="W266" i="1"/>
  <c r="X266" i="1" s="1"/>
  <c r="W298" i="1"/>
  <c r="X298" i="1" s="1"/>
  <c r="W330" i="1"/>
  <c r="X330" i="1" s="1"/>
  <c r="W362" i="1"/>
  <c r="X362" i="1" s="1"/>
  <c r="W394" i="1"/>
  <c r="X394" i="1" s="1"/>
  <c r="Y394" i="1" s="1"/>
  <c r="W426" i="1"/>
  <c r="X426" i="1" s="1"/>
  <c r="W458" i="1"/>
  <c r="X458" i="1" s="1"/>
  <c r="W474" i="1"/>
  <c r="X474" i="1" s="1"/>
  <c r="W38" i="1"/>
  <c r="X38" i="1" s="1"/>
  <c r="W112" i="1"/>
  <c r="X112" i="1" s="1"/>
  <c r="W176" i="1"/>
  <c r="X176" i="1" s="1"/>
  <c r="W240" i="1"/>
  <c r="X240" i="1" s="1"/>
  <c r="W304" i="1"/>
  <c r="X304" i="1" s="1"/>
  <c r="W368" i="1"/>
  <c r="X368" i="1" s="1"/>
  <c r="W432" i="1"/>
  <c r="X432" i="1" s="1"/>
  <c r="W496" i="1"/>
  <c r="X496" i="1" s="1"/>
  <c r="W91" i="1"/>
  <c r="X91" i="1" s="1"/>
  <c r="W155" i="1"/>
  <c r="X155" i="1" s="1"/>
  <c r="W219" i="1"/>
  <c r="X219" i="1" s="1"/>
  <c r="W283" i="1"/>
  <c r="X283" i="1" s="1"/>
  <c r="W347" i="1"/>
  <c r="X347" i="1" s="1"/>
  <c r="W411" i="1"/>
  <c r="X411" i="1" s="1"/>
  <c r="W443" i="1"/>
  <c r="X443" i="1" s="1"/>
  <c r="W14" i="1"/>
  <c r="X14" i="1" s="1"/>
  <c r="W100" i="1"/>
  <c r="X100" i="1" s="1"/>
  <c r="W164" i="1"/>
  <c r="X164" i="1" s="1"/>
  <c r="W228" i="1"/>
  <c r="X228" i="1" s="1"/>
  <c r="W292" i="1"/>
  <c r="X292" i="1" s="1"/>
  <c r="W356" i="1"/>
  <c r="X356" i="1" s="1"/>
  <c r="W420" i="1"/>
  <c r="X420" i="1" s="1"/>
  <c r="W484" i="1"/>
  <c r="X484" i="1" s="1"/>
  <c r="W5" i="1"/>
  <c r="X5" i="1" s="1"/>
  <c r="W111" i="1"/>
  <c r="X111" i="1" s="1"/>
  <c r="W391" i="1"/>
  <c r="X391" i="1" s="1"/>
  <c r="W463" i="1"/>
  <c r="X463" i="1" s="1"/>
  <c r="W407" i="1"/>
  <c r="X407" i="1" s="1"/>
  <c r="W255" i="1"/>
  <c r="X255" i="1" s="1"/>
  <c r="W199" i="1"/>
  <c r="X199" i="1" s="1"/>
  <c r="W17" i="1"/>
  <c r="X17" i="1" s="1"/>
  <c r="W46" i="1"/>
  <c r="X46" i="1" s="1"/>
  <c r="W101" i="1"/>
  <c r="X101" i="1" s="1"/>
  <c r="W133" i="1"/>
  <c r="X133" i="1" s="1"/>
  <c r="Y133" i="1" s="1"/>
  <c r="W149" i="1"/>
  <c r="X149" i="1" s="1"/>
  <c r="W181" i="1"/>
  <c r="X181" i="1" s="1"/>
  <c r="W213" i="1"/>
  <c r="X213" i="1" s="1"/>
  <c r="W245" i="1"/>
  <c r="X245" i="1" s="1"/>
  <c r="W277" i="1"/>
  <c r="X277" i="1" s="1"/>
  <c r="W309" i="1"/>
  <c r="X309" i="1" s="1"/>
  <c r="W341" i="1"/>
  <c r="X341" i="1" s="1"/>
  <c r="W373" i="1"/>
  <c r="X373" i="1" s="1"/>
  <c r="W405" i="1"/>
  <c r="X405" i="1" s="1"/>
  <c r="W437" i="1"/>
  <c r="X437" i="1" s="1"/>
  <c r="W453" i="1"/>
  <c r="X453" i="1" s="1"/>
  <c r="W485" i="1"/>
  <c r="X485" i="1" s="1"/>
  <c r="W28" i="1"/>
  <c r="X28" i="1" s="1"/>
  <c r="W12" i="1"/>
  <c r="X12" i="1" s="1"/>
  <c r="W51" i="1"/>
  <c r="X51" i="1" s="1"/>
  <c r="W19" i="1"/>
  <c r="X19" i="1" s="1"/>
  <c r="W34" i="1"/>
  <c r="X34" i="1" s="1"/>
  <c r="W78" i="1"/>
  <c r="X78" i="1" s="1"/>
  <c r="W94" i="1"/>
  <c r="X94" i="1" s="1"/>
  <c r="W126" i="1"/>
  <c r="X126" i="1" s="1"/>
  <c r="W158" i="1"/>
  <c r="X158" i="1" s="1"/>
  <c r="W190" i="1"/>
  <c r="X190" i="1" s="1"/>
  <c r="W206" i="1"/>
  <c r="X206" i="1" s="1"/>
  <c r="W238" i="1"/>
  <c r="X238" i="1" s="1"/>
  <c r="W270" i="1"/>
  <c r="X270" i="1" s="1"/>
  <c r="W302" i="1"/>
  <c r="X302" i="1" s="1"/>
  <c r="W334" i="1"/>
  <c r="X334" i="1" s="1"/>
  <c r="W366" i="1"/>
  <c r="X366" i="1" s="1"/>
  <c r="W398" i="1"/>
  <c r="X398" i="1" s="1"/>
  <c r="W430" i="1"/>
  <c r="X430" i="1" s="1"/>
  <c r="W462" i="1"/>
  <c r="X462" i="1" s="1"/>
  <c r="Y462" i="1" s="1"/>
  <c r="W478" i="1"/>
  <c r="X478" i="1" s="1"/>
  <c r="W88" i="1"/>
  <c r="X88" i="1" s="1"/>
  <c r="Y88" i="1" s="1"/>
  <c r="W152" i="1"/>
  <c r="X152" i="1" s="1"/>
  <c r="W216" i="1"/>
  <c r="X216" i="1" s="1"/>
  <c r="W248" i="1"/>
  <c r="X248" i="1" s="1"/>
  <c r="W344" i="1"/>
  <c r="X344" i="1" s="1"/>
  <c r="W376" i="1"/>
  <c r="X376" i="1" s="1"/>
  <c r="W440" i="1"/>
  <c r="X440" i="1" s="1"/>
  <c r="W13" i="1"/>
  <c r="X13" i="1" s="1"/>
  <c r="W99" i="1"/>
  <c r="X99" i="1" s="1"/>
  <c r="W163" i="1"/>
  <c r="X163" i="1" s="1"/>
  <c r="W227" i="1"/>
  <c r="X227" i="1" s="1"/>
  <c r="W291" i="1"/>
  <c r="X291" i="1" s="1"/>
  <c r="Y291" i="1" s="1"/>
  <c r="W323" i="1"/>
  <c r="X323" i="1" s="1"/>
  <c r="W387" i="1"/>
  <c r="X387" i="1" s="1"/>
  <c r="W451" i="1"/>
  <c r="X451" i="1" s="1"/>
  <c r="W30" i="1"/>
  <c r="X30" i="1" s="1"/>
  <c r="W108" i="1"/>
  <c r="X108" i="1" s="1"/>
  <c r="W172" i="1"/>
  <c r="X172" i="1" s="1"/>
  <c r="W204" i="1"/>
  <c r="X204" i="1" s="1"/>
  <c r="W300" i="1"/>
  <c r="X300" i="1" s="1"/>
  <c r="W364" i="1"/>
  <c r="X364" i="1" s="1"/>
  <c r="W396" i="1"/>
  <c r="X396" i="1" s="1"/>
  <c r="W460" i="1"/>
  <c r="X460" i="1" s="1"/>
  <c r="W37" i="1"/>
  <c r="X37" i="1" s="1"/>
  <c r="W119" i="1"/>
  <c r="X119" i="1" s="1"/>
  <c r="W295" i="1"/>
  <c r="X295" i="1" s="1"/>
  <c r="W367" i="1"/>
  <c r="X367" i="1" s="1"/>
  <c r="W287" i="1"/>
  <c r="X287" i="1" s="1"/>
  <c r="W52" i="1"/>
  <c r="X52" i="1" s="1"/>
  <c r="W105" i="1"/>
  <c r="X105" i="1" s="1"/>
  <c r="W137" i="1"/>
  <c r="X137" i="1" s="1"/>
  <c r="W153" i="1"/>
  <c r="X153" i="1" s="1"/>
  <c r="W169" i="1"/>
  <c r="X169" i="1" s="1"/>
  <c r="W201" i="1"/>
  <c r="X201" i="1" s="1"/>
  <c r="W217" i="1"/>
  <c r="X217" i="1" s="1"/>
  <c r="W233" i="1"/>
  <c r="X233" i="1" s="1"/>
  <c r="W249" i="1"/>
  <c r="X249" i="1" s="1"/>
  <c r="W265" i="1"/>
  <c r="X265" i="1" s="1"/>
  <c r="W281" i="1"/>
  <c r="X281" i="1" s="1"/>
  <c r="W297" i="1"/>
  <c r="X297" i="1" s="1"/>
  <c r="W313" i="1"/>
  <c r="X313" i="1" s="1"/>
  <c r="W329" i="1"/>
  <c r="X329" i="1" s="1"/>
  <c r="W345" i="1"/>
  <c r="X345" i="1" s="1"/>
  <c r="W361" i="1"/>
  <c r="X361" i="1" s="1"/>
  <c r="W377" i="1"/>
  <c r="X377" i="1" s="1"/>
  <c r="W393" i="1"/>
  <c r="X393" i="1" s="1"/>
  <c r="W409" i="1"/>
  <c r="X409" i="1" s="1"/>
  <c r="W425" i="1"/>
  <c r="X425" i="1" s="1"/>
  <c r="W441" i="1"/>
  <c r="X441" i="1" s="1"/>
  <c r="W457" i="1"/>
  <c r="X457" i="1" s="1"/>
  <c r="W473" i="1"/>
  <c r="X473" i="1" s="1"/>
  <c r="W489" i="1"/>
  <c r="X489" i="1" s="1"/>
  <c r="W40" i="1"/>
  <c r="X40" i="1" s="1"/>
  <c r="W24" i="1"/>
  <c r="X24" i="1" s="1"/>
  <c r="W8" i="1"/>
  <c r="X8" i="1" s="1"/>
  <c r="W63" i="1"/>
  <c r="X63" i="1" s="1"/>
  <c r="W47" i="1"/>
  <c r="X47" i="1" s="1"/>
  <c r="Y47" i="1" s="1"/>
  <c r="W31" i="1"/>
  <c r="X31" i="1" s="1"/>
  <c r="W15" i="1"/>
  <c r="X15" i="1" s="1"/>
  <c r="W10" i="1"/>
  <c r="X10" i="1" s="1"/>
  <c r="W42" i="1"/>
  <c r="X42" i="1" s="1"/>
  <c r="W64" i="1"/>
  <c r="X64" i="1" s="1"/>
  <c r="W82" i="1"/>
  <c r="X82" i="1" s="1"/>
  <c r="W98" i="1"/>
  <c r="X98" i="1" s="1"/>
  <c r="W114" i="1"/>
  <c r="X114" i="1" s="1"/>
  <c r="W130" i="1"/>
  <c r="X130" i="1" s="1"/>
  <c r="W146" i="1"/>
  <c r="X146" i="1" s="1"/>
  <c r="W162" i="1"/>
  <c r="X162" i="1" s="1"/>
  <c r="W178" i="1"/>
  <c r="X178" i="1" s="1"/>
  <c r="W194" i="1"/>
  <c r="X194" i="1" s="1"/>
  <c r="W210" i="1"/>
  <c r="X210" i="1" s="1"/>
  <c r="W226" i="1"/>
  <c r="X226" i="1" s="1"/>
  <c r="W242" i="1"/>
  <c r="X242" i="1" s="1"/>
  <c r="W258" i="1"/>
  <c r="X258" i="1" s="1"/>
  <c r="Y258" i="1" s="1"/>
  <c r="W274" i="1"/>
  <c r="X274" i="1" s="1"/>
  <c r="W290" i="1"/>
  <c r="X290" i="1" s="1"/>
  <c r="W306" i="1"/>
  <c r="X306" i="1" s="1"/>
  <c r="W322" i="1"/>
  <c r="X322" i="1" s="1"/>
  <c r="W338" i="1"/>
  <c r="X338" i="1" s="1"/>
  <c r="W354" i="1"/>
  <c r="X354" i="1" s="1"/>
  <c r="W370" i="1"/>
  <c r="X370" i="1" s="1"/>
  <c r="W386" i="1"/>
  <c r="X386" i="1" s="1"/>
  <c r="W402" i="1"/>
  <c r="X402" i="1" s="1"/>
  <c r="W418" i="1"/>
  <c r="X418" i="1" s="1"/>
  <c r="W434" i="1"/>
  <c r="X434" i="1" s="1"/>
  <c r="W450" i="1"/>
  <c r="X450" i="1" s="1"/>
  <c r="W466" i="1"/>
  <c r="X466" i="1" s="1"/>
  <c r="W482" i="1"/>
  <c r="X482" i="1" s="1"/>
  <c r="W498" i="1"/>
  <c r="X498" i="1" s="1"/>
  <c r="W61" i="1"/>
  <c r="X61" i="1" s="1"/>
  <c r="W96" i="1"/>
  <c r="X96" i="1" s="1"/>
  <c r="W128" i="1"/>
  <c r="X128" i="1" s="1"/>
  <c r="W160" i="1"/>
  <c r="X160" i="1" s="1"/>
  <c r="W192" i="1"/>
  <c r="X192" i="1" s="1"/>
  <c r="W224" i="1"/>
  <c r="X224" i="1" s="1"/>
  <c r="W256" i="1"/>
  <c r="X256" i="1" s="1"/>
  <c r="W288" i="1"/>
  <c r="X288" i="1" s="1"/>
  <c r="W320" i="1"/>
  <c r="X320" i="1" s="1"/>
  <c r="W352" i="1"/>
  <c r="X352" i="1" s="1"/>
  <c r="W384" i="1"/>
  <c r="X384" i="1" s="1"/>
  <c r="W416" i="1"/>
  <c r="X416" i="1" s="1"/>
  <c r="Y416" i="1" s="1"/>
  <c r="W448" i="1"/>
  <c r="X448" i="1" s="1"/>
  <c r="W480" i="1"/>
  <c r="X480" i="1" s="1"/>
  <c r="W29" i="1"/>
  <c r="X29" i="1" s="1"/>
  <c r="W75" i="1"/>
  <c r="X75" i="1" s="1"/>
  <c r="W107" i="1"/>
  <c r="X107" i="1" s="1"/>
  <c r="W139" i="1"/>
  <c r="X139" i="1" s="1"/>
  <c r="W171" i="1"/>
  <c r="X171" i="1" s="1"/>
  <c r="W203" i="1"/>
  <c r="X203" i="1" s="1"/>
  <c r="W235" i="1"/>
  <c r="X235" i="1" s="1"/>
  <c r="W267" i="1"/>
  <c r="X267" i="1" s="1"/>
  <c r="W299" i="1"/>
  <c r="X299" i="1" s="1"/>
  <c r="W331" i="1"/>
  <c r="X331" i="1" s="1"/>
  <c r="W363" i="1"/>
  <c r="X363" i="1" s="1"/>
  <c r="W395" i="1"/>
  <c r="X395" i="1" s="1"/>
  <c r="W427" i="1"/>
  <c r="X427" i="1" s="1"/>
  <c r="W459" i="1"/>
  <c r="X459" i="1" s="1"/>
  <c r="W491" i="1"/>
  <c r="X491" i="1" s="1"/>
  <c r="W45" i="1"/>
  <c r="X45" i="1" s="1"/>
  <c r="W84" i="1"/>
  <c r="X84" i="1" s="1"/>
  <c r="W116" i="1"/>
  <c r="X116" i="1" s="1"/>
  <c r="W148" i="1"/>
  <c r="X148" i="1" s="1"/>
  <c r="W180" i="1"/>
  <c r="X180" i="1" s="1"/>
  <c r="W212" i="1"/>
  <c r="X212" i="1" s="1"/>
  <c r="W244" i="1"/>
  <c r="X244" i="1" s="1"/>
  <c r="W276" i="1"/>
  <c r="X276" i="1" s="1"/>
  <c r="W308" i="1"/>
  <c r="X308" i="1" s="1"/>
  <c r="W340" i="1"/>
  <c r="X340" i="1" s="1"/>
  <c r="W372" i="1"/>
  <c r="X372" i="1" s="1"/>
  <c r="W404" i="1"/>
  <c r="X404" i="1" s="1"/>
  <c r="W436" i="1"/>
  <c r="X436" i="1" s="1"/>
  <c r="W468" i="1"/>
  <c r="X468" i="1" s="1"/>
  <c r="W500" i="1"/>
  <c r="X500" i="1" s="1"/>
  <c r="W49" i="1"/>
  <c r="X49" i="1" s="1"/>
  <c r="W87" i="1"/>
  <c r="X87" i="1" s="1"/>
  <c r="W127" i="1"/>
  <c r="X127" i="1" s="1"/>
  <c r="Y127" i="1" s="1"/>
  <c r="W327" i="1"/>
  <c r="X327" i="1" s="1"/>
  <c r="W455" i="1"/>
  <c r="X455" i="1" s="1"/>
  <c r="W271" i="1"/>
  <c r="X271" i="1" s="1"/>
  <c r="W399" i="1"/>
  <c r="X399" i="1" s="1"/>
  <c r="W215" i="1"/>
  <c r="X215" i="1" s="1"/>
  <c r="W343" i="1"/>
  <c r="X343" i="1" s="1"/>
  <c r="W471" i="1"/>
  <c r="X471" i="1" s="1"/>
  <c r="Y471" i="1" s="1"/>
  <c r="W319" i="1"/>
  <c r="X319" i="1" s="1"/>
  <c r="W447" i="1"/>
  <c r="X447" i="1" s="1"/>
  <c r="W103" i="1"/>
  <c r="X103" i="1" s="1"/>
  <c r="W183" i="1"/>
  <c r="X183" i="1" s="1"/>
  <c r="W151" i="1"/>
  <c r="X151" i="1" s="1"/>
  <c r="W41" i="1"/>
  <c r="X41" i="1" s="1"/>
  <c r="W81" i="1"/>
  <c r="X81" i="1" s="1"/>
  <c r="W113" i="1"/>
  <c r="X113" i="1" s="1"/>
  <c r="W161" i="1"/>
  <c r="X161" i="1" s="1"/>
  <c r="W193" i="1"/>
  <c r="X193" i="1" s="1"/>
  <c r="W225" i="1"/>
  <c r="X225" i="1" s="1"/>
  <c r="W257" i="1"/>
  <c r="X257" i="1" s="1"/>
  <c r="W289" i="1"/>
  <c r="X289" i="1" s="1"/>
  <c r="W321" i="1"/>
  <c r="X321" i="1" s="1"/>
  <c r="W353" i="1"/>
  <c r="X353" i="1" s="1"/>
  <c r="W385" i="1"/>
  <c r="X385" i="1" s="1"/>
  <c r="W417" i="1"/>
  <c r="X417" i="1" s="1"/>
  <c r="W449" i="1"/>
  <c r="X449" i="1" s="1"/>
  <c r="W497" i="1"/>
  <c r="X497" i="1" s="1"/>
  <c r="W16" i="1"/>
  <c r="X16" i="1" s="1"/>
  <c r="Y16" i="1" s="1"/>
  <c r="W55" i="1"/>
  <c r="X55" i="1" s="1"/>
  <c r="W23" i="1"/>
  <c r="X23" i="1" s="1"/>
  <c r="W53" i="1"/>
  <c r="X53" i="1" s="1"/>
  <c r="W90" i="1"/>
  <c r="X90" i="1" s="1"/>
  <c r="W122" i="1"/>
  <c r="X122" i="1" s="1"/>
  <c r="W154" i="1"/>
  <c r="X154" i="1" s="1"/>
  <c r="W186" i="1"/>
  <c r="X186" i="1" s="1"/>
  <c r="W218" i="1"/>
  <c r="X218" i="1" s="1"/>
  <c r="W250" i="1"/>
  <c r="X250" i="1" s="1"/>
  <c r="W282" i="1"/>
  <c r="X282" i="1" s="1"/>
  <c r="W314" i="1"/>
  <c r="X314" i="1" s="1"/>
  <c r="W346" i="1"/>
  <c r="X346" i="1" s="1"/>
  <c r="W378" i="1"/>
  <c r="X378" i="1" s="1"/>
  <c r="W410" i="1"/>
  <c r="X410" i="1" s="1"/>
  <c r="W442" i="1"/>
  <c r="X442" i="1" s="1"/>
  <c r="W490" i="1"/>
  <c r="X490" i="1" s="1"/>
  <c r="W80" i="1"/>
  <c r="X80" i="1" s="1"/>
  <c r="Y80" i="1" s="1"/>
  <c r="W144" i="1"/>
  <c r="X144" i="1" s="1"/>
  <c r="W208" i="1"/>
  <c r="X208" i="1" s="1"/>
  <c r="W272" i="1"/>
  <c r="X272" i="1" s="1"/>
  <c r="W336" i="1"/>
  <c r="X336" i="1" s="1"/>
  <c r="W400" i="1"/>
  <c r="X400" i="1" s="1"/>
  <c r="W464" i="1"/>
  <c r="X464" i="1" s="1"/>
  <c r="W54" i="1"/>
  <c r="X54" i="1" s="1"/>
  <c r="W123" i="1"/>
  <c r="X123" i="1" s="1"/>
  <c r="W187" i="1"/>
  <c r="X187" i="1" s="1"/>
  <c r="W251" i="1"/>
  <c r="X251" i="1" s="1"/>
  <c r="W315" i="1"/>
  <c r="X315" i="1" s="1"/>
  <c r="W379" i="1"/>
  <c r="X379" i="1" s="1"/>
  <c r="W475" i="1"/>
  <c r="X475" i="1" s="1"/>
  <c r="W66" i="1"/>
  <c r="X66" i="1" s="1"/>
  <c r="W132" i="1"/>
  <c r="X132" i="1" s="1"/>
  <c r="Y132" i="1" s="1"/>
  <c r="W196" i="1"/>
  <c r="X196" i="1" s="1"/>
  <c r="W260" i="1"/>
  <c r="X260" i="1" s="1"/>
  <c r="W324" i="1"/>
  <c r="X324" i="1" s="1"/>
  <c r="W388" i="1"/>
  <c r="X388" i="1" s="1"/>
  <c r="W452" i="1"/>
  <c r="X452" i="1" s="1"/>
  <c r="W70" i="1"/>
  <c r="X70" i="1" s="1"/>
  <c r="W263" i="1"/>
  <c r="X263" i="1" s="1"/>
  <c r="W207" i="1"/>
  <c r="X207" i="1" s="1"/>
  <c r="W335" i="1"/>
  <c r="X335" i="1" s="1"/>
  <c r="W279" i="1"/>
  <c r="X279" i="1" s="1"/>
  <c r="W383" i="1"/>
  <c r="X383" i="1" s="1"/>
  <c r="W6" i="1"/>
  <c r="X6" i="1" s="1"/>
  <c r="W68" i="1"/>
  <c r="X68" i="1" s="1"/>
  <c r="W85" i="1"/>
  <c r="X85" i="1" s="1"/>
  <c r="W117" i="1"/>
  <c r="X117" i="1" s="1"/>
  <c r="W165" i="1"/>
  <c r="X165" i="1" s="1"/>
  <c r="W197" i="1"/>
  <c r="X197" i="1" s="1"/>
  <c r="W229" i="1"/>
  <c r="X229" i="1" s="1"/>
  <c r="W261" i="1"/>
  <c r="X261" i="1" s="1"/>
  <c r="W293" i="1"/>
  <c r="X293" i="1" s="1"/>
  <c r="W325" i="1"/>
  <c r="X325" i="1" s="1"/>
  <c r="W357" i="1"/>
  <c r="X357" i="1" s="1"/>
  <c r="W389" i="1"/>
  <c r="X389" i="1" s="1"/>
  <c r="W421" i="1"/>
  <c r="X421" i="1" s="1"/>
  <c r="Y421" i="1" s="1"/>
  <c r="W469" i="1"/>
  <c r="X469" i="1" s="1"/>
  <c r="W501" i="1"/>
  <c r="X501" i="1" s="1"/>
  <c r="W67" i="1"/>
  <c r="X67" i="1" s="1"/>
  <c r="W35" i="1"/>
  <c r="X35" i="1" s="1"/>
  <c r="W3" i="1"/>
  <c r="X3" i="1" s="1"/>
  <c r="W58" i="1"/>
  <c r="X58" i="1" s="1"/>
  <c r="W110" i="1"/>
  <c r="X110" i="1" s="1"/>
  <c r="W142" i="1"/>
  <c r="X142" i="1" s="1"/>
  <c r="W174" i="1"/>
  <c r="X174" i="1" s="1"/>
  <c r="W222" i="1"/>
  <c r="X222" i="1" s="1"/>
  <c r="W254" i="1"/>
  <c r="X254" i="1" s="1"/>
  <c r="W286" i="1"/>
  <c r="X286" i="1" s="1"/>
  <c r="W318" i="1"/>
  <c r="X318" i="1" s="1"/>
  <c r="W350" i="1"/>
  <c r="X350" i="1" s="1"/>
  <c r="Y350" i="1" s="1"/>
  <c r="W382" i="1"/>
  <c r="X382" i="1" s="1"/>
  <c r="W414" i="1"/>
  <c r="X414" i="1" s="1"/>
  <c r="W446" i="1"/>
  <c r="X446" i="1" s="1"/>
  <c r="W494" i="1"/>
  <c r="X494" i="1" s="1"/>
  <c r="W50" i="1"/>
  <c r="X50" i="1" s="1"/>
  <c r="W120" i="1"/>
  <c r="X120" i="1" s="1"/>
  <c r="W184" i="1"/>
  <c r="X184" i="1" s="1"/>
  <c r="W280" i="1"/>
  <c r="X280" i="1" s="1"/>
  <c r="W312" i="1"/>
  <c r="X312" i="1" s="1"/>
  <c r="W408" i="1"/>
  <c r="X408" i="1" s="1"/>
  <c r="W472" i="1"/>
  <c r="X472" i="1" s="1"/>
  <c r="W65" i="1"/>
  <c r="X65" i="1" s="1"/>
  <c r="W131" i="1"/>
  <c r="X131" i="1" s="1"/>
  <c r="W195" i="1"/>
  <c r="X195" i="1" s="1"/>
  <c r="W259" i="1"/>
  <c r="X259" i="1" s="1"/>
  <c r="W355" i="1"/>
  <c r="X355" i="1" s="1"/>
  <c r="W419" i="1"/>
  <c r="X419" i="1" s="1"/>
  <c r="W483" i="1"/>
  <c r="X483" i="1" s="1"/>
  <c r="W76" i="1"/>
  <c r="X76" i="1" s="1"/>
  <c r="W140" i="1"/>
  <c r="X140" i="1" s="1"/>
  <c r="W236" i="1"/>
  <c r="X236" i="1" s="1"/>
  <c r="W268" i="1"/>
  <c r="X268" i="1" s="1"/>
  <c r="W332" i="1"/>
  <c r="X332" i="1" s="1"/>
  <c r="W428" i="1"/>
  <c r="X428" i="1" s="1"/>
  <c r="W492" i="1"/>
  <c r="X492" i="1" s="1"/>
  <c r="W79" i="1"/>
  <c r="X79" i="1" s="1"/>
  <c r="W423" i="1"/>
  <c r="X423" i="1" s="1"/>
  <c r="W239" i="1"/>
  <c r="X239" i="1" s="1"/>
  <c r="W495" i="1"/>
  <c r="X495" i="1" s="1"/>
  <c r="W311" i="1"/>
  <c r="X311" i="1" s="1"/>
  <c r="W439" i="1"/>
  <c r="X439" i="1" s="1"/>
  <c r="W415" i="1"/>
  <c r="X415" i="1" s="1"/>
  <c r="W21" i="1"/>
  <c r="X21" i="1" s="1"/>
  <c r="W191" i="1"/>
  <c r="X191" i="1" s="1"/>
  <c r="W25" i="1"/>
  <c r="X25" i="1" s="1"/>
  <c r="W73" i="1"/>
  <c r="X73" i="1" s="1"/>
  <c r="W89" i="1"/>
  <c r="X89" i="1" s="1"/>
  <c r="W121" i="1"/>
  <c r="X121" i="1" s="1"/>
  <c r="W185" i="1"/>
  <c r="X185" i="1" s="1"/>
  <c r="Y185" i="1" s="1"/>
  <c r="W33" i="1"/>
  <c r="X33" i="1" s="1"/>
  <c r="Y33" i="1" s="1"/>
  <c r="W57" i="1"/>
  <c r="X57" i="1" s="1"/>
  <c r="W77" i="1"/>
  <c r="X77" i="1" s="1"/>
  <c r="W93" i="1"/>
  <c r="X93" i="1" s="1"/>
  <c r="W109" i="1"/>
  <c r="X109" i="1" s="1"/>
  <c r="Y109" i="1" s="1"/>
  <c r="W125" i="1"/>
  <c r="X125" i="1" s="1"/>
  <c r="W141" i="1"/>
  <c r="X141" i="1" s="1"/>
  <c r="W157" i="1"/>
  <c r="X157" i="1" s="1"/>
  <c r="W173" i="1"/>
  <c r="X173" i="1" s="1"/>
  <c r="W189" i="1"/>
  <c r="X189" i="1" s="1"/>
  <c r="W205" i="1"/>
  <c r="X205" i="1" s="1"/>
  <c r="W221" i="1"/>
  <c r="X221" i="1" s="1"/>
  <c r="W237" i="1"/>
  <c r="X237" i="1" s="1"/>
  <c r="W253" i="1"/>
  <c r="X253" i="1" s="1"/>
  <c r="W269" i="1"/>
  <c r="X269" i="1" s="1"/>
  <c r="W285" i="1"/>
  <c r="X285" i="1" s="1"/>
  <c r="W301" i="1"/>
  <c r="X301" i="1" s="1"/>
  <c r="W317" i="1"/>
  <c r="X317" i="1" s="1"/>
  <c r="W333" i="1"/>
  <c r="X333" i="1" s="1"/>
  <c r="W349" i="1"/>
  <c r="X349" i="1" s="1"/>
  <c r="W365" i="1"/>
  <c r="X365" i="1" s="1"/>
  <c r="W381" i="1"/>
  <c r="X381" i="1" s="1"/>
  <c r="W397" i="1"/>
  <c r="X397" i="1" s="1"/>
  <c r="W413" i="1"/>
  <c r="X413" i="1" s="1"/>
  <c r="Y413" i="1" s="1"/>
  <c r="W429" i="1"/>
  <c r="X429" i="1" s="1"/>
  <c r="W445" i="1"/>
  <c r="X445" i="1" s="1"/>
  <c r="W461" i="1"/>
  <c r="X461" i="1" s="1"/>
  <c r="W477" i="1"/>
  <c r="X477" i="1" s="1"/>
  <c r="W493" i="1"/>
  <c r="X493" i="1" s="1"/>
  <c r="W36" i="1"/>
  <c r="X36" i="1" s="1"/>
  <c r="W20" i="1"/>
  <c r="X20" i="1" s="1"/>
  <c r="W4" i="1"/>
  <c r="X4" i="1" s="1"/>
  <c r="Y4" i="1" s="1"/>
  <c r="W59" i="1"/>
  <c r="X59" i="1" s="1"/>
  <c r="W43" i="1"/>
  <c r="X43" i="1" s="1"/>
  <c r="W27" i="1"/>
  <c r="X27" i="1" s="1"/>
  <c r="W11" i="1"/>
  <c r="X11" i="1" s="1"/>
  <c r="W18" i="1"/>
  <c r="X18" i="1" s="1"/>
  <c r="W48" i="1"/>
  <c r="X48" i="1" s="1"/>
  <c r="W69" i="1"/>
  <c r="X69" i="1" s="1"/>
  <c r="W86" i="1"/>
  <c r="X86" i="1" s="1"/>
  <c r="W102" i="1"/>
  <c r="X102" i="1" s="1"/>
  <c r="W118" i="1"/>
  <c r="X118" i="1" s="1"/>
  <c r="W134" i="1"/>
  <c r="X134" i="1" s="1"/>
  <c r="W150" i="1"/>
  <c r="X150" i="1" s="1"/>
  <c r="W166" i="1"/>
  <c r="X166" i="1" s="1"/>
  <c r="W182" i="1"/>
  <c r="X182" i="1" s="1"/>
  <c r="W198" i="1"/>
  <c r="X198" i="1" s="1"/>
  <c r="W214" i="1"/>
  <c r="X214" i="1" s="1"/>
  <c r="W230" i="1"/>
  <c r="X230" i="1" s="1"/>
  <c r="W246" i="1"/>
  <c r="X246" i="1" s="1"/>
  <c r="W262" i="1"/>
  <c r="X262" i="1" s="1"/>
  <c r="W278" i="1"/>
  <c r="X278" i="1" s="1"/>
  <c r="W294" i="1"/>
  <c r="X294" i="1" s="1"/>
  <c r="W310" i="1"/>
  <c r="X310" i="1" s="1"/>
  <c r="W326" i="1"/>
  <c r="X326" i="1" s="1"/>
  <c r="W342" i="1"/>
  <c r="X342" i="1" s="1"/>
  <c r="W358" i="1"/>
  <c r="X358" i="1" s="1"/>
  <c r="W374" i="1"/>
  <c r="X374" i="1" s="1"/>
  <c r="W390" i="1"/>
  <c r="X390" i="1" s="1"/>
  <c r="W406" i="1"/>
  <c r="X406" i="1" s="1"/>
  <c r="W422" i="1"/>
  <c r="X422" i="1" s="1"/>
  <c r="W438" i="1"/>
  <c r="X438" i="1" s="1"/>
  <c r="W454" i="1"/>
  <c r="X454" i="1" s="1"/>
  <c r="W470" i="1"/>
  <c r="X470" i="1" s="1"/>
  <c r="W486" i="1"/>
  <c r="X486" i="1" s="1"/>
  <c r="W22" i="1"/>
  <c r="X22" i="1" s="1"/>
  <c r="W72" i="1"/>
  <c r="X72" i="1" s="1"/>
  <c r="W104" i="1"/>
  <c r="X104" i="1" s="1"/>
  <c r="W136" i="1"/>
  <c r="X136" i="1" s="1"/>
  <c r="W168" i="1"/>
  <c r="X168" i="1" s="1"/>
  <c r="W200" i="1"/>
  <c r="X200" i="1" s="1"/>
  <c r="W232" i="1"/>
  <c r="X232" i="1" s="1"/>
  <c r="W264" i="1"/>
  <c r="X264" i="1" s="1"/>
  <c r="W296" i="1"/>
  <c r="X296" i="1" s="1"/>
  <c r="W328" i="1"/>
  <c r="X328" i="1" s="1"/>
  <c r="W360" i="1"/>
  <c r="X360" i="1" s="1"/>
  <c r="W392" i="1"/>
  <c r="X392" i="1" s="1"/>
  <c r="W424" i="1"/>
  <c r="X424" i="1" s="1"/>
  <c r="W456" i="1"/>
  <c r="X456" i="1" s="1"/>
  <c r="W488" i="1"/>
  <c r="X488" i="1" s="1"/>
  <c r="W44" i="1"/>
  <c r="X44" i="1" s="1"/>
  <c r="Y44" i="1" s="1"/>
  <c r="W83" i="1"/>
  <c r="X83" i="1" s="1"/>
  <c r="W115" i="1"/>
  <c r="X115" i="1" s="1"/>
  <c r="Y115" i="1" s="1"/>
  <c r="W147" i="1"/>
  <c r="X147" i="1" s="1"/>
  <c r="W179" i="1"/>
  <c r="X179" i="1" s="1"/>
  <c r="W211" i="1"/>
  <c r="X211" i="1" s="1"/>
  <c r="W243" i="1"/>
  <c r="X243" i="1" s="1"/>
  <c r="W275" i="1"/>
  <c r="X275" i="1" s="1"/>
  <c r="W307" i="1"/>
  <c r="X307" i="1" s="1"/>
  <c r="W339" i="1"/>
  <c r="X339" i="1" s="1"/>
  <c r="W371" i="1"/>
  <c r="X371" i="1" s="1"/>
  <c r="W403" i="1"/>
  <c r="X403" i="1" s="1"/>
  <c r="W435" i="1"/>
  <c r="X435" i="1" s="1"/>
  <c r="W467" i="1"/>
  <c r="X467" i="1" s="1"/>
  <c r="W499" i="1"/>
  <c r="X499" i="1" s="1"/>
  <c r="W56" i="1"/>
  <c r="X56" i="1" s="1"/>
  <c r="W92" i="1"/>
  <c r="X92" i="1" s="1"/>
  <c r="W124" i="1"/>
  <c r="X124" i="1" s="1"/>
  <c r="Y124" i="1" s="1"/>
  <c r="W156" i="1"/>
  <c r="X156" i="1" s="1"/>
  <c r="W188" i="1"/>
  <c r="X188" i="1" s="1"/>
  <c r="W220" i="1"/>
  <c r="X220" i="1" s="1"/>
  <c r="W252" i="1"/>
  <c r="X252" i="1" s="1"/>
  <c r="W284" i="1"/>
  <c r="X284" i="1" s="1"/>
  <c r="W316" i="1"/>
  <c r="X316" i="1" s="1"/>
  <c r="W348" i="1"/>
  <c r="X348" i="1" s="1"/>
  <c r="W380" i="1"/>
  <c r="X380" i="1" s="1"/>
  <c r="W412" i="1"/>
  <c r="X412" i="1" s="1"/>
  <c r="W444" i="1"/>
  <c r="X444" i="1" s="1"/>
  <c r="W476" i="1"/>
  <c r="X476" i="1" s="1"/>
  <c r="W60" i="1"/>
  <c r="X60" i="1" s="1"/>
  <c r="W95" i="1"/>
  <c r="X95" i="1" s="1"/>
  <c r="W231" i="1"/>
  <c r="X231" i="1" s="1"/>
  <c r="W359" i="1"/>
  <c r="X359" i="1" s="1"/>
  <c r="W487" i="1"/>
  <c r="X487" i="1" s="1"/>
  <c r="W303" i="1"/>
  <c r="X303" i="1" s="1"/>
  <c r="W431" i="1"/>
  <c r="X431" i="1" s="1"/>
  <c r="W247" i="1"/>
  <c r="X247" i="1" s="1"/>
  <c r="W375" i="1"/>
  <c r="X375" i="1" s="1"/>
  <c r="W223" i="1"/>
  <c r="X223" i="1" s="1"/>
  <c r="W351" i="1"/>
  <c r="X351" i="1" s="1"/>
  <c r="W479" i="1"/>
  <c r="X479" i="1" s="1"/>
  <c r="W135" i="1"/>
  <c r="X135" i="1" s="1"/>
  <c r="W175" i="1"/>
  <c r="X175" i="1" s="1"/>
  <c r="W143" i="1"/>
  <c r="X143" i="1" s="1"/>
  <c r="AJ44" i="1" l="1"/>
  <c r="AK44" i="1"/>
  <c r="AJ64" i="1"/>
  <c r="AK64" i="1"/>
  <c r="AJ261" i="1"/>
  <c r="AK261" i="1"/>
  <c r="AJ37" i="1"/>
  <c r="AK37" i="1"/>
  <c r="AJ36" i="1"/>
  <c r="AK36" i="1"/>
  <c r="AJ304" i="1"/>
  <c r="AK304" i="1"/>
  <c r="AJ278" i="1"/>
  <c r="AK278" i="1"/>
  <c r="AJ115" i="1"/>
  <c r="AK115" i="1"/>
  <c r="AJ132" i="1"/>
  <c r="AK132" i="1"/>
  <c r="AJ112" i="1"/>
  <c r="AK112" i="1"/>
  <c r="AJ5" i="1"/>
  <c r="AK5" i="1"/>
  <c r="AJ88" i="1"/>
  <c r="AK88" i="1"/>
  <c r="AJ13" i="1"/>
  <c r="AK13" i="1"/>
  <c r="AJ464" i="1"/>
  <c r="AK464" i="1"/>
  <c r="AJ397" i="1"/>
  <c r="AK397" i="1"/>
  <c r="AJ387" i="1"/>
  <c r="AK387" i="1"/>
  <c r="AJ171" i="1"/>
  <c r="AK171" i="1"/>
  <c r="AJ205" i="1"/>
  <c r="AK205" i="1"/>
  <c r="AJ488" i="1"/>
  <c r="AK488" i="1"/>
  <c r="AJ436" i="1"/>
  <c r="AK436" i="1"/>
  <c r="AJ330" i="1"/>
  <c r="AK330" i="1"/>
  <c r="AJ441" i="1"/>
  <c r="AK441" i="1"/>
  <c r="AJ297" i="1"/>
  <c r="AK297" i="1"/>
  <c r="AJ269" i="1"/>
  <c r="AK269" i="1"/>
  <c r="AJ9" i="1"/>
  <c r="AK9" i="1"/>
  <c r="AJ284" i="1"/>
  <c r="AK284" i="1"/>
  <c r="AJ144" i="1"/>
  <c r="AK144" i="1"/>
  <c r="AJ386" i="1"/>
  <c r="AK386" i="1"/>
  <c r="AJ172" i="1"/>
  <c r="AK172" i="1"/>
  <c r="AJ128" i="1"/>
  <c r="AK128" i="1"/>
  <c r="AJ95" i="1"/>
  <c r="AK95" i="1"/>
  <c r="AJ103" i="1"/>
  <c r="AK103" i="1"/>
  <c r="AJ53" i="1"/>
  <c r="AK53" i="1"/>
  <c r="AJ323" i="1"/>
  <c r="AK323" i="1"/>
  <c r="AJ83" i="1"/>
  <c r="AK83" i="1"/>
  <c r="AJ273" i="1"/>
  <c r="AK273" i="1"/>
  <c r="AJ133" i="1"/>
  <c r="AK133" i="1"/>
  <c r="AJ77" i="1"/>
  <c r="AK77" i="1"/>
  <c r="AJ166" i="1"/>
  <c r="AK166" i="1"/>
  <c r="AJ218" i="1"/>
  <c r="AK218" i="1"/>
  <c r="AJ162" i="1"/>
  <c r="AK162" i="1"/>
  <c r="AJ202" i="1"/>
  <c r="AK202" i="1"/>
  <c r="AJ350" i="1"/>
  <c r="AK350" i="1"/>
  <c r="AJ453" i="1"/>
  <c r="AK453" i="1"/>
  <c r="AJ136" i="1"/>
  <c r="AK136" i="1"/>
  <c r="AJ363" i="1"/>
  <c r="AK363" i="1"/>
  <c r="AJ371" i="1"/>
  <c r="AK371" i="1"/>
  <c r="AJ291" i="1"/>
  <c r="AK291" i="1"/>
  <c r="AJ247" i="1"/>
  <c r="AK247" i="1"/>
  <c r="AJ155" i="1"/>
  <c r="AK155" i="1"/>
  <c r="AJ221" i="1"/>
  <c r="AK221" i="1"/>
  <c r="AJ189" i="1"/>
  <c r="AK189" i="1"/>
  <c r="AJ109" i="1"/>
  <c r="AK109" i="1"/>
  <c r="AJ81" i="1"/>
  <c r="AK81" i="1"/>
  <c r="AJ49" i="1"/>
  <c r="AK49" i="1"/>
  <c r="AJ80" i="1"/>
  <c r="AK80" i="1"/>
  <c r="AJ4" i="1"/>
  <c r="AP11" i="1" s="1"/>
  <c r="AK4" i="1"/>
  <c r="AJ372" i="1"/>
  <c r="AK372" i="1"/>
  <c r="AJ271" i="1"/>
  <c r="AK271" i="1"/>
  <c r="AJ489" i="1"/>
  <c r="AK489" i="1"/>
  <c r="AJ333" i="1"/>
  <c r="AK333" i="1"/>
  <c r="AJ483" i="1"/>
  <c r="AK483" i="1"/>
  <c r="AJ431" i="1"/>
  <c r="AK431" i="1"/>
  <c r="AJ319" i="1"/>
  <c r="AK319" i="1"/>
  <c r="AJ199" i="1"/>
  <c r="AK199" i="1"/>
  <c r="AJ33" i="1"/>
  <c r="AK33" i="1"/>
  <c r="AJ268" i="1"/>
  <c r="AK268" i="1"/>
  <c r="AJ138" i="1"/>
  <c r="AK138" i="1"/>
  <c r="AJ366" i="1"/>
  <c r="AK366" i="1"/>
  <c r="AJ256" i="1"/>
  <c r="AK256" i="1"/>
  <c r="AJ28" i="1"/>
  <c r="AK28" i="1"/>
  <c r="AJ180" i="1"/>
  <c r="AK180" i="1"/>
  <c r="AJ369" i="1"/>
  <c r="AK369" i="1"/>
  <c r="AJ365" i="1"/>
  <c r="AK365" i="1"/>
  <c r="AJ413" i="1"/>
  <c r="AK413" i="1"/>
  <c r="AJ195" i="1"/>
  <c r="AK195" i="1"/>
  <c r="AJ111" i="1"/>
  <c r="AK111" i="1"/>
  <c r="AJ321" i="1"/>
  <c r="AK321" i="1"/>
  <c r="AJ29" i="1"/>
  <c r="AK29" i="1"/>
  <c r="AJ156" i="1"/>
  <c r="AK156" i="1"/>
  <c r="AJ16" i="1"/>
  <c r="AK16" i="1"/>
  <c r="AJ381" i="1"/>
  <c r="AK381" i="1"/>
  <c r="AJ207" i="1"/>
  <c r="AK207" i="1"/>
  <c r="AJ120" i="1"/>
  <c r="AK120" i="1"/>
  <c r="AJ42" i="1"/>
  <c r="AK42" i="1"/>
  <c r="AJ279" i="1"/>
  <c r="AK279" i="1"/>
  <c r="AJ35" i="1"/>
  <c r="AK35" i="1"/>
  <c r="AJ98" i="1"/>
  <c r="AK98" i="1"/>
  <c r="AJ356" i="1"/>
  <c r="AK356" i="1"/>
  <c r="AJ421" i="1"/>
  <c r="AK421" i="1"/>
  <c r="AJ445" i="1"/>
  <c r="AK445" i="1"/>
  <c r="AJ285" i="1"/>
  <c r="AK285" i="1"/>
  <c r="AJ31" i="1"/>
  <c r="AK31" i="1"/>
  <c r="AJ455" i="1"/>
  <c r="AK455" i="1"/>
  <c r="AJ490" i="1"/>
  <c r="AK490" i="1"/>
  <c r="AJ148" i="1"/>
  <c r="AK148" i="1"/>
  <c r="AJ401" i="1"/>
  <c r="AK401" i="1"/>
  <c r="AJ47" i="1"/>
  <c r="AK47" i="1"/>
  <c r="AJ177" i="1"/>
  <c r="AK177" i="1"/>
  <c r="AJ124" i="1"/>
  <c r="AK124" i="1"/>
  <c r="AJ452" i="1"/>
  <c r="AK452" i="1"/>
  <c r="AJ158" i="1"/>
  <c r="AK158" i="1"/>
  <c r="AJ462" i="1"/>
  <c r="AK462" i="1"/>
  <c r="AJ442" i="1"/>
  <c r="AK442" i="1"/>
  <c r="AJ494" i="1"/>
  <c r="AK494" i="1"/>
  <c r="AJ469" i="1"/>
  <c r="AK469" i="1"/>
  <c r="AJ373" i="1"/>
  <c r="AK373" i="1"/>
  <c r="AJ435" i="1"/>
  <c r="AK435" i="1"/>
  <c r="AJ399" i="1"/>
  <c r="AK399" i="1"/>
  <c r="AJ59" i="1"/>
  <c r="AK59" i="1"/>
  <c r="AJ185" i="1"/>
  <c r="AK185" i="1"/>
  <c r="AJ21" i="1"/>
  <c r="AK21" i="1"/>
  <c r="AJ126" i="1"/>
  <c r="AK126" i="1"/>
  <c r="AJ90" i="1"/>
  <c r="AK90" i="1"/>
  <c r="AJ78" i="1"/>
  <c r="AK78" i="1"/>
  <c r="AJ374" i="1"/>
  <c r="AK374" i="1"/>
  <c r="AJ378" i="1"/>
  <c r="AK378" i="1"/>
  <c r="AJ410" i="1"/>
  <c r="AK410" i="1"/>
  <c r="AJ236" i="1"/>
  <c r="AK236" i="1"/>
  <c r="AJ71" i="1"/>
  <c r="AK71" i="1"/>
  <c r="AJ449" i="1"/>
  <c r="AK449" i="1"/>
  <c r="AJ281" i="1"/>
  <c r="AK281" i="1"/>
  <c r="AJ225" i="1"/>
  <c r="AK225" i="1"/>
  <c r="AJ165" i="1"/>
  <c r="AK165" i="1"/>
  <c r="AJ141" i="1"/>
  <c r="AK141" i="1"/>
  <c r="AJ376" i="1"/>
  <c r="AK376" i="1"/>
  <c r="AJ294" i="1"/>
  <c r="AK294" i="1"/>
  <c r="AJ30" i="1"/>
  <c r="AK30" i="1"/>
  <c r="AJ127" i="1"/>
  <c r="AK127" i="1"/>
  <c r="AJ471" i="1"/>
  <c r="AK471" i="1"/>
  <c r="AJ254" i="1"/>
  <c r="AK254" i="1"/>
  <c r="AJ313" i="1"/>
  <c r="AK313" i="1"/>
  <c r="AJ289" i="1"/>
  <c r="AK289" i="1"/>
  <c r="AJ72" i="1"/>
  <c r="AK72" i="1"/>
  <c r="AJ303" i="1"/>
  <c r="AK303" i="1"/>
  <c r="AJ223" i="1"/>
  <c r="AK223" i="1"/>
  <c r="AJ131" i="1"/>
  <c r="AK131" i="1"/>
  <c r="AJ257" i="1"/>
  <c r="AK257" i="1"/>
  <c r="AJ173" i="1"/>
  <c r="AK173" i="1"/>
  <c r="AJ93" i="1"/>
  <c r="AK93" i="1"/>
  <c r="AJ102" i="1"/>
  <c r="AK102" i="1"/>
  <c r="AJ62" i="1"/>
  <c r="AK62" i="1"/>
  <c r="AJ10" i="1"/>
  <c r="AK10" i="1"/>
  <c r="AE2" i="1"/>
  <c r="AX3" i="1" s="1"/>
  <c r="AV3" i="1"/>
  <c r="Y303" i="1"/>
  <c r="AF303" i="1"/>
  <c r="AG303" i="1" s="1"/>
  <c r="Y284" i="1"/>
  <c r="AF284" i="1"/>
  <c r="AG284" i="1" s="1"/>
  <c r="Y371" i="1"/>
  <c r="AF371" i="1"/>
  <c r="AG371" i="1" s="1"/>
  <c r="Y456" i="1"/>
  <c r="AF456" i="1"/>
  <c r="AG456" i="1" s="1"/>
  <c r="Y72" i="1"/>
  <c r="AF72" i="1"/>
  <c r="AG72" i="1" s="1"/>
  <c r="Y262" i="1"/>
  <c r="AF262" i="1"/>
  <c r="AG262" i="1" s="1"/>
  <c r="Y69" i="1"/>
  <c r="AF69" i="1"/>
  <c r="AG69" i="1" s="1"/>
  <c r="Y461" i="1"/>
  <c r="AF461" i="1"/>
  <c r="AG461" i="1" s="1"/>
  <c r="Y205" i="1"/>
  <c r="AF205" i="1"/>
  <c r="AG205" i="1" s="1"/>
  <c r="Y121" i="1"/>
  <c r="AF121" i="1"/>
  <c r="AG121" i="1" s="1"/>
  <c r="Y268" i="1"/>
  <c r="AF268" i="1"/>
  <c r="AG268" i="1" s="1"/>
  <c r="Y408" i="1"/>
  <c r="AF408" i="1"/>
  <c r="AG408" i="1" s="1"/>
  <c r="Y286" i="1"/>
  <c r="AF286" i="1"/>
  <c r="AG286" i="1" s="1"/>
  <c r="Y35" i="1"/>
  <c r="AF35" i="1"/>
  <c r="AG35" i="1" s="1"/>
  <c r="Y293" i="1"/>
  <c r="AF293" i="1"/>
  <c r="AG293" i="1" s="1"/>
  <c r="Y54" i="1"/>
  <c r="AF54" i="1"/>
  <c r="AG54" i="1" s="1"/>
  <c r="Y490" i="1"/>
  <c r="AF490" i="1"/>
  <c r="AG490" i="1" s="1"/>
  <c r="Y90" i="1"/>
  <c r="AF90" i="1"/>
  <c r="AG90" i="1" s="1"/>
  <c r="Y385" i="1"/>
  <c r="AF385" i="1"/>
  <c r="AG385" i="1" s="1"/>
  <c r="Y436" i="1"/>
  <c r="AF436" i="1"/>
  <c r="AG436" i="1" s="1"/>
  <c r="Y180" i="1"/>
  <c r="AF180" i="1"/>
  <c r="AG180" i="1" s="1"/>
  <c r="Y267" i="1"/>
  <c r="AF267" i="1"/>
  <c r="AG267" i="1" s="1"/>
  <c r="Y352" i="1"/>
  <c r="AF352" i="1"/>
  <c r="AG352" i="1" s="1"/>
  <c r="Y96" i="1"/>
  <c r="AF96" i="1"/>
  <c r="AG96" i="1" s="1"/>
  <c r="Y402" i="1"/>
  <c r="AF402" i="1"/>
  <c r="AG402" i="1" s="1"/>
  <c r="Y210" i="1"/>
  <c r="AF210" i="1"/>
  <c r="AG210" i="1" s="1"/>
  <c r="Y15" i="1"/>
  <c r="AF15" i="1"/>
  <c r="AG15" i="1" s="1"/>
  <c r="Y409" i="1"/>
  <c r="AF409" i="1"/>
  <c r="AG409" i="1" s="1"/>
  <c r="Y281" i="1"/>
  <c r="AF281" i="1"/>
  <c r="AG281" i="1" s="1"/>
  <c r="Y367" i="1"/>
  <c r="AF367" i="1"/>
  <c r="AG367" i="1" s="1"/>
  <c r="Y451" i="1"/>
  <c r="AF451" i="1"/>
  <c r="AG451" i="1" s="1"/>
  <c r="Y440" i="1"/>
  <c r="AF440" i="1"/>
  <c r="AG440" i="1" s="1"/>
  <c r="Y216" i="1"/>
  <c r="AF216" i="1"/>
  <c r="AG216" i="1" s="1"/>
  <c r="Y206" i="1"/>
  <c r="AF206" i="1"/>
  <c r="AG206" i="1" s="1"/>
  <c r="Y51" i="1"/>
  <c r="AF51" i="1"/>
  <c r="AG51" i="1" s="1"/>
  <c r="Y213" i="1"/>
  <c r="AF213" i="1"/>
  <c r="AG213" i="1" s="1"/>
  <c r="Y255" i="1"/>
  <c r="AF255" i="1"/>
  <c r="AG255" i="1" s="1"/>
  <c r="Y100" i="1"/>
  <c r="AF100" i="1"/>
  <c r="AG100" i="1" s="1"/>
  <c r="Y266" i="1"/>
  <c r="AF266" i="1"/>
  <c r="AG266" i="1" s="1"/>
  <c r="Y481" i="1"/>
  <c r="AF481" i="1"/>
  <c r="AG481" i="1" s="1"/>
  <c r="Y369" i="1"/>
  <c r="AF369" i="1"/>
  <c r="AG369" i="1" s="1"/>
  <c r="Y241" i="1"/>
  <c r="AF241" i="1"/>
  <c r="AG241" i="1" s="1"/>
  <c r="Y129" i="1"/>
  <c r="AF129" i="1"/>
  <c r="AG129" i="1" s="1"/>
  <c r="Y135" i="1"/>
  <c r="AF135" i="1"/>
  <c r="AG135" i="1" s="1"/>
  <c r="Y60" i="1"/>
  <c r="AF60" i="1"/>
  <c r="AG60" i="1" s="1"/>
  <c r="Y252" i="1"/>
  <c r="AF252" i="1"/>
  <c r="AG252" i="1" s="1"/>
  <c r="Y467" i="1"/>
  <c r="AF467" i="1"/>
  <c r="AG467" i="1" s="1"/>
  <c r="Y211" i="1"/>
  <c r="AF211" i="1"/>
  <c r="AG211" i="1" s="1"/>
  <c r="Y424" i="1"/>
  <c r="AF424" i="1"/>
  <c r="AG424" i="1" s="1"/>
  <c r="Y22" i="1"/>
  <c r="AF22" i="1"/>
  <c r="AG22" i="1" s="1"/>
  <c r="Y438" i="1"/>
  <c r="AF438" i="1"/>
  <c r="AG438" i="1" s="1"/>
  <c r="Y374" i="1"/>
  <c r="AF374" i="1"/>
  <c r="AG374" i="1" s="1"/>
  <c r="Y310" i="1"/>
  <c r="AF310" i="1"/>
  <c r="AG310" i="1" s="1"/>
  <c r="Y246" i="1"/>
  <c r="AF246" i="1"/>
  <c r="AG246" i="1" s="1"/>
  <c r="Y182" i="1"/>
  <c r="AF182" i="1"/>
  <c r="AG182" i="1" s="1"/>
  <c r="Y118" i="1"/>
  <c r="AF118" i="1"/>
  <c r="AG118" i="1" s="1"/>
  <c r="Y48" i="1"/>
  <c r="AF48" i="1"/>
  <c r="AG48" i="1" s="1"/>
  <c r="Y43" i="1"/>
  <c r="AF43" i="1"/>
  <c r="AG43" i="1" s="1"/>
  <c r="Y36" i="1"/>
  <c r="AF36" i="1"/>
  <c r="AG36" i="1" s="1"/>
  <c r="Y445" i="1"/>
  <c r="AF445" i="1"/>
  <c r="AG445" i="1" s="1"/>
  <c r="Y381" i="1"/>
  <c r="AF381" i="1"/>
  <c r="AG381" i="1" s="1"/>
  <c r="Y317" i="1"/>
  <c r="AF317" i="1"/>
  <c r="AG317" i="1" s="1"/>
  <c r="Y253" i="1"/>
  <c r="AF253" i="1"/>
  <c r="AG253" i="1" s="1"/>
  <c r="Y189" i="1"/>
  <c r="AF189" i="1"/>
  <c r="AG189" i="1" s="1"/>
  <c r="Y125" i="1"/>
  <c r="AF125" i="1"/>
  <c r="AG125" i="1" s="1"/>
  <c r="Y57" i="1"/>
  <c r="AF57" i="1"/>
  <c r="AG57" i="1" s="1"/>
  <c r="Y89" i="1"/>
  <c r="AF89" i="1"/>
  <c r="AG89" i="1" s="1"/>
  <c r="Y21" i="1"/>
  <c r="AF21" i="1"/>
  <c r="AG21" i="1" s="1"/>
  <c r="Y495" i="1"/>
  <c r="AF495" i="1"/>
  <c r="AG495" i="1" s="1"/>
  <c r="Y492" i="1"/>
  <c r="AF492" i="1"/>
  <c r="AG492" i="1" s="1"/>
  <c r="Y236" i="1"/>
  <c r="AF236" i="1"/>
  <c r="AG236" i="1" s="1"/>
  <c r="Y419" i="1"/>
  <c r="AF419" i="1"/>
  <c r="AG419" i="1" s="1"/>
  <c r="Y131" i="1"/>
  <c r="AF131" i="1"/>
  <c r="AG131" i="1" s="1"/>
  <c r="Y312" i="1"/>
  <c r="AF312" i="1"/>
  <c r="AG312" i="1" s="1"/>
  <c r="Y50" i="1"/>
  <c r="AF50" i="1"/>
  <c r="AG50" i="1" s="1"/>
  <c r="Y382" i="1"/>
  <c r="AF382" i="1"/>
  <c r="AG382" i="1" s="1"/>
  <c r="Y254" i="1"/>
  <c r="AF254" i="1"/>
  <c r="AG254" i="1" s="1"/>
  <c r="Y110" i="1"/>
  <c r="AF110" i="1"/>
  <c r="AG110" i="1" s="1"/>
  <c r="Y67" i="1"/>
  <c r="AF67" i="1"/>
  <c r="AG67" i="1" s="1"/>
  <c r="Y389" i="1"/>
  <c r="AF389" i="1"/>
  <c r="AG389" i="1" s="1"/>
  <c r="Y261" i="1"/>
  <c r="AF261" i="1"/>
  <c r="AG261" i="1" s="1"/>
  <c r="Y117" i="1"/>
  <c r="AF117" i="1"/>
  <c r="AG117" i="1" s="1"/>
  <c r="Y383" i="1"/>
  <c r="AF383" i="1"/>
  <c r="AG383" i="1" s="1"/>
  <c r="Y263" i="1"/>
  <c r="AF263" i="1"/>
  <c r="AG263" i="1" s="1"/>
  <c r="Y324" i="1"/>
  <c r="AF324" i="1"/>
  <c r="AG324" i="1" s="1"/>
  <c r="Y66" i="1"/>
  <c r="AF66" i="1"/>
  <c r="AG66" i="1" s="1"/>
  <c r="Y251" i="1"/>
  <c r="AF251" i="1"/>
  <c r="AG251" i="1" s="1"/>
  <c r="Y464" i="1"/>
  <c r="AF464" i="1"/>
  <c r="AG464" i="1" s="1"/>
  <c r="Y208" i="1"/>
  <c r="AF208" i="1"/>
  <c r="AG208" i="1" s="1"/>
  <c r="Y442" i="1"/>
  <c r="AF442" i="1"/>
  <c r="AG442" i="1" s="1"/>
  <c r="Y314" i="1"/>
  <c r="AF314" i="1"/>
  <c r="AG314" i="1" s="1"/>
  <c r="Y186" i="1"/>
  <c r="AF186" i="1"/>
  <c r="AG186" i="1" s="1"/>
  <c r="Y53" i="1"/>
  <c r="AF53" i="1"/>
  <c r="AG53" i="1" s="1"/>
  <c r="Y497" i="1"/>
  <c r="AF497" i="1"/>
  <c r="AG497" i="1" s="1"/>
  <c r="Y353" i="1"/>
  <c r="AF353" i="1"/>
  <c r="AG353" i="1" s="1"/>
  <c r="Y225" i="1"/>
  <c r="AF225" i="1"/>
  <c r="AG225" i="1" s="1"/>
  <c r="Y81" i="1"/>
  <c r="AF81" i="1"/>
  <c r="AG81" i="1" s="1"/>
  <c r="Y103" i="1"/>
  <c r="AF103" i="1"/>
  <c r="AG103" i="1" s="1"/>
  <c r="Y343" i="1"/>
  <c r="AF343" i="1"/>
  <c r="AG343" i="1" s="1"/>
  <c r="Y455" i="1"/>
  <c r="AF455" i="1"/>
  <c r="AG455" i="1" s="1"/>
  <c r="Y49" i="1"/>
  <c r="AF49" i="1"/>
  <c r="AG49" i="1" s="1"/>
  <c r="Y404" i="1"/>
  <c r="AF404" i="1"/>
  <c r="AG404" i="1" s="1"/>
  <c r="Y276" i="1"/>
  <c r="AF276" i="1"/>
  <c r="AG276" i="1" s="1"/>
  <c r="Y148" i="1"/>
  <c r="AF148" i="1"/>
  <c r="AG148" i="1" s="1"/>
  <c r="Y491" i="1"/>
  <c r="AF491" i="1"/>
  <c r="AG491" i="1" s="1"/>
  <c r="Y363" i="1"/>
  <c r="AF363" i="1"/>
  <c r="AG363" i="1" s="1"/>
  <c r="Y235" i="1"/>
  <c r="AF235" i="1"/>
  <c r="AG235" i="1" s="1"/>
  <c r="Y107" i="1"/>
  <c r="AF107" i="1"/>
  <c r="AG107" i="1" s="1"/>
  <c r="Y448" i="1"/>
  <c r="AF448" i="1"/>
  <c r="AG448" i="1" s="1"/>
  <c r="Y320" i="1"/>
  <c r="AF320" i="1"/>
  <c r="AG320" i="1" s="1"/>
  <c r="Y192" i="1"/>
  <c r="AF192" i="1"/>
  <c r="AG192" i="1" s="1"/>
  <c r="Y61" i="1"/>
  <c r="AF61" i="1"/>
  <c r="AG61" i="1" s="1"/>
  <c r="Y450" i="1"/>
  <c r="AF450" i="1"/>
  <c r="AG450" i="1" s="1"/>
  <c r="Y386" i="1"/>
  <c r="AF386" i="1"/>
  <c r="AG386" i="1" s="1"/>
  <c r="Y322" i="1"/>
  <c r="AF322" i="1"/>
  <c r="AG322" i="1" s="1"/>
  <c r="Y194" i="1"/>
  <c r="AF194" i="1"/>
  <c r="AG194" i="1" s="1"/>
  <c r="Y130" i="1"/>
  <c r="AF130" i="1"/>
  <c r="AG130" i="1" s="1"/>
  <c r="Y64" i="1"/>
  <c r="AF64" i="1"/>
  <c r="AG64" i="1" s="1"/>
  <c r="Y31" i="1"/>
  <c r="AF31" i="1"/>
  <c r="AG31" i="1" s="1"/>
  <c r="Y24" i="1"/>
  <c r="AF24" i="1"/>
  <c r="AG24" i="1" s="1"/>
  <c r="Y457" i="1"/>
  <c r="AF457" i="1"/>
  <c r="AG457" i="1" s="1"/>
  <c r="Y393" i="1"/>
  <c r="AF393" i="1"/>
  <c r="AG393" i="1" s="1"/>
  <c r="Y329" i="1"/>
  <c r="AF329" i="1"/>
  <c r="AG329" i="1" s="1"/>
  <c r="Y265" i="1"/>
  <c r="AF265" i="1"/>
  <c r="AG265" i="1" s="1"/>
  <c r="Y201" i="1"/>
  <c r="AF201" i="1"/>
  <c r="AG201" i="1" s="1"/>
  <c r="Y105" i="1"/>
  <c r="AF105" i="1"/>
  <c r="AG105" i="1" s="1"/>
  <c r="Y295" i="1"/>
  <c r="AF295" i="1"/>
  <c r="AG295" i="1" s="1"/>
  <c r="Y396" i="1"/>
  <c r="AF396" i="1"/>
  <c r="AG396" i="1" s="1"/>
  <c r="Y172" i="1"/>
  <c r="AF172" i="1"/>
  <c r="AG172" i="1" s="1"/>
  <c r="Y387" i="1"/>
  <c r="AF387" i="1"/>
  <c r="AG387" i="1" s="1"/>
  <c r="Y163" i="1"/>
  <c r="AF163" i="1"/>
  <c r="AG163" i="1" s="1"/>
  <c r="Y376" i="1"/>
  <c r="AF376" i="1"/>
  <c r="AG376" i="1" s="1"/>
  <c r="Y152" i="1"/>
  <c r="AF152" i="1"/>
  <c r="AG152" i="1" s="1"/>
  <c r="Y430" i="1"/>
  <c r="AF430" i="1"/>
  <c r="AG430" i="1" s="1"/>
  <c r="Y302" i="1"/>
  <c r="AF302" i="1"/>
  <c r="AG302" i="1" s="1"/>
  <c r="Y190" i="1"/>
  <c r="AF190" i="1"/>
  <c r="AG190" i="1" s="1"/>
  <c r="Y78" i="1"/>
  <c r="AF78" i="1"/>
  <c r="AG78" i="1" s="1"/>
  <c r="Y12" i="1"/>
  <c r="AF12" i="1"/>
  <c r="AG12" i="1" s="1"/>
  <c r="Y437" i="1"/>
  <c r="AF437" i="1"/>
  <c r="AG437" i="1" s="1"/>
  <c r="Y309" i="1"/>
  <c r="AF309" i="1"/>
  <c r="AG309" i="1" s="1"/>
  <c r="Y181" i="1"/>
  <c r="AF181" i="1"/>
  <c r="AG181" i="1" s="1"/>
  <c r="Y46" i="1"/>
  <c r="AF46" i="1"/>
  <c r="AG46" i="1" s="1"/>
  <c r="Y407" i="1"/>
  <c r="AF407" i="1"/>
  <c r="AG407" i="1" s="1"/>
  <c r="Y5" i="1"/>
  <c r="AF5" i="1"/>
  <c r="AG5" i="1" s="1"/>
  <c r="Y292" i="1"/>
  <c r="AF292" i="1"/>
  <c r="AG292" i="1" s="1"/>
  <c r="Y14" i="1"/>
  <c r="AF14" i="1"/>
  <c r="AG14" i="1" s="1"/>
  <c r="Y283" i="1"/>
  <c r="AF283" i="1"/>
  <c r="AG283" i="1" s="1"/>
  <c r="Y496" i="1"/>
  <c r="AF496" i="1"/>
  <c r="AG496" i="1" s="1"/>
  <c r="Y240" i="1"/>
  <c r="AF240" i="1"/>
  <c r="AG240" i="1" s="1"/>
  <c r="Y474" i="1"/>
  <c r="AF474" i="1"/>
  <c r="AG474" i="1" s="1"/>
  <c r="Y362" i="1"/>
  <c r="AF362" i="1"/>
  <c r="AG362" i="1" s="1"/>
  <c r="Y234" i="1"/>
  <c r="AF234" i="1"/>
  <c r="AG234" i="1" s="1"/>
  <c r="Y106" i="1"/>
  <c r="AF106" i="1"/>
  <c r="AG106" i="1" s="1"/>
  <c r="Y39" i="1"/>
  <c r="AF39" i="1"/>
  <c r="AG39" i="1" s="1"/>
  <c r="Y465" i="1"/>
  <c r="AF465" i="1"/>
  <c r="AG465" i="1" s="1"/>
  <c r="Y337" i="1"/>
  <c r="AF337" i="1"/>
  <c r="AG337" i="1" s="1"/>
  <c r="Y209" i="1"/>
  <c r="AF209" i="1"/>
  <c r="AG209" i="1" s="1"/>
  <c r="Y97" i="1"/>
  <c r="AF97" i="1"/>
  <c r="AG97" i="1" s="1"/>
  <c r="Y159" i="1"/>
  <c r="AF159" i="1"/>
  <c r="AG159" i="1" s="1"/>
  <c r="Y175" i="1"/>
  <c r="AF175" i="1"/>
  <c r="AG175" i="1" s="1"/>
  <c r="Y95" i="1"/>
  <c r="AF95" i="1"/>
  <c r="AG95" i="1" s="1"/>
  <c r="Y156" i="1"/>
  <c r="AF156" i="1"/>
  <c r="AG156" i="1" s="1"/>
  <c r="Y243" i="1"/>
  <c r="AF243" i="1"/>
  <c r="AG243" i="1" s="1"/>
  <c r="Y328" i="1"/>
  <c r="AF328" i="1"/>
  <c r="AG328" i="1" s="1"/>
  <c r="Y390" i="1"/>
  <c r="AF390" i="1"/>
  <c r="AG390" i="1" s="1"/>
  <c r="Y134" i="1"/>
  <c r="AF134" i="1"/>
  <c r="AG134" i="1" s="1"/>
  <c r="Y20" i="1"/>
  <c r="AF20" i="1"/>
  <c r="AG20" i="1" s="1"/>
  <c r="Y333" i="1"/>
  <c r="AF333" i="1"/>
  <c r="AG333" i="1" s="1"/>
  <c r="Y77" i="1"/>
  <c r="AF77" i="1"/>
  <c r="AG77" i="1" s="1"/>
  <c r="Y311" i="1"/>
  <c r="AF311" i="1"/>
  <c r="AG311" i="1" s="1"/>
  <c r="Y483" i="1"/>
  <c r="AF483" i="1"/>
  <c r="AG483" i="1" s="1"/>
  <c r="Y120" i="1"/>
  <c r="AF120" i="1"/>
  <c r="AG120" i="1" s="1"/>
  <c r="Y142" i="1"/>
  <c r="AF142" i="1"/>
  <c r="AG142" i="1" s="1"/>
  <c r="Y6" i="1"/>
  <c r="AF6" i="1"/>
  <c r="AG6" i="1" s="1"/>
  <c r="Y296" i="1"/>
  <c r="AF296" i="1"/>
  <c r="AG296" i="1" s="1"/>
  <c r="Y247" i="1"/>
  <c r="AF247" i="1"/>
  <c r="AG247" i="1" s="1"/>
  <c r="Y476" i="1"/>
  <c r="AF476" i="1"/>
  <c r="AG476" i="1" s="1"/>
  <c r="Y92" i="1"/>
  <c r="AF92" i="1"/>
  <c r="AG92" i="1" s="1"/>
  <c r="Y136" i="1"/>
  <c r="AF136" i="1"/>
  <c r="AG136" i="1" s="1"/>
  <c r="Y422" i="1"/>
  <c r="AF422" i="1"/>
  <c r="AG422" i="1" s="1"/>
  <c r="Y230" i="1"/>
  <c r="AF230" i="1"/>
  <c r="AG230" i="1" s="1"/>
  <c r="Y18" i="1"/>
  <c r="AF18" i="1"/>
  <c r="AG18" i="1" s="1"/>
  <c r="Y493" i="1"/>
  <c r="AF493" i="1"/>
  <c r="AG493" i="1" s="1"/>
  <c r="Y301" i="1"/>
  <c r="AF301" i="1"/>
  <c r="AG301" i="1" s="1"/>
  <c r="Y173" i="1"/>
  <c r="AF173" i="1"/>
  <c r="AG173" i="1" s="1"/>
  <c r="Y239" i="1"/>
  <c r="AF239" i="1"/>
  <c r="AG239" i="1" s="1"/>
  <c r="Y140" i="1"/>
  <c r="AF140" i="1"/>
  <c r="AG140" i="1" s="1"/>
  <c r="Y65" i="1"/>
  <c r="AF65" i="1"/>
  <c r="AG65" i="1" s="1"/>
  <c r="Y494" i="1"/>
  <c r="AF494" i="1"/>
  <c r="AG494" i="1" s="1"/>
  <c r="Y222" i="1"/>
  <c r="AF222" i="1"/>
  <c r="AG222" i="1" s="1"/>
  <c r="Y58" i="1"/>
  <c r="AF58" i="1"/>
  <c r="AG58" i="1" s="1"/>
  <c r="Y501" i="1"/>
  <c r="AF501" i="1"/>
  <c r="AG501" i="1" s="1"/>
  <c r="Y357" i="1"/>
  <c r="AF357" i="1"/>
  <c r="AG357" i="1" s="1"/>
  <c r="Y229" i="1"/>
  <c r="AF229" i="1"/>
  <c r="AG229" i="1" s="1"/>
  <c r="Y85" i="1"/>
  <c r="AF85" i="1"/>
  <c r="AG85" i="1" s="1"/>
  <c r="Y279" i="1"/>
  <c r="AF279" i="1"/>
  <c r="AG279" i="1" s="1"/>
  <c r="Y70" i="1"/>
  <c r="AF70" i="1"/>
  <c r="AG70" i="1" s="1"/>
  <c r="Y260" i="1"/>
  <c r="AF260" i="1"/>
  <c r="AG260" i="1" s="1"/>
  <c r="Y475" i="1"/>
  <c r="AF475" i="1"/>
  <c r="AG475" i="1" s="1"/>
  <c r="Y187" i="1"/>
  <c r="AF187" i="1"/>
  <c r="AG187" i="1" s="1"/>
  <c r="Y400" i="1"/>
  <c r="AF400" i="1"/>
  <c r="AG400" i="1" s="1"/>
  <c r="Y144" i="1"/>
  <c r="AF144" i="1"/>
  <c r="AG144" i="1" s="1"/>
  <c r="Y410" i="1"/>
  <c r="AF410" i="1"/>
  <c r="AG410" i="1" s="1"/>
  <c r="Y282" i="1"/>
  <c r="AF282" i="1"/>
  <c r="AG282" i="1" s="1"/>
  <c r="Y154" i="1"/>
  <c r="AF154" i="1"/>
  <c r="AG154" i="1" s="1"/>
  <c r="Y23" i="1"/>
  <c r="AF23" i="1"/>
  <c r="AG23" i="1" s="1"/>
  <c r="Y449" i="1"/>
  <c r="AF449" i="1"/>
  <c r="AG449" i="1" s="1"/>
  <c r="Y321" i="1"/>
  <c r="AF321" i="1"/>
  <c r="AG321" i="1" s="1"/>
  <c r="Y193" i="1"/>
  <c r="AF193" i="1"/>
  <c r="AG193" i="1" s="1"/>
  <c r="Y41" i="1"/>
  <c r="AF41" i="1"/>
  <c r="AG41" i="1" s="1"/>
  <c r="Y447" i="1"/>
  <c r="AF447" i="1"/>
  <c r="AG447" i="1" s="1"/>
  <c r="Y215" i="1"/>
  <c r="AF215" i="1"/>
  <c r="AG215" i="1" s="1"/>
  <c r="Y327" i="1"/>
  <c r="AF327" i="1"/>
  <c r="AG327" i="1" s="1"/>
  <c r="Y500" i="1"/>
  <c r="AF500" i="1"/>
  <c r="AG500" i="1" s="1"/>
  <c r="Y372" i="1"/>
  <c r="AF372" i="1"/>
  <c r="AG372" i="1" s="1"/>
  <c r="Y244" i="1"/>
  <c r="AF244" i="1"/>
  <c r="AG244" i="1" s="1"/>
  <c r="Y116" i="1"/>
  <c r="AF116" i="1"/>
  <c r="AG116" i="1" s="1"/>
  <c r="Y459" i="1"/>
  <c r="AF459" i="1"/>
  <c r="AG459" i="1" s="1"/>
  <c r="Y331" i="1"/>
  <c r="AF331" i="1"/>
  <c r="AG331" i="1" s="1"/>
  <c r="Y203" i="1"/>
  <c r="AF203" i="1"/>
  <c r="AG203" i="1" s="1"/>
  <c r="Y75" i="1"/>
  <c r="AF75" i="1"/>
  <c r="AG75" i="1" s="1"/>
  <c r="Y288" i="1"/>
  <c r="AF288" i="1"/>
  <c r="AG288" i="1" s="1"/>
  <c r="Y160" i="1"/>
  <c r="AF160" i="1"/>
  <c r="AG160" i="1" s="1"/>
  <c r="Y498" i="1"/>
  <c r="AF498" i="1"/>
  <c r="AG498" i="1" s="1"/>
  <c r="Y434" i="1"/>
  <c r="AF434" i="1"/>
  <c r="AG434" i="1" s="1"/>
  <c r="Y370" i="1"/>
  <c r="AF370" i="1"/>
  <c r="AG370" i="1" s="1"/>
  <c r="Y306" i="1"/>
  <c r="AF306" i="1"/>
  <c r="AG306" i="1" s="1"/>
  <c r="Y242" i="1"/>
  <c r="AF242" i="1"/>
  <c r="AG242" i="1" s="1"/>
  <c r="Y178" i="1"/>
  <c r="AF178" i="1"/>
  <c r="AG178" i="1" s="1"/>
  <c r="Y114" i="1"/>
  <c r="AF114" i="1"/>
  <c r="AG114" i="1" s="1"/>
  <c r="Y42" i="1"/>
  <c r="AF42" i="1"/>
  <c r="AG42" i="1" s="1"/>
  <c r="Y40" i="1"/>
  <c r="AF40" i="1"/>
  <c r="AG40" i="1" s="1"/>
  <c r="Y441" i="1"/>
  <c r="AF441" i="1"/>
  <c r="AG441" i="1" s="1"/>
  <c r="Y377" i="1"/>
  <c r="AF377" i="1"/>
  <c r="AG377" i="1" s="1"/>
  <c r="Y313" i="1"/>
  <c r="AF313" i="1"/>
  <c r="AG313" i="1" s="1"/>
  <c r="Y249" i="1"/>
  <c r="AF249" i="1"/>
  <c r="AG249" i="1" s="1"/>
  <c r="Y169" i="1"/>
  <c r="AF169" i="1"/>
  <c r="AG169" i="1" s="1"/>
  <c r="Y52" i="1"/>
  <c r="AF52" i="1"/>
  <c r="AG52" i="1" s="1"/>
  <c r="Y119" i="1"/>
  <c r="AF119" i="1"/>
  <c r="AG119" i="1" s="1"/>
  <c r="Y364" i="1"/>
  <c r="AF364" i="1"/>
  <c r="AG364" i="1" s="1"/>
  <c r="Y108" i="1"/>
  <c r="AF108" i="1"/>
  <c r="AG108" i="1" s="1"/>
  <c r="Y323" i="1"/>
  <c r="AF323" i="1"/>
  <c r="AG323" i="1" s="1"/>
  <c r="Y99" i="1"/>
  <c r="AF99" i="1"/>
  <c r="AG99" i="1" s="1"/>
  <c r="Y344" i="1"/>
  <c r="AF344" i="1"/>
  <c r="AG344" i="1" s="1"/>
  <c r="Y398" i="1"/>
  <c r="AF398" i="1"/>
  <c r="AG398" i="1" s="1"/>
  <c r="Y270" i="1"/>
  <c r="AF270" i="1"/>
  <c r="AG270" i="1" s="1"/>
  <c r="Y158" i="1"/>
  <c r="AF158" i="1"/>
  <c r="AG158" i="1" s="1"/>
  <c r="Y34" i="1"/>
  <c r="AF34" i="1"/>
  <c r="AG34" i="1" s="1"/>
  <c r="Y28" i="1"/>
  <c r="AF28" i="1"/>
  <c r="AG28" i="1" s="1"/>
  <c r="Y405" i="1"/>
  <c r="AF405" i="1"/>
  <c r="AG405" i="1" s="1"/>
  <c r="Y277" i="1"/>
  <c r="AF277" i="1"/>
  <c r="AG277" i="1" s="1"/>
  <c r="Y149" i="1"/>
  <c r="AF149" i="1"/>
  <c r="AG149" i="1" s="1"/>
  <c r="Y17" i="1"/>
  <c r="AF17" i="1"/>
  <c r="AG17" i="1" s="1"/>
  <c r="Y463" i="1"/>
  <c r="AF463" i="1"/>
  <c r="AG463" i="1" s="1"/>
  <c r="Y484" i="1"/>
  <c r="AF484" i="1"/>
  <c r="AG484" i="1" s="1"/>
  <c r="Y228" i="1"/>
  <c r="AF228" i="1"/>
  <c r="AG228" i="1" s="1"/>
  <c r="Y443" i="1"/>
  <c r="AF443" i="1"/>
  <c r="AG443" i="1" s="1"/>
  <c r="Y219" i="1"/>
  <c r="AF219" i="1"/>
  <c r="AG219" i="1" s="1"/>
  <c r="Y432" i="1"/>
  <c r="AF432" i="1"/>
  <c r="AG432" i="1" s="1"/>
  <c r="Y176" i="1"/>
  <c r="AF176" i="1"/>
  <c r="AG176" i="1" s="1"/>
  <c r="Y458" i="1"/>
  <c r="AF458" i="1"/>
  <c r="AG458" i="1" s="1"/>
  <c r="Y330" i="1"/>
  <c r="AF330" i="1"/>
  <c r="AG330" i="1" s="1"/>
  <c r="Y202" i="1"/>
  <c r="AF202" i="1"/>
  <c r="AG202" i="1" s="1"/>
  <c r="Y74" i="1"/>
  <c r="AF74" i="1"/>
  <c r="AG74" i="1" s="1"/>
  <c r="Y433" i="1"/>
  <c r="AF433" i="1"/>
  <c r="AG433" i="1" s="1"/>
  <c r="Y305" i="1"/>
  <c r="AF305" i="1"/>
  <c r="AG305" i="1" s="1"/>
  <c r="Y177" i="1"/>
  <c r="AF177" i="1"/>
  <c r="AG177" i="1" s="1"/>
  <c r="Y223" i="1"/>
  <c r="AF223" i="1"/>
  <c r="AG223" i="1" s="1"/>
  <c r="Y412" i="1"/>
  <c r="AF412" i="1"/>
  <c r="AG412" i="1" s="1"/>
  <c r="Y499" i="1"/>
  <c r="AF499" i="1"/>
  <c r="AG499" i="1" s="1"/>
  <c r="Y200" i="1"/>
  <c r="AF200" i="1"/>
  <c r="AG200" i="1" s="1"/>
  <c r="Y454" i="1"/>
  <c r="AF454" i="1"/>
  <c r="AG454" i="1" s="1"/>
  <c r="Y326" i="1"/>
  <c r="AF326" i="1"/>
  <c r="AG326" i="1" s="1"/>
  <c r="Y198" i="1"/>
  <c r="AF198" i="1"/>
  <c r="AG198" i="1" s="1"/>
  <c r="Y27" i="1"/>
  <c r="AF27" i="1"/>
  <c r="AG27" i="1" s="1"/>
  <c r="Y397" i="1"/>
  <c r="AF397" i="1"/>
  <c r="AG397" i="1" s="1"/>
  <c r="Y269" i="1"/>
  <c r="AF269" i="1"/>
  <c r="AG269" i="1" s="1"/>
  <c r="Y141" i="1"/>
  <c r="AF141" i="1"/>
  <c r="AG141" i="1" s="1"/>
  <c r="Y191" i="1"/>
  <c r="AF191" i="1"/>
  <c r="AG191" i="1" s="1"/>
  <c r="Y79" i="1"/>
  <c r="AF79" i="1"/>
  <c r="AG79" i="1" s="1"/>
  <c r="Y195" i="1"/>
  <c r="AF195" i="1"/>
  <c r="AG195" i="1" s="1"/>
  <c r="Y414" i="1"/>
  <c r="AF414" i="1"/>
  <c r="AG414" i="1" s="1"/>
  <c r="Y165" i="1"/>
  <c r="AF165" i="1"/>
  <c r="AG165" i="1" s="1"/>
  <c r="Y207" i="1"/>
  <c r="AF207" i="1"/>
  <c r="AG207" i="1" s="1"/>
  <c r="Y388" i="1"/>
  <c r="AF388" i="1"/>
  <c r="AG388" i="1" s="1"/>
  <c r="Y315" i="1"/>
  <c r="AF315" i="1"/>
  <c r="AG315" i="1" s="1"/>
  <c r="Y272" i="1"/>
  <c r="AF272" i="1"/>
  <c r="AG272" i="1" s="1"/>
  <c r="Y346" i="1"/>
  <c r="AF346" i="1"/>
  <c r="AG346" i="1" s="1"/>
  <c r="Y218" i="1"/>
  <c r="AF218" i="1"/>
  <c r="AG218" i="1" s="1"/>
  <c r="Y257" i="1"/>
  <c r="AF257" i="1"/>
  <c r="AG257" i="1" s="1"/>
  <c r="Y113" i="1"/>
  <c r="AF113" i="1"/>
  <c r="AG113" i="1" s="1"/>
  <c r="Y183" i="1"/>
  <c r="AF183" i="1"/>
  <c r="AG183" i="1" s="1"/>
  <c r="Y271" i="1"/>
  <c r="AF271" i="1"/>
  <c r="AG271" i="1" s="1"/>
  <c r="Y87" i="1"/>
  <c r="AF87" i="1"/>
  <c r="AG87" i="1" s="1"/>
  <c r="Y308" i="1"/>
  <c r="AF308" i="1"/>
  <c r="AG308" i="1" s="1"/>
  <c r="Y45" i="1"/>
  <c r="AF45" i="1"/>
  <c r="AG45" i="1" s="1"/>
  <c r="Y395" i="1"/>
  <c r="AF395" i="1"/>
  <c r="AG395" i="1" s="1"/>
  <c r="Y139" i="1"/>
  <c r="AF139" i="1"/>
  <c r="AG139" i="1" s="1"/>
  <c r="Y480" i="1"/>
  <c r="AF480" i="1"/>
  <c r="AG480" i="1" s="1"/>
  <c r="Y224" i="1"/>
  <c r="AF224" i="1"/>
  <c r="AG224" i="1" s="1"/>
  <c r="Y466" i="1"/>
  <c r="AF466" i="1"/>
  <c r="AG466" i="1" s="1"/>
  <c r="Y338" i="1"/>
  <c r="AF338" i="1"/>
  <c r="AG338" i="1" s="1"/>
  <c r="Y274" i="1"/>
  <c r="AF274" i="1"/>
  <c r="AG274" i="1" s="1"/>
  <c r="Y146" i="1"/>
  <c r="AF146" i="1"/>
  <c r="AG146" i="1" s="1"/>
  <c r="Y82" i="1"/>
  <c r="AF82" i="1"/>
  <c r="AG82" i="1" s="1"/>
  <c r="Y8" i="1"/>
  <c r="AF8" i="1"/>
  <c r="AG8" i="1" s="1"/>
  <c r="Y473" i="1"/>
  <c r="AF473" i="1"/>
  <c r="AG473" i="1" s="1"/>
  <c r="Y345" i="1"/>
  <c r="AF345" i="1"/>
  <c r="AG345" i="1" s="1"/>
  <c r="Y217" i="1"/>
  <c r="AF217" i="1"/>
  <c r="AG217" i="1" s="1"/>
  <c r="Y137" i="1"/>
  <c r="AF137" i="1"/>
  <c r="AG137" i="1" s="1"/>
  <c r="Y460" i="1"/>
  <c r="AF460" i="1"/>
  <c r="AG460" i="1" s="1"/>
  <c r="Y204" i="1"/>
  <c r="AF204" i="1"/>
  <c r="AG204" i="1" s="1"/>
  <c r="Y227" i="1"/>
  <c r="AF227" i="1"/>
  <c r="AG227" i="1" s="1"/>
  <c r="Y334" i="1"/>
  <c r="AF334" i="1"/>
  <c r="AG334" i="1" s="1"/>
  <c r="Y94" i="1"/>
  <c r="AF94" i="1"/>
  <c r="AG94" i="1" s="1"/>
  <c r="Y453" i="1"/>
  <c r="AF453" i="1"/>
  <c r="AG453" i="1" s="1"/>
  <c r="Y341" i="1"/>
  <c r="AF341" i="1"/>
  <c r="AG341" i="1" s="1"/>
  <c r="Y101" i="1"/>
  <c r="AF101" i="1"/>
  <c r="AG101" i="1" s="1"/>
  <c r="Y111" i="1"/>
  <c r="AF111" i="1"/>
  <c r="AG111" i="1" s="1"/>
  <c r="Y356" i="1"/>
  <c r="AF356" i="1"/>
  <c r="AG356" i="1" s="1"/>
  <c r="Y347" i="1"/>
  <c r="AF347" i="1"/>
  <c r="AG347" i="1" s="1"/>
  <c r="Y91" i="1"/>
  <c r="AF91" i="1"/>
  <c r="AG91" i="1" s="1"/>
  <c r="Y304" i="1"/>
  <c r="AF304" i="1"/>
  <c r="AG304" i="1" s="1"/>
  <c r="Y38" i="1"/>
  <c r="AF38" i="1"/>
  <c r="AG38" i="1" s="1"/>
  <c r="Y167" i="1"/>
  <c r="AF167" i="1"/>
  <c r="AG167" i="1" s="1"/>
  <c r="Y375" i="1"/>
  <c r="AF375" i="1"/>
  <c r="AG375" i="1" s="1"/>
  <c r="Y487" i="1"/>
  <c r="AF487" i="1"/>
  <c r="AG487" i="1" s="1"/>
  <c r="Y380" i="1"/>
  <c r="AF380" i="1"/>
  <c r="AG380" i="1" s="1"/>
  <c r="Y339" i="1"/>
  <c r="AF339" i="1"/>
  <c r="AG339" i="1" s="1"/>
  <c r="Y83" i="1"/>
  <c r="AF83" i="1"/>
  <c r="AG83" i="1" s="1"/>
  <c r="Y168" i="1"/>
  <c r="AF168" i="1"/>
  <c r="AG168" i="1" s="1"/>
  <c r="Y479" i="1"/>
  <c r="AF479" i="1"/>
  <c r="AG479" i="1" s="1"/>
  <c r="Y359" i="1"/>
  <c r="AF359" i="1"/>
  <c r="AG359" i="1" s="1"/>
  <c r="Y348" i="1"/>
  <c r="AF348" i="1"/>
  <c r="AG348" i="1" s="1"/>
  <c r="Y220" i="1"/>
  <c r="AF220" i="1"/>
  <c r="AG220" i="1" s="1"/>
  <c r="Y435" i="1"/>
  <c r="AF435" i="1"/>
  <c r="AG435" i="1" s="1"/>
  <c r="Y307" i="1"/>
  <c r="AF307" i="1"/>
  <c r="AG307" i="1" s="1"/>
  <c r="Y179" i="1"/>
  <c r="AF179" i="1"/>
  <c r="AG179" i="1" s="1"/>
  <c r="Y392" i="1"/>
  <c r="AF392" i="1"/>
  <c r="AG392" i="1" s="1"/>
  <c r="Y264" i="1"/>
  <c r="AF264" i="1"/>
  <c r="AG264" i="1" s="1"/>
  <c r="Y486" i="1"/>
  <c r="AF486" i="1"/>
  <c r="AG486" i="1" s="1"/>
  <c r="Y358" i="1"/>
  <c r="AF358" i="1"/>
  <c r="AG358" i="1" s="1"/>
  <c r="Y294" i="1"/>
  <c r="AF294" i="1"/>
  <c r="AG294" i="1" s="1"/>
  <c r="Y166" i="1"/>
  <c r="AF166" i="1"/>
  <c r="AG166" i="1" s="1"/>
  <c r="Y102" i="1"/>
  <c r="AF102" i="1"/>
  <c r="AG102" i="1" s="1"/>
  <c r="Y59" i="1"/>
  <c r="AF59" i="1"/>
  <c r="AG59" i="1" s="1"/>
  <c r="Y429" i="1"/>
  <c r="AF429" i="1"/>
  <c r="AG429" i="1" s="1"/>
  <c r="Y365" i="1"/>
  <c r="AF365" i="1"/>
  <c r="AG365" i="1" s="1"/>
  <c r="Y237" i="1"/>
  <c r="AF237" i="1"/>
  <c r="AG237" i="1" s="1"/>
  <c r="Y73" i="1"/>
  <c r="AF73" i="1"/>
  <c r="AG73" i="1" s="1"/>
  <c r="Y415" i="1"/>
  <c r="AF415" i="1"/>
  <c r="AG415" i="1" s="1"/>
  <c r="Y428" i="1"/>
  <c r="AF428" i="1"/>
  <c r="AG428" i="1" s="1"/>
  <c r="Y355" i="1"/>
  <c r="AF355" i="1"/>
  <c r="AG355" i="1" s="1"/>
  <c r="Y280" i="1"/>
  <c r="AF280" i="1"/>
  <c r="AG280" i="1" s="1"/>
  <c r="Y143" i="1"/>
  <c r="AF143" i="1"/>
  <c r="AG143" i="1" s="1"/>
  <c r="Y351" i="1"/>
  <c r="AF351" i="1"/>
  <c r="AG351" i="1" s="1"/>
  <c r="Y431" i="1"/>
  <c r="AF431" i="1"/>
  <c r="AG431" i="1" s="1"/>
  <c r="Y231" i="1"/>
  <c r="AF231" i="1"/>
  <c r="AG231" i="1" s="1"/>
  <c r="Y444" i="1"/>
  <c r="AF444" i="1"/>
  <c r="AG444" i="1" s="1"/>
  <c r="Y316" i="1"/>
  <c r="AF316" i="1"/>
  <c r="AG316" i="1" s="1"/>
  <c r="Y188" i="1"/>
  <c r="AF188" i="1"/>
  <c r="AG188" i="1" s="1"/>
  <c r="Y56" i="1"/>
  <c r="AF56" i="1"/>
  <c r="AG56" i="1" s="1"/>
  <c r="Y403" i="1"/>
  <c r="AF403" i="1"/>
  <c r="AG403" i="1" s="1"/>
  <c r="Y275" i="1"/>
  <c r="AF275" i="1"/>
  <c r="AG275" i="1" s="1"/>
  <c r="Y147" i="1"/>
  <c r="AF147" i="1"/>
  <c r="AG147" i="1" s="1"/>
  <c r="Y488" i="1"/>
  <c r="AF488" i="1"/>
  <c r="AG488" i="1" s="1"/>
  <c r="Y360" i="1"/>
  <c r="AF360" i="1"/>
  <c r="AG360" i="1" s="1"/>
  <c r="Y232" i="1"/>
  <c r="AF232" i="1"/>
  <c r="AG232" i="1" s="1"/>
  <c r="Y104" i="1"/>
  <c r="AF104" i="1"/>
  <c r="AG104" i="1" s="1"/>
  <c r="Y470" i="1"/>
  <c r="AF470" i="1"/>
  <c r="AG470" i="1" s="1"/>
  <c r="Y406" i="1"/>
  <c r="AF406" i="1"/>
  <c r="AG406" i="1" s="1"/>
  <c r="Y342" i="1"/>
  <c r="AF342" i="1"/>
  <c r="AG342" i="1" s="1"/>
  <c r="Y278" i="1"/>
  <c r="AF278" i="1"/>
  <c r="AG278" i="1" s="1"/>
  <c r="Y214" i="1"/>
  <c r="AF214" i="1"/>
  <c r="AG214" i="1" s="1"/>
  <c r="Y150" i="1"/>
  <c r="AF150" i="1"/>
  <c r="AG150" i="1" s="1"/>
  <c r="Y86" i="1"/>
  <c r="AF86" i="1"/>
  <c r="AG86" i="1" s="1"/>
  <c r="Y11" i="1"/>
  <c r="AF11" i="1"/>
  <c r="AG11" i="1" s="1"/>
  <c r="Y477" i="1"/>
  <c r="AF477" i="1"/>
  <c r="AG477" i="1" s="1"/>
  <c r="Y349" i="1"/>
  <c r="AF349" i="1"/>
  <c r="AG349" i="1" s="1"/>
  <c r="Y285" i="1"/>
  <c r="AF285" i="1"/>
  <c r="AG285" i="1" s="1"/>
  <c r="Y221" i="1"/>
  <c r="AF221" i="1"/>
  <c r="AG221" i="1" s="1"/>
  <c r="Y157" i="1"/>
  <c r="AF157" i="1"/>
  <c r="AG157" i="1" s="1"/>
  <c r="Y93" i="1"/>
  <c r="AF93" i="1"/>
  <c r="AG93" i="1" s="1"/>
  <c r="Y25" i="1"/>
  <c r="AF25" i="1"/>
  <c r="AG25" i="1" s="1"/>
  <c r="Y439" i="1"/>
  <c r="AF439" i="1"/>
  <c r="AG439" i="1" s="1"/>
  <c r="Y423" i="1"/>
  <c r="AF423" i="1"/>
  <c r="AG423" i="1" s="1"/>
  <c r="Y332" i="1"/>
  <c r="AF332" i="1"/>
  <c r="AG332" i="1" s="1"/>
  <c r="Y76" i="1"/>
  <c r="AF76" i="1"/>
  <c r="AG76" i="1" s="1"/>
  <c r="Y259" i="1"/>
  <c r="AF259" i="1"/>
  <c r="AG259" i="1" s="1"/>
  <c r="Y472" i="1"/>
  <c r="AF472" i="1"/>
  <c r="AG472" i="1" s="1"/>
  <c r="Y184" i="1"/>
  <c r="AF184" i="1"/>
  <c r="AG184" i="1" s="1"/>
  <c r="Y446" i="1"/>
  <c r="AF446" i="1"/>
  <c r="AG446" i="1" s="1"/>
  <c r="Y318" i="1"/>
  <c r="AF318" i="1"/>
  <c r="AG318" i="1" s="1"/>
  <c r="Y174" i="1"/>
  <c r="AF174" i="1"/>
  <c r="AG174" i="1" s="1"/>
  <c r="Y3" i="1"/>
  <c r="AF3" i="1"/>
  <c r="AG3" i="1" s="1"/>
  <c r="Y469" i="1"/>
  <c r="AF469" i="1"/>
  <c r="AG469" i="1" s="1"/>
  <c r="Y325" i="1"/>
  <c r="AF325" i="1"/>
  <c r="AG325" i="1" s="1"/>
  <c r="Y197" i="1"/>
  <c r="AF197" i="1"/>
  <c r="AG197" i="1" s="1"/>
  <c r="Y68" i="1"/>
  <c r="AF68" i="1"/>
  <c r="AG68" i="1" s="1"/>
  <c r="Y335" i="1"/>
  <c r="AF335" i="1"/>
  <c r="AG335" i="1" s="1"/>
  <c r="Y452" i="1"/>
  <c r="AF452" i="1"/>
  <c r="AG452" i="1" s="1"/>
  <c r="Y196" i="1"/>
  <c r="AF196" i="1"/>
  <c r="AG196" i="1" s="1"/>
  <c r="Y379" i="1"/>
  <c r="AF379" i="1"/>
  <c r="AG379" i="1" s="1"/>
  <c r="Y123" i="1"/>
  <c r="AF123" i="1"/>
  <c r="AG123" i="1" s="1"/>
  <c r="Y336" i="1"/>
  <c r="AF336" i="1"/>
  <c r="AG336" i="1" s="1"/>
  <c r="Y378" i="1"/>
  <c r="AF378" i="1"/>
  <c r="AG378" i="1" s="1"/>
  <c r="Y250" i="1"/>
  <c r="AF250" i="1"/>
  <c r="AG250" i="1" s="1"/>
  <c r="Y122" i="1"/>
  <c r="AF122" i="1"/>
  <c r="AG122" i="1" s="1"/>
  <c r="Y55" i="1"/>
  <c r="AF55" i="1"/>
  <c r="AG55" i="1" s="1"/>
  <c r="Y417" i="1"/>
  <c r="AF417" i="1"/>
  <c r="AG417" i="1" s="1"/>
  <c r="Y289" i="1"/>
  <c r="AF289" i="1"/>
  <c r="AG289" i="1" s="1"/>
  <c r="Y161" i="1"/>
  <c r="AF161" i="1"/>
  <c r="AG161" i="1" s="1"/>
  <c r="Y151" i="1"/>
  <c r="AF151" i="1"/>
  <c r="AG151" i="1" s="1"/>
  <c r="Y319" i="1"/>
  <c r="AF319" i="1"/>
  <c r="AG319" i="1" s="1"/>
  <c r="Y399" i="1"/>
  <c r="AF399" i="1"/>
  <c r="AG399" i="1" s="1"/>
  <c r="Y468" i="1"/>
  <c r="AF468" i="1"/>
  <c r="AG468" i="1" s="1"/>
  <c r="Y340" i="1"/>
  <c r="AF340" i="1"/>
  <c r="AG340" i="1" s="1"/>
  <c r="Y212" i="1"/>
  <c r="AF212" i="1"/>
  <c r="AG212" i="1" s="1"/>
  <c r="Y84" i="1"/>
  <c r="AF84" i="1"/>
  <c r="AG84" i="1" s="1"/>
  <c r="Y427" i="1"/>
  <c r="AF427" i="1"/>
  <c r="AG427" i="1" s="1"/>
  <c r="Y299" i="1"/>
  <c r="AF299" i="1"/>
  <c r="AG299" i="1" s="1"/>
  <c r="Y171" i="1"/>
  <c r="AF171" i="1"/>
  <c r="AG171" i="1" s="1"/>
  <c r="Y29" i="1"/>
  <c r="AF29" i="1"/>
  <c r="AG29" i="1" s="1"/>
  <c r="Y384" i="1"/>
  <c r="AF384" i="1"/>
  <c r="AG384" i="1" s="1"/>
  <c r="Y256" i="1"/>
  <c r="AF256" i="1"/>
  <c r="AG256" i="1" s="1"/>
  <c r="Y128" i="1"/>
  <c r="AF128" i="1"/>
  <c r="AG128" i="1" s="1"/>
  <c r="Y482" i="1"/>
  <c r="AF482" i="1"/>
  <c r="AG482" i="1" s="1"/>
  <c r="Y418" i="1"/>
  <c r="AF418" i="1"/>
  <c r="AG418" i="1" s="1"/>
  <c r="Y354" i="1"/>
  <c r="AF354" i="1"/>
  <c r="AG354" i="1" s="1"/>
  <c r="Y290" i="1"/>
  <c r="AF290" i="1"/>
  <c r="AG290" i="1" s="1"/>
  <c r="Y226" i="1"/>
  <c r="AF226" i="1"/>
  <c r="AG226" i="1" s="1"/>
  <c r="Y162" i="1"/>
  <c r="AF162" i="1"/>
  <c r="AG162" i="1" s="1"/>
  <c r="Y98" i="1"/>
  <c r="AF98" i="1"/>
  <c r="AG98" i="1" s="1"/>
  <c r="Y10" i="1"/>
  <c r="AF10" i="1"/>
  <c r="AG10" i="1" s="1"/>
  <c r="Y63" i="1"/>
  <c r="AF63" i="1"/>
  <c r="AG63" i="1" s="1"/>
  <c r="Y489" i="1"/>
  <c r="AF489" i="1"/>
  <c r="AG489" i="1" s="1"/>
  <c r="Y425" i="1"/>
  <c r="AF425" i="1"/>
  <c r="AG425" i="1" s="1"/>
  <c r="Y361" i="1"/>
  <c r="AF361" i="1"/>
  <c r="AG361" i="1" s="1"/>
  <c r="Y297" i="1"/>
  <c r="AF297" i="1"/>
  <c r="AG297" i="1" s="1"/>
  <c r="Y233" i="1"/>
  <c r="AF233" i="1"/>
  <c r="AG233" i="1" s="1"/>
  <c r="Y153" i="1"/>
  <c r="AF153" i="1"/>
  <c r="AG153" i="1" s="1"/>
  <c r="Y287" i="1"/>
  <c r="AF287" i="1"/>
  <c r="AG287" i="1" s="1"/>
  <c r="Y37" i="1"/>
  <c r="AF37" i="1"/>
  <c r="AG37" i="1" s="1"/>
  <c r="Y300" i="1"/>
  <c r="AF300" i="1"/>
  <c r="AG300" i="1" s="1"/>
  <c r="Y30" i="1"/>
  <c r="AF30" i="1"/>
  <c r="AG30" i="1" s="1"/>
  <c r="Y13" i="1"/>
  <c r="AF13" i="1"/>
  <c r="AG13" i="1" s="1"/>
  <c r="Y248" i="1"/>
  <c r="AF248" i="1"/>
  <c r="AG248" i="1" s="1"/>
  <c r="Y478" i="1"/>
  <c r="AF478" i="1"/>
  <c r="AG478" i="1" s="1"/>
  <c r="Y366" i="1"/>
  <c r="AF366" i="1"/>
  <c r="AG366" i="1" s="1"/>
  <c r="Y238" i="1"/>
  <c r="AF238" i="1"/>
  <c r="AG238" i="1" s="1"/>
  <c r="Y126" i="1"/>
  <c r="AF126" i="1"/>
  <c r="AG126" i="1" s="1"/>
  <c r="Y19" i="1"/>
  <c r="AF19" i="1"/>
  <c r="AG19" i="1" s="1"/>
  <c r="Y485" i="1"/>
  <c r="AF485" i="1"/>
  <c r="AG485" i="1" s="1"/>
  <c r="Y373" i="1"/>
  <c r="AF373" i="1"/>
  <c r="AG373" i="1" s="1"/>
  <c r="Y245" i="1"/>
  <c r="AF245" i="1"/>
  <c r="AG245" i="1" s="1"/>
  <c r="Y199" i="1"/>
  <c r="AF199" i="1"/>
  <c r="AG199" i="1" s="1"/>
  <c r="Y391" i="1"/>
  <c r="AF391" i="1"/>
  <c r="AG391" i="1" s="1"/>
  <c r="Y420" i="1"/>
  <c r="AF420" i="1"/>
  <c r="AG420" i="1" s="1"/>
  <c r="Y164" i="1"/>
  <c r="AF164" i="1"/>
  <c r="AG164" i="1" s="1"/>
  <c r="Y411" i="1"/>
  <c r="AF411" i="1"/>
  <c r="AG411" i="1" s="1"/>
  <c r="Y155" i="1"/>
  <c r="AF155" i="1"/>
  <c r="AG155" i="1" s="1"/>
  <c r="Y368" i="1"/>
  <c r="AF368" i="1"/>
  <c r="AG368" i="1" s="1"/>
  <c r="Y112" i="1"/>
  <c r="AF112" i="1"/>
  <c r="AG112" i="1" s="1"/>
  <c r="Y426" i="1"/>
  <c r="AF426" i="1"/>
  <c r="AG426" i="1" s="1"/>
  <c r="Y298" i="1"/>
  <c r="AF298" i="1"/>
  <c r="AG298" i="1" s="1"/>
  <c r="Y170" i="1"/>
  <c r="AF170" i="1"/>
  <c r="AG170" i="1" s="1"/>
  <c r="Y26" i="1"/>
  <c r="AF26" i="1"/>
  <c r="AG26" i="1" s="1"/>
  <c r="Y32" i="1"/>
  <c r="AF32" i="1"/>
  <c r="AG32" i="1" s="1"/>
  <c r="Y401" i="1"/>
  <c r="AF401" i="1"/>
  <c r="AG401" i="1" s="1"/>
  <c r="Y273" i="1"/>
  <c r="AF273" i="1"/>
  <c r="AG273" i="1" s="1"/>
  <c r="Y145" i="1"/>
  <c r="AF145" i="1"/>
  <c r="AG145" i="1" s="1"/>
  <c r="Y9" i="1"/>
  <c r="AF9" i="1"/>
  <c r="AG9" i="1" s="1"/>
  <c r="AQ7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358059-584D-4BF0-93BD-9B94C93C014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4EB40275-00D7-485D-B5EF-27C3D7FF127E}" name="WorksheetConnection_SAIL_Project_9_Industrial_Spares_Inventory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SAIL_Project_9_Industrial_Spares_Inventory.xlsxTable11"/>
        </x15:connection>
      </ext>
    </extLst>
  </connection>
</connections>
</file>

<file path=xl/sharedStrings.xml><?xml version="1.0" encoding="utf-8"?>
<sst xmlns="http://schemas.openxmlformats.org/spreadsheetml/2006/main" count="3082" uniqueCount="633">
  <si>
    <t>Material_ID</t>
  </si>
  <si>
    <t>Material_Description</t>
  </si>
  <si>
    <t>Category</t>
  </si>
  <si>
    <t>Department</t>
  </si>
  <si>
    <t>Criticality</t>
  </si>
  <si>
    <t>Opening_Stock</t>
  </si>
  <si>
    <t>Receipts</t>
  </si>
  <si>
    <t>Consumption</t>
  </si>
  <si>
    <t>Closing_Stock</t>
  </si>
  <si>
    <t>Unit_Cost_INR</t>
  </si>
  <si>
    <t>Lead_Time_Days</t>
  </si>
  <si>
    <t>Stockout_Events</t>
  </si>
  <si>
    <t>Days_Since_Last_Movement</t>
  </si>
  <si>
    <t>Supplier</t>
  </si>
  <si>
    <t>Annual_Carrying_Cost_Rate</t>
  </si>
  <si>
    <t>Inventory_Value_INR</t>
  </si>
  <si>
    <t>Annual_Consumption_Value_INR</t>
  </si>
  <si>
    <t>Estimated_Annual_Carrying_Cost_INR</t>
  </si>
  <si>
    <t>SP-0001</t>
  </si>
  <si>
    <t>Fuse</t>
  </si>
  <si>
    <t>Electrical</t>
  </si>
  <si>
    <t>Maintenance</t>
  </si>
  <si>
    <t>Medium</t>
  </si>
  <si>
    <t>Supplier E</t>
  </si>
  <si>
    <t>SP-0002</t>
  </si>
  <si>
    <t>Fastener</t>
  </si>
  <si>
    <t>Consumable</t>
  </si>
  <si>
    <t>Rolling Mill</t>
  </si>
  <si>
    <t>Low</t>
  </si>
  <si>
    <t>Supplier D</t>
  </si>
  <si>
    <t>SP-0003</t>
  </si>
  <si>
    <t>Cylinder</t>
  </si>
  <si>
    <t>Hydraulic</t>
  </si>
  <si>
    <t>Supplier F</t>
  </si>
  <si>
    <t>SP-0004</t>
  </si>
  <si>
    <t>Temperature Sensor</t>
  </si>
  <si>
    <t>Instrumentation</t>
  </si>
  <si>
    <t>Critical</t>
  </si>
  <si>
    <t>Supplier G</t>
  </si>
  <si>
    <t>SP-0005</t>
  </si>
  <si>
    <t>Belt</t>
  </si>
  <si>
    <t>Mechanical</t>
  </si>
  <si>
    <t>Utilities</t>
  </si>
  <si>
    <t>SP-0006</t>
  </si>
  <si>
    <t>Gear</t>
  </si>
  <si>
    <t>Steel Melting Shop</t>
  </si>
  <si>
    <t>High</t>
  </si>
  <si>
    <t>SP-0007</t>
  </si>
  <si>
    <t>Coupling</t>
  </si>
  <si>
    <t>Supplier B</t>
  </si>
  <si>
    <t>SP-0008</t>
  </si>
  <si>
    <t>Air Filter</t>
  </si>
  <si>
    <t>Pneumatic</t>
  </si>
  <si>
    <t>SP-0009</t>
  </si>
  <si>
    <t>Controller</t>
  </si>
  <si>
    <t>SP-0010</t>
  </si>
  <si>
    <t>Hydraulic Pump</t>
  </si>
  <si>
    <t>SP-0011</t>
  </si>
  <si>
    <t>Supplier C</t>
  </si>
  <si>
    <t>SP-0012</t>
  </si>
  <si>
    <t>Blast Furnace</t>
  </si>
  <si>
    <t>Supplier A</t>
  </si>
  <si>
    <t>SP-0013</t>
  </si>
  <si>
    <t>Fitting</t>
  </si>
  <si>
    <t>SP-0014</t>
  </si>
  <si>
    <t>SP-0015</t>
  </si>
  <si>
    <t>Sinter Plant</t>
  </si>
  <si>
    <t>SP-0016</t>
  </si>
  <si>
    <t>SP-0017</t>
  </si>
  <si>
    <t>SP-0018</t>
  </si>
  <si>
    <t>SP-0019</t>
  </si>
  <si>
    <t>Switch</t>
  </si>
  <si>
    <t>SP-0020</t>
  </si>
  <si>
    <t>Bearing</t>
  </si>
  <si>
    <t>SP-0021</t>
  </si>
  <si>
    <t>Transmitter</t>
  </si>
  <si>
    <t>SP-0022</t>
  </si>
  <si>
    <t>SP-0023</t>
  </si>
  <si>
    <t>SP-0024</t>
  </si>
  <si>
    <t>SP-0025</t>
  </si>
  <si>
    <t>Contactor</t>
  </si>
  <si>
    <t>Supplier H</t>
  </si>
  <si>
    <t>SP-0026</t>
  </si>
  <si>
    <t>Filter</t>
  </si>
  <si>
    <t>SP-0027</t>
  </si>
  <si>
    <t>Roller</t>
  </si>
  <si>
    <t>SP-0028</t>
  </si>
  <si>
    <t>SP-0029</t>
  </si>
  <si>
    <t>SP-0030</t>
  </si>
  <si>
    <t>SP-0031</t>
  </si>
  <si>
    <t>SP-0032</t>
  </si>
  <si>
    <t>SP-0033</t>
  </si>
  <si>
    <t>SP-0034</t>
  </si>
  <si>
    <t>Lubricant</t>
  </si>
  <si>
    <t>SP-0035</t>
  </si>
  <si>
    <t>Gasket</t>
  </si>
  <si>
    <t>SP-0036</t>
  </si>
  <si>
    <t>Pneumatic Valve</t>
  </si>
  <si>
    <t>SP-0037</t>
  </si>
  <si>
    <t>Relay</t>
  </si>
  <si>
    <t>SP-0038</t>
  </si>
  <si>
    <t>SP-0039</t>
  </si>
  <si>
    <t>SP-0040</t>
  </si>
  <si>
    <t>SP-0041</t>
  </si>
  <si>
    <t>Seal</t>
  </si>
  <si>
    <t>SP-0042</t>
  </si>
  <si>
    <t>SP-0043</t>
  </si>
  <si>
    <t>SP-0044</t>
  </si>
  <si>
    <t>SP-0045</t>
  </si>
  <si>
    <t>SP-0046</t>
  </si>
  <si>
    <t>SP-0047</t>
  </si>
  <si>
    <t>SP-0048</t>
  </si>
  <si>
    <t>SP-0049</t>
  </si>
  <si>
    <t>Flow Meter</t>
  </si>
  <si>
    <t>SP-0050</t>
  </si>
  <si>
    <t>SP-0051</t>
  </si>
  <si>
    <t>SP-0052</t>
  </si>
  <si>
    <t>SP-0053</t>
  </si>
  <si>
    <t>SP-0054</t>
  </si>
  <si>
    <t>SP-0055</t>
  </si>
  <si>
    <t>SP-0056</t>
  </si>
  <si>
    <t>SP-0057</t>
  </si>
  <si>
    <t>SP-0058</t>
  </si>
  <si>
    <t>SP-0059</t>
  </si>
  <si>
    <t>SP-0060</t>
  </si>
  <si>
    <t>SP-0061</t>
  </si>
  <si>
    <t>Cable</t>
  </si>
  <si>
    <t>SP-0062</t>
  </si>
  <si>
    <t>SP-0063</t>
  </si>
  <si>
    <t>Actuator</t>
  </si>
  <si>
    <t>SP-0064</t>
  </si>
  <si>
    <t>SP-0065</t>
  </si>
  <si>
    <t>SP-0066</t>
  </si>
  <si>
    <t>SP-0067</t>
  </si>
  <si>
    <t>SP-0068</t>
  </si>
  <si>
    <t>SP-0069</t>
  </si>
  <si>
    <t>SP-0070</t>
  </si>
  <si>
    <t>Grinding Wheel</t>
  </si>
  <si>
    <t>SP-0071</t>
  </si>
  <si>
    <t>SP-0072</t>
  </si>
  <si>
    <t>SP-0073</t>
  </si>
  <si>
    <t>SP-0074</t>
  </si>
  <si>
    <t>SP-0075</t>
  </si>
  <si>
    <t>SP-0076</t>
  </si>
  <si>
    <t>SP-0077</t>
  </si>
  <si>
    <t>SP-0078</t>
  </si>
  <si>
    <t>SP-0079</t>
  </si>
  <si>
    <t>SP-0080</t>
  </si>
  <si>
    <t>SP-0081</t>
  </si>
  <si>
    <t>SP-0082</t>
  </si>
  <si>
    <t>Pressure Sensor</t>
  </si>
  <si>
    <t>SP-0083</t>
  </si>
  <si>
    <t>Motor</t>
  </si>
  <si>
    <t>SP-0084</t>
  </si>
  <si>
    <t>SP-0085</t>
  </si>
  <si>
    <t>SP-0086</t>
  </si>
  <si>
    <t>SP-0087</t>
  </si>
  <si>
    <t>SP-0088</t>
  </si>
  <si>
    <t>SP-0089</t>
  </si>
  <si>
    <t>SP-0090</t>
  </si>
  <si>
    <t>SP-0091</t>
  </si>
  <si>
    <t>SP-0092</t>
  </si>
  <si>
    <t>SP-0093</t>
  </si>
  <si>
    <t>SP-0094</t>
  </si>
  <si>
    <t>SP-0095</t>
  </si>
  <si>
    <t>Valve</t>
  </si>
  <si>
    <t>SP-0096</t>
  </si>
  <si>
    <t>SP-0097</t>
  </si>
  <si>
    <t>SP-0098</t>
  </si>
  <si>
    <t>SP-0099</t>
  </si>
  <si>
    <t>SP-0100</t>
  </si>
  <si>
    <t>SP-0101</t>
  </si>
  <si>
    <t>SP-0102</t>
  </si>
  <si>
    <t>SP-0103</t>
  </si>
  <si>
    <t>SP-0104</t>
  </si>
  <si>
    <t>SP-0105</t>
  </si>
  <si>
    <t>SP-0106</t>
  </si>
  <si>
    <t>SP-0107</t>
  </si>
  <si>
    <t>SP-0108</t>
  </si>
  <si>
    <t>SP-0109</t>
  </si>
  <si>
    <t>SP-0110</t>
  </si>
  <si>
    <t>SP-0111</t>
  </si>
  <si>
    <t>SP-0112</t>
  </si>
  <si>
    <t>SP-0113</t>
  </si>
  <si>
    <t>Electrode</t>
  </si>
  <si>
    <t>SP-0114</t>
  </si>
  <si>
    <t>SP-0115</t>
  </si>
  <si>
    <t>SP-0116</t>
  </si>
  <si>
    <t>SP-0117</t>
  </si>
  <si>
    <t>SP-0118</t>
  </si>
  <si>
    <t>SP-0119</t>
  </si>
  <si>
    <t>SP-0120</t>
  </si>
  <si>
    <t>SP-0121</t>
  </si>
  <si>
    <t>SP-0122</t>
  </si>
  <si>
    <t>SP-0123</t>
  </si>
  <si>
    <t>SP-0124</t>
  </si>
  <si>
    <t>SP-0125</t>
  </si>
  <si>
    <t>SP-0126</t>
  </si>
  <si>
    <t>SP-0127</t>
  </si>
  <si>
    <t>SP-0128</t>
  </si>
  <si>
    <t>SP-0129</t>
  </si>
  <si>
    <t>SP-0130</t>
  </si>
  <si>
    <t>SP-0131</t>
  </si>
  <si>
    <t>SP-0132</t>
  </si>
  <si>
    <t>SP-0133</t>
  </si>
  <si>
    <t>SP-0134</t>
  </si>
  <si>
    <t>SP-0135</t>
  </si>
  <si>
    <t>SP-0136</t>
  </si>
  <si>
    <t>SP-0137</t>
  </si>
  <si>
    <t>SP-0138</t>
  </si>
  <si>
    <t>Hose</t>
  </si>
  <si>
    <t>SP-0139</t>
  </si>
  <si>
    <t>SP-0140</t>
  </si>
  <si>
    <t>SP-0141</t>
  </si>
  <si>
    <t>SP-0142</t>
  </si>
  <si>
    <t>SP-0143</t>
  </si>
  <si>
    <t>SP-0144</t>
  </si>
  <si>
    <t>SP-0145</t>
  </si>
  <si>
    <t>SP-0146</t>
  </si>
  <si>
    <t>SP-0147</t>
  </si>
  <si>
    <t>SP-0148</t>
  </si>
  <si>
    <t>SP-0149</t>
  </si>
  <si>
    <t>SP-0150</t>
  </si>
  <si>
    <t>SP-0151</t>
  </si>
  <si>
    <t>SP-0152</t>
  </si>
  <si>
    <t>SP-0153</t>
  </si>
  <si>
    <t>SP-0154</t>
  </si>
  <si>
    <t>SP-0155</t>
  </si>
  <si>
    <t>SP-0156</t>
  </si>
  <si>
    <t>SP-0157</t>
  </si>
  <si>
    <t>SP-0158</t>
  </si>
  <si>
    <t>SP-0159</t>
  </si>
  <si>
    <t>SP-0160</t>
  </si>
  <si>
    <t>SP-0161</t>
  </si>
  <si>
    <t>SP-0162</t>
  </si>
  <si>
    <t>SP-0163</t>
  </si>
  <si>
    <t>SP-0164</t>
  </si>
  <si>
    <t>SP-0165</t>
  </si>
  <si>
    <t>SP-0166</t>
  </si>
  <si>
    <t>SP-0167</t>
  </si>
  <si>
    <t>SP-0168</t>
  </si>
  <si>
    <t>SP-0169</t>
  </si>
  <si>
    <t>SP-0170</t>
  </si>
  <si>
    <t>SP-0171</t>
  </si>
  <si>
    <t>SP-0172</t>
  </si>
  <si>
    <t>SP-0173</t>
  </si>
  <si>
    <t>SP-0174</t>
  </si>
  <si>
    <t>SP-0175</t>
  </si>
  <si>
    <t>SP-0176</t>
  </si>
  <si>
    <t>SP-0177</t>
  </si>
  <si>
    <t>SP-0178</t>
  </si>
  <si>
    <t>SP-0179</t>
  </si>
  <si>
    <t>SP-0180</t>
  </si>
  <si>
    <t>SP-0181</t>
  </si>
  <si>
    <t>SP-0182</t>
  </si>
  <si>
    <t>SP-0183</t>
  </si>
  <si>
    <t>SP-0184</t>
  </si>
  <si>
    <t>SP-0185</t>
  </si>
  <si>
    <t>SP-0186</t>
  </si>
  <si>
    <t>SP-0187</t>
  </si>
  <si>
    <t>SP-0188</t>
  </si>
  <si>
    <t>SP-0189</t>
  </si>
  <si>
    <t>SP-0190</t>
  </si>
  <si>
    <t>SP-0191</t>
  </si>
  <si>
    <t>SP-0192</t>
  </si>
  <si>
    <t>SP-0193</t>
  </si>
  <si>
    <t>SP-0194</t>
  </si>
  <si>
    <t>SP-0195</t>
  </si>
  <si>
    <t>SP-0196</t>
  </si>
  <si>
    <t>SP-0197</t>
  </si>
  <si>
    <t>SP-0198</t>
  </si>
  <si>
    <t>SP-0199</t>
  </si>
  <si>
    <t>SP-0200</t>
  </si>
  <si>
    <t>SP-0201</t>
  </si>
  <si>
    <t>SP-0202</t>
  </si>
  <si>
    <t>SP-0203</t>
  </si>
  <si>
    <t>SP-0204</t>
  </si>
  <si>
    <t>SP-0205</t>
  </si>
  <si>
    <t>SP-0206</t>
  </si>
  <si>
    <t>SP-0207</t>
  </si>
  <si>
    <t>SP-0208</t>
  </si>
  <si>
    <t>SP-0209</t>
  </si>
  <si>
    <t>SP-0210</t>
  </si>
  <si>
    <t>SP-0211</t>
  </si>
  <si>
    <t>SP-0212</t>
  </si>
  <si>
    <t>SP-0213</t>
  </si>
  <si>
    <t>SP-0214</t>
  </si>
  <si>
    <t>SP-0215</t>
  </si>
  <si>
    <t>SP-0216</t>
  </si>
  <si>
    <t>SP-0217</t>
  </si>
  <si>
    <t>SP-0218</t>
  </si>
  <si>
    <t>SP-0219</t>
  </si>
  <si>
    <t>SP-0220</t>
  </si>
  <si>
    <t>SP-0221</t>
  </si>
  <si>
    <t>SP-0222</t>
  </si>
  <si>
    <t>SP-0223</t>
  </si>
  <si>
    <t>SP-0224</t>
  </si>
  <si>
    <t>SP-0225</t>
  </si>
  <si>
    <t>SP-0226</t>
  </si>
  <si>
    <t>SP-0227</t>
  </si>
  <si>
    <t>SP-0228</t>
  </si>
  <si>
    <t>SP-0229</t>
  </si>
  <si>
    <t>SP-0230</t>
  </si>
  <si>
    <t>SP-0231</t>
  </si>
  <si>
    <t>SP-0232</t>
  </si>
  <si>
    <t>SP-0233</t>
  </si>
  <si>
    <t>SP-0234</t>
  </si>
  <si>
    <t>SP-0235</t>
  </si>
  <si>
    <t>SP-0236</t>
  </si>
  <si>
    <t>SP-0237</t>
  </si>
  <si>
    <t>SP-0238</t>
  </si>
  <si>
    <t>SP-0239</t>
  </si>
  <si>
    <t>SP-0240</t>
  </si>
  <si>
    <t>SP-0241</t>
  </si>
  <si>
    <t>SP-0242</t>
  </si>
  <si>
    <t>SP-0243</t>
  </si>
  <si>
    <t>SP-0244</t>
  </si>
  <si>
    <t>SP-0245</t>
  </si>
  <si>
    <t>SP-0246</t>
  </si>
  <si>
    <t>SP-0247</t>
  </si>
  <si>
    <t>SP-0248</t>
  </si>
  <si>
    <t>SP-0249</t>
  </si>
  <si>
    <t>SP-0250</t>
  </si>
  <si>
    <t>SP-0251</t>
  </si>
  <si>
    <t>SP-0252</t>
  </si>
  <si>
    <t>SP-0253</t>
  </si>
  <si>
    <t>SP-0254</t>
  </si>
  <si>
    <t>SP-0255</t>
  </si>
  <si>
    <t>SP-0256</t>
  </si>
  <si>
    <t>SP-0257</t>
  </si>
  <si>
    <t>SP-0258</t>
  </si>
  <si>
    <t>SP-0259</t>
  </si>
  <si>
    <t>SP-0260</t>
  </si>
  <si>
    <t>SP-0261</t>
  </si>
  <si>
    <t>SP-0262</t>
  </si>
  <si>
    <t>SP-0263</t>
  </si>
  <si>
    <t>SP-0264</t>
  </si>
  <si>
    <t>SP-0265</t>
  </si>
  <si>
    <t>SP-0266</t>
  </si>
  <si>
    <t>SP-0267</t>
  </si>
  <si>
    <t>SP-0268</t>
  </si>
  <si>
    <t>SP-0269</t>
  </si>
  <si>
    <t>SP-0270</t>
  </si>
  <si>
    <t>SP-0271</t>
  </si>
  <si>
    <t>SP-0272</t>
  </si>
  <si>
    <t>SP-0273</t>
  </si>
  <si>
    <t>SP-0274</t>
  </si>
  <si>
    <t>SP-0275</t>
  </si>
  <si>
    <t>SP-0276</t>
  </si>
  <si>
    <t>SP-0277</t>
  </si>
  <si>
    <t>SP-0278</t>
  </si>
  <si>
    <t>SP-0279</t>
  </si>
  <si>
    <t>SP-0280</t>
  </si>
  <si>
    <t>SP-0281</t>
  </si>
  <si>
    <t>SP-0282</t>
  </si>
  <si>
    <t>SP-0283</t>
  </si>
  <si>
    <t>SP-0284</t>
  </si>
  <si>
    <t>SP-0285</t>
  </si>
  <si>
    <t>SP-0286</t>
  </si>
  <si>
    <t>SP-0287</t>
  </si>
  <si>
    <t>SP-0288</t>
  </si>
  <si>
    <t>SP-0289</t>
  </si>
  <si>
    <t>SP-0290</t>
  </si>
  <si>
    <t>SP-0291</t>
  </si>
  <si>
    <t>SP-0292</t>
  </si>
  <si>
    <t>SP-0293</t>
  </si>
  <si>
    <t>SP-0294</t>
  </si>
  <si>
    <t>SP-0295</t>
  </si>
  <si>
    <t>SP-0296</t>
  </si>
  <si>
    <t>SP-0297</t>
  </si>
  <si>
    <t>SP-0298</t>
  </si>
  <si>
    <t>SP-0299</t>
  </si>
  <si>
    <t>SP-0300</t>
  </si>
  <si>
    <t>SP-0301</t>
  </si>
  <si>
    <t>SP-0302</t>
  </si>
  <si>
    <t>SP-0303</t>
  </si>
  <si>
    <t>SP-0304</t>
  </si>
  <si>
    <t>SP-0305</t>
  </si>
  <si>
    <t>SP-0306</t>
  </si>
  <si>
    <t>SP-0307</t>
  </si>
  <si>
    <t>SP-0308</t>
  </si>
  <si>
    <t>SP-0309</t>
  </si>
  <si>
    <t>SP-0310</t>
  </si>
  <si>
    <t>SP-0311</t>
  </si>
  <si>
    <t>SP-0312</t>
  </si>
  <si>
    <t>SP-0313</t>
  </si>
  <si>
    <t>SP-0314</t>
  </si>
  <si>
    <t>SP-0315</t>
  </si>
  <si>
    <t>SP-0316</t>
  </si>
  <si>
    <t>SP-0317</t>
  </si>
  <si>
    <t>SP-0318</t>
  </si>
  <si>
    <t>SP-0319</t>
  </si>
  <si>
    <t>SP-0320</t>
  </si>
  <si>
    <t>SP-0321</t>
  </si>
  <si>
    <t>SP-0322</t>
  </si>
  <si>
    <t>SP-0323</t>
  </si>
  <si>
    <t>SP-0324</t>
  </si>
  <si>
    <t>SP-0325</t>
  </si>
  <si>
    <t>SP-0326</t>
  </si>
  <si>
    <t>SP-0327</t>
  </si>
  <si>
    <t>SP-0328</t>
  </si>
  <si>
    <t>SP-0329</t>
  </si>
  <si>
    <t>SP-0330</t>
  </si>
  <si>
    <t>SP-0331</t>
  </si>
  <si>
    <t>SP-0332</t>
  </si>
  <si>
    <t>SP-0333</t>
  </si>
  <si>
    <t>SP-0334</t>
  </si>
  <si>
    <t>SP-0335</t>
  </si>
  <si>
    <t>SP-0336</t>
  </si>
  <si>
    <t>SP-0337</t>
  </si>
  <si>
    <t>SP-0338</t>
  </si>
  <si>
    <t>SP-0339</t>
  </si>
  <si>
    <t>SP-0340</t>
  </si>
  <si>
    <t>SP-0341</t>
  </si>
  <si>
    <t>SP-0342</t>
  </si>
  <si>
    <t>SP-0343</t>
  </si>
  <si>
    <t>SP-0344</t>
  </si>
  <si>
    <t>SP-0345</t>
  </si>
  <si>
    <t>SP-0346</t>
  </si>
  <si>
    <t>SP-0347</t>
  </si>
  <si>
    <t>SP-0348</t>
  </si>
  <si>
    <t>SP-0349</t>
  </si>
  <si>
    <t>SP-0350</t>
  </si>
  <si>
    <t>SP-0351</t>
  </si>
  <si>
    <t>SP-0352</t>
  </si>
  <si>
    <t>SP-0353</t>
  </si>
  <si>
    <t>SP-0354</t>
  </si>
  <si>
    <t>SP-0355</t>
  </si>
  <si>
    <t>SP-0356</t>
  </si>
  <si>
    <t>SP-0357</t>
  </si>
  <si>
    <t>SP-0358</t>
  </si>
  <si>
    <t>SP-0359</t>
  </si>
  <si>
    <t>SP-0360</t>
  </si>
  <si>
    <t>SP-0361</t>
  </si>
  <si>
    <t>SP-0362</t>
  </si>
  <si>
    <t>SP-0363</t>
  </si>
  <si>
    <t>SP-0364</t>
  </si>
  <si>
    <t>SP-0365</t>
  </si>
  <si>
    <t>SP-0366</t>
  </si>
  <si>
    <t>SP-0367</t>
  </si>
  <si>
    <t>SP-0368</t>
  </si>
  <si>
    <t>SP-0369</t>
  </si>
  <si>
    <t>SP-0370</t>
  </si>
  <si>
    <t>SP-0371</t>
  </si>
  <si>
    <t>SP-0372</t>
  </si>
  <si>
    <t>SP-0373</t>
  </si>
  <si>
    <t>SP-0374</t>
  </si>
  <si>
    <t>SP-0375</t>
  </si>
  <si>
    <t>SP-0376</t>
  </si>
  <si>
    <t>SP-0377</t>
  </si>
  <si>
    <t>SP-0378</t>
  </si>
  <si>
    <t>SP-0379</t>
  </si>
  <si>
    <t>SP-0380</t>
  </si>
  <si>
    <t>SP-0381</t>
  </si>
  <si>
    <t>SP-0382</t>
  </si>
  <si>
    <t>SP-0383</t>
  </si>
  <si>
    <t>SP-0384</t>
  </si>
  <si>
    <t>SP-0385</t>
  </si>
  <si>
    <t>SP-0386</t>
  </si>
  <si>
    <t>SP-0387</t>
  </si>
  <si>
    <t>SP-0388</t>
  </si>
  <si>
    <t>SP-0389</t>
  </si>
  <si>
    <t>SP-0390</t>
  </si>
  <si>
    <t>SP-0391</t>
  </si>
  <si>
    <t>SP-0392</t>
  </si>
  <si>
    <t>SP-0393</t>
  </si>
  <si>
    <t>SP-0394</t>
  </si>
  <si>
    <t>SP-0395</t>
  </si>
  <si>
    <t>SP-0396</t>
  </si>
  <si>
    <t>SP-0397</t>
  </si>
  <si>
    <t>SP-0398</t>
  </si>
  <si>
    <t>SP-0399</t>
  </si>
  <si>
    <t>SP-0400</t>
  </si>
  <si>
    <t>SP-0401</t>
  </si>
  <si>
    <t>SP-0402</t>
  </si>
  <si>
    <t>SP-0403</t>
  </si>
  <si>
    <t>SP-0404</t>
  </si>
  <si>
    <t>SP-0405</t>
  </si>
  <si>
    <t>SP-0406</t>
  </si>
  <si>
    <t>SP-0407</t>
  </si>
  <si>
    <t>SP-0408</t>
  </si>
  <si>
    <t>SP-0409</t>
  </si>
  <si>
    <t>SP-0410</t>
  </si>
  <si>
    <t>SP-0411</t>
  </si>
  <si>
    <t>SP-0412</t>
  </si>
  <si>
    <t>SP-0413</t>
  </si>
  <si>
    <t>SP-0414</t>
  </si>
  <si>
    <t>SP-0415</t>
  </si>
  <si>
    <t>SP-0416</t>
  </si>
  <si>
    <t>SP-0417</t>
  </si>
  <si>
    <t>SP-0418</t>
  </si>
  <si>
    <t>SP-0419</t>
  </si>
  <si>
    <t>SP-0420</t>
  </si>
  <si>
    <t>SP-0421</t>
  </si>
  <si>
    <t>SP-0422</t>
  </si>
  <si>
    <t>SP-0423</t>
  </si>
  <si>
    <t>SP-0424</t>
  </si>
  <si>
    <t>SP-0425</t>
  </si>
  <si>
    <t>SP-0426</t>
  </si>
  <si>
    <t>SP-0427</t>
  </si>
  <si>
    <t>SP-0428</t>
  </si>
  <si>
    <t>SP-0429</t>
  </si>
  <si>
    <t>SP-0430</t>
  </si>
  <si>
    <t>SP-0431</t>
  </si>
  <si>
    <t>SP-0432</t>
  </si>
  <si>
    <t>SP-0433</t>
  </si>
  <si>
    <t>SP-0434</t>
  </si>
  <si>
    <t>SP-0435</t>
  </si>
  <si>
    <t>SP-0436</t>
  </si>
  <si>
    <t>SP-0437</t>
  </si>
  <si>
    <t>SP-0438</t>
  </si>
  <si>
    <t>SP-0439</t>
  </si>
  <si>
    <t>SP-0440</t>
  </si>
  <si>
    <t>SP-0441</t>
  </si>
  <si>
    <t>SP-0442</t>
  </si>
  <si>
    <t>SP-0443</t>
  </si>
  <si>
    <t>SP-0444</t>
  </si>
  <si>
    <t>SP-0445</t>
  </si>
  <si>
    <t>SP-0446</t>
  </si>
  <si>
    <t>SP-0447</t>
  </si>
  <si>
    <t>SP-0448</t>
  </si>
  <si>
    <t>SP-0449</t>
  </si>
  <si>
    <t>SP-0450</t>
  </si>
  <si>
    <t>SP-0451</t>
  </si>
  <si>
    <t>SP-0452</t>
  </si>
  <si>
    <t>SP-0453</t>
  </si>
  <si>
    <t>SP-0454</t>
  </si>
  <si>
    <t>SP-0455</t>
  </si>
  <si>
    <t>SP-0456</t>
  </si>
  <si>
    <t>SP-0457</t>
  </si>
  <si>
    <t>SP-0458</t>
  </si>
  <si>
    <t>SP-0459</t>
  </si>
  <si>
    <t>SP-0460</t>
  </si>
  <si>
    <t>SP-0461</t>
  </si>
  <si>
    <t>SP-0462</t>
  </si>
  <si>
    <t>SP-0463</t>
  </si>
  <si>
    <t>SP-0464</t>
  </si>
  <si>
    <t>SP-0465</t>
  </si>
  <si>
    <t>SP-0466</t>
  </si>
  <si>
    <t>SP-0467</t>
  </si>
  <si>
    <t>SP-0468</t>
  </si>
  <si>
    <t>SP-0469</t>
  </si>
  <si>
    <t>SP-0470</t>
  </si>
  <si>
    <t>SP-0471</t>
  </si>
  <si>
    <t>SP-0472</t>
  </si>
  <si>
    <t>SP-0473</t>
  </si>
  <si>
    <t>SP-0474</t>
  </si>
  <si>
    <t>SP-0475</t>
  </si>
  <si>
    <t>SP-0476</t>
  </si>
  <si>
    <t>SP-0477</t>
  </si>
  <si>
    <t>SP-0478</t>
  </si>
  <si>
    <t>SP-0479</t>
  </si>
  <si>
    <t>SP-0480</t>
  </si>
  <si>
    <t>SP-0481</t>
  </si>
  <si>
    <t>SP-0482</t>
  </si>
  <si>
    <t>SP-0483</t>
  </si>
  <si>
    <t>SP-0484</t>
  </si>
  <si>
    <t>SP-0485</t>
  </si>
  <si>
    <t>SP-0486</t>
  </si>
  <si>
    <t>SP-0487</t>
  </si>
  <si>
    <t>SP-0488</t>
  </si>
  <si>
    <t>SP-0489</t>
  </si>
  <si>
    <t>SP-0490</t>
  </si>
  <si>
    <t>SP-0491</t>
  </si>
  <si>
    <t>SP-0492</t>
  </si>
  <si>
    <t>SP-0493</t>
  </si>
  <si>
    <t>SP-0494</t>
  </si>
  <si>
    <t>SP-0495</t>
  </si>
  <si>
    <t>SP-0496</t>
  </si>
  <si>
    <t>SP-0497</t>
  </si>
  <si>
    <t>SP-0498</t>
  </si>
  <si>
    <t>SP-0499</t>
  </si>
  <si>
    <t>SP-0500</t>
  </si>
  <si>
    <t>Metric</t>
  </si>
  <si>
    <t>Definition</t>
  </si>
  <si>
    <t>Dataset type</t>
  </si>
  <si>
    <t>Synthetic industrial inventory dataset</t>
  </si>
  <si>
    <t>Purpose</t>
  </si>
  <si>
    <t>Portfolio project aligned to SAIL DSP Project 9</t>
  </si>
  <si>
    <t>Number of spare parts</t>
  </si>
  <si>
    <t>500</t>
  </si>
  <si>
    <t>Currency</t>
  </si>
  <si>
    <t>INR</t>
  </si>
  <si>
    <t>Slow-moving rule</t>
  </si>
  <si>
    <t>Days since last movement &gt; 90 and Consumption &gt; 0</t>
  </si>
  <si>
    <t>Non-moving rule</t>
  </si>
  <si>
    <t>Days since last movement &gt; 365 OR Consumption = 0</t>
  </si>
  <si>
    <t>Excess inventory rule</t>
  </si>
  <si>
    <t>Closing stock materially above expected consumption/safety stock</t>
  </si>
  <si>
    <t>Important note</t>
  </si>
  <si>
    <t>Not SAIL confidential/real plant data; created for analytical modelling</t>
  </si>
  <si>
    <t>Inventory_Turnover</t>
  </si>
  <si>
    <t>Days_of_Inventory</t>
  </si>
  <si>
    <t>Movement_Class</t>
  </si>
  <si>
    <t>Total Inventory Value</t>
  </si>
  <si>
    <t>Cumulative_Inventory_Value</t>
  </si>
  <si>
    <t>Cumulative_Value_%</t>
  </si>
  <si>
    <t>ABC_Class</t>
  </si>
  <si>
    <t>Row Labels</t>
  </si>
  <si>
    <t>A</t>
  </si>
  <si>
    <t>B</t>
  </si>
  <si>
    <t>C</t>
  </si>
  <si>
    <t>Grand Total</t>
  </si>
  <si>
    <t>Column Labels</t>
  </si>
  <si>
    <t>Active</t>
  </si>
  <si>
    <t>Non Moving</t>
  </si>
  <si>
    <t>Slow-Moving</t>
  </si>
  <si>
    <t>Sum of Inventory_Value_INR</t>
  </si>
  <si>
    <t>Priority</t>
  </si>
  <si>
    <t>Avg_Daily_Consumption</t>
  </si>
  <si>
    <t>Reorder_Point</t>
  </si>
  <si>
    <t>Stock_Cover_Days</t>
  </si>
  <si>
    <t>Stock_Risk</t>
  </si>
  <si>
    <t>Safety_Stock</t>
  </si>
  <si>
    <t>Risk_Priority</t>
  </si>
  <si>
    <t>Action_Recommendation</t>
  </si>
  <si>
    <t>Non-moving Inventory</t>
  </si>
  <si>
    <t>Slow-Moving Inventory</t>
  </si>
  <si>
    <t>Stock-out Risk Value</t>
  </si>
  <si>
    <t>Critical Stock-out Risk Value</t>
  </si>
  <si>
    <t>Maintain / Monitor</t>
  </si>
  <si>
    <t>Review</t>
  </si>
  <si>
    <t>Review for Disposal/De-procurement</t>
  </si>
  <si>
    <t>Review Safety Stock</t>
  </si>
  <si>
    <t>Potential_Release_INR</t>
  </si>
  <si>
    <t>Potential working-capital release</t>
  </si>
  <si>
    <t>Percentage Of Potential Release</t>
  </si>
  <si>
    <t>Excess_Stock_Units</t>
  </si>
  <si>
    <t>Excess_Inventory_Value_INR</t>
  </si>
  <si>
    <t>Reviewable_Excess_Value_INR</t>
  </si>
  <si>
    <t>Reviewable Excess Inventory</t>
  </si>
  <si>
    <t>Actionable_Excess_Value_INR</t>
  </si>
  <si>
    <t>Actionable Excess Inventory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</si>
</sst>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0" borderId="0" xfId="0" pivotButton="1" applyAlignment="1">
      <alignment wrapText="1"/>
    </xf>
    <xf numFmtId="10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2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wrapText="1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wrapText="1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alcChain" Target="calcChain.xml"/><Relationship Id="rId5" Type="http://schemas.openxmlformats.org/officeDocument/2006/relationships/theme" Target="theme/theme1.xml"/><Relationship Id="rId10" Type="http://schemas.microsoft.com/office/2017/10/relationships/person" Target="persons/person.xml"/><Relationship Id="rId4" Type="http://schemas.openxmlformats.org/officeDocument/2006/relationships/pivotCacheDefinition" Target="pivotCache/pivotCacheDefinition2.xml"/><Relationship Id="rId9" Type="http://schemas.openxmlformats.org/officeDocument/2006/relationships/powerPivotData" Target="model/item.data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yushman Sinha" refreshedDate="46277.729245601855" createdVersion="8" refreshedVersion="8" minRefreshableVersion="3" recordCount="500" xr:uid="{102B5DB7-36CC-4FC0-961B-DCD50A6C0E68}">
  <cacheSource type="worksheet">
    <worksheetSource name="Table1"/>
  </cacheSource>
  <cacheFields count="24">
    <cacheField name="Material_ID" numFmtId="0">
      <sharedItems/>
    </cacheField>
    <cacheField name="Material_Description" numFmtId="0">
      <sharedItems/>
    </cacheField>
    <cacheField name="Category" numFmtId="0">
      <sharedItems/>
    </cacheField>
    <cacheField name="Department" numFmtId="0">
      <sharedItems/>
    </cacheField>
    <cacheField name="Criticality" numFmtId="0">
      <sharedItems/>
    </cacheField>
    <cacheField name="Opening_Stock" numFmtId="0">
      <sharedItems containsSemiMixedTypes="0" containsString="0" containsNumber="1" containsInteger="1" minValue="1" maxValue="463"/>
    </cacheField>
    <cacheField name="Receipts" numFmtId="0">
      <sharedItems containsSemiMixedTypes="0" containsString="0" containsNumber="1" containsInteger="1" minValue="1" maxValue="808"/>
    </cacheField>
    <cacheField name="Consumption" numFmtId="0">
      <sharedItems containsSemiMixedTypes="0" containsString="0" containsNumber="1" containsInteger="1" minValue="0" maxValue="600"/>
    </cacheField>
    <cacheField name="Closing_Stock" numFmtId="0">
      <sharedItems containsSemiMixedTypes="0" containsString="0" containsNumber="1" containsInteger="1" minValue="1" maxValue="896"/>
    </cacheField>
    <cacheField name="Unit_Cost_INR" numFmtId="0">
      <sharedItems containsSemiMixedTypes="0" containsString="0" containsNumber="1" containsInteger="1" minValue="100" maxValue="44050"/>
    </cacheField>
    <cacheField name="Lead_Time_Days" numFmtId="0">
      <sharedItems containsSemiMixedTypes="0" containsString="0" containsNumber="1" containsInteger="1" minValue="3" maxValue="63"/>
    </cacheField>
    <cacheField name="Stockout_Events" numFmtId="0">
      <sharedItems containsSemiMixedTypes="0" containsString="0" containsNumber="1" containsInteger="1" minValue="0" maxValue="3"/>
    </cacheField>
    <cacheField name="Days_Since_Last_Movement" numFmtId="0">
      <sharedItems containsSemiMixedTypes="0" containsString="0" containsNumber="1" containsInteger="1" minValue="1" maxValue="729"/>
    </cacheField>
    <cacheField name="Supplier" numFmtId="0">
      <sharedItems/>
    </cacheField>
    <cacheField name="Annual_Carrying_Cost_Rate" numFmtId="0">
      <sharedItems containsSemiMixedTypes="0" containsString="0" containsNumber="1" minValue="0.151" maxValue="0.3"/>
    </cacheField>
    <cacheField name="Estimated_Annual_Carrying_Cost_INR" numFmtId="0">
      <sharedItems containsSemiMixedTypes="0" containsString="0" containsNumber="1" minValue="153.6" maxValue="792529.92000000004"/>
    </cacheField>
    <cacheField name="Inventory_Value_INR" numFmtId="0">
      <sharedItems containsSemiMixedTypes="0" containsString="0" containsNumber="1" containsInteger="1" minValue="800" maxValue="2903040"/>
    </cacheField>
    <cacheField name="Annual_Consumption_Value_INR" numFmtId="0">
      <sharedItems containsSemiMixedTypes="0" containsString="0" containsNumber="1" containsInteger="1" minValue="0" maxValue="2725560"/>
    </cacheField>
    <cacheField name="Inventory_Turnover" numFmtId="0">
      <sharedItems containsSemiMixedTypes="0" containsString="0" containsNumber="1" minValue="0" maxValue="7.3636363636363633"/>
    </cacheField>
    <cacheField name="Days_of_Inventory" numFmtId="0">
      <sharedItems containsSemiMixedTypes="0" containsString="0" containsNumber="1" minValue="0" maxValue="68255"/>
    </cacheField>
    <cacheField name="Movement_Class" numFmtId="0">
      <sharedItems count="3">
        <s v="Active"/>
        <s v="Non Moving"/>
        <s v="Slow-Moving"/>
      </sharedItems>
    </cacheField>
    <cacheField name="Cumulative_Inventory_Value" numFmtId="0">
      <sharedItems containsSemiMixedTypes="0" containsString="0" containsNumber="1" containsInteger="1" minValue="2903040" maxValue="75695370"/>
    </cacheField>
    <cacheField name="Cumulative_Value_%" numFmtId="0">
      <sharedItems containsSemiMixedTypes="0" containsString="0" containsNumber="1" minValue="3.8351619128091985E-2" maxValue="1"/>
    </cacheField>
    <cacheField name="ABC_Class" numFmtId="0">
      <sharedItems count="3">
        <s v="A"/>
        <s v="B"/>
        <s v="C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yushman Sinha" refreshedDate="46278.989955092591" backgroundQuery="1" createdVersion="8" refreshedVersion="8" minRefreshableVersion="3" recordCount="0" supportSubquery="1" supportAdvancedDrill="1" xr:uid="{A8259AD5-4E82-4546-9959-82CF4F0F8321}">
  <cacheSource type="external" connectionId="1"/>
  <cacheFields count="2">
    <cacheField name="[Table1].[Action_Recommendation].[Action_Recommendation]" caption="Action_Recommendation" numFmtId="0" hierarchy="31" level="1">
      <sharedItems count="4">
        <s v="Maintain / Monitor"/>
        <s v="Review"/>
        <s v="Review for Disposal/De-procurement"/>
        <s v="Review Safety Stock"/>
      </sharedItems>
    </cacheField>
    <cacheField name="[Measures].[Sum of Inventory_Value_INR]" caption="Sum of Inventory_Value_INR" numFmtId="0" hierarchy="34" level="32767"/>
  </cacheFields>
  <cacheHierarchies count="35">
    <cacheHierarchy uniqueName="[Table1].[Material_ID]" caption="Material_ID" attribute="1" defaultMemberUniqueName="[Table1].[Material_ID].[All]" allUniqueName="[Table1].[Material_ID].[All]" dimensionUniqueName="[Table1]" displayFolder="" count="0" memberValueDatatype="130" unbalanced="0"/>
    <cacheHierarchy uniqueName="[Table1].[Material_Description]" caption="Material_Description" attribute="1" defaultMemberUniqueName="[Table1].[Material_Description].[All]" allUniqueName="[Table1].[Material_Description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Department]" caption="Department" attribute="1" defaultMemberUniqueName="[Table1].[Department].[All]" allUniqueName="[Table1].[Department].[All]" dimensionUniqueName="[Table1]" displayFolder="" count="0" memberValueDatatype="130" unbalanced="0"/>
    <cacheHierarchy uniqueName="[Table1].[Criticality]" caption="Criticality" attribute="1" defaultMemberUniqueName="[Table1].[Criticality].[All]" allUniqueName="[Table1].[Criticality].[All]" dimensionUniqueName="[Table1]" displayFolder="" count="0" memberValueDatatype="130" unbalanced="0"/>
    <cacheHierarchy uniqueName="[Table1].[Opening_Stock]" caption="Opening_Stock" attribute="1" defaultMemberUniqueName="[Table1].[Opening_Stock].[All]" allUniqueName="[Table1].[Opening_Stock].[All]" dimensionUniqueName="[Table1]" displayFolder="" count="0" memberValueDatatype="20" unbalanced="0"/>
    <cacheHierarchy uniqueName="[Table1].[Receipts]" caption="Receipts" attribute="1" defaultMemberUniqueName="[Table1].[Receipts].[All]" allUniqueName="[Table1].[Receipts].[All]" dimensionUniqueName="[Table1]" displayFolder="" count="0" memberValueDatatype="20" unbalanced="0"/>
    <cacheHierarchy uniqueName="[Table1].[Consumption]" caption="Consumption" attribute="1" defaultMemberUniqueName="[Table1].[Consumption].[All]" allUniqueName="[Table1].[Consumption].[All]" dimensionUniqueName="[Table1]" displayFolder="" count="0" memberValueDatatype="20" unbalanced="0"/>
    <cacheHierarchy uniqueName="[Table1].[Closing_Stock]" caption="Closing_Stock" attribute="1" defaultMemberUniqueName="[Table1].[Closing_Stock].[All]" allUniqueName="[Table1].[Closing_Stock].[All]" dimensionUniqueName="[Table1]" displayFolder="" count="0" memberValueDatatype="20" unbalanced="0"/>
    <cacheHierarchy uniqueName="[Table1].[Unit_Cost_INR]" caption="Unit_Cost_INR" attribute="1" defaultMemberUniqueName="[Table1].[Unit_Cost_INR].[All]" allUniqueName="[Table1].[Unit_Cost_INR].[All]" dimensionUniqueName="[Table1]" displayFolder="" count="0" memberValueDatatype="20" unbalanced="0"/>
    <cacheHierarchy uniqueName="[Table1].[Lead_Time_Days]" caption="Lead_Time_Days" attribute="1" defaultMemberUniqueName="[Table1].[Lead_Time_Days].[All]" allUniqueName="[Table1].[Lead_Time_Days].[All]" dimensionUniqueName="[Table1]" displayFolder="" count="0" memberValueDatatype="20" unbalanced="0"/>
    <cacheHierarchy uniqueName="[Table1].[Stockout_Events]" caption="Stockout_Events" attribute="1" defaultMemberUniqueName="[Table1].[Stockout_Events].[All]" allUniqueName="[Table1].[Stockout_Events].[All]" dimensionUniqueName="[Table1]" displayFolder="" count="0" memberValueDatatype="20" unbalanced="0"/>
    <cacheHierarchy uniqueName="[Table1].[Days_Since_Last_Movement]" caption="Days_Since_Last_Movement" attribute="1" defaultMemberUniqueName="[Table1].[Days_Since_Last_Movement].[All]" allUniqueName="[Table1].[Days_Since_Last_Movement].[All]" dimensionUniqueName="[Table1]" displayFolder="" count="0" memberValueDatatype="20" unbalanced="0"/>
    <cacheHierarchy uniqueName="[Table1].[Supplier]" caption="Supplier" attribute="1" defaultMemberUniqueName="[Table1].[Supplier].[All]" allUniqueName="[Table1].[Supplier].[All]" dimensionUniqueName="[Table1]" displayFolder="" count="0" memberValueDatatype="130" unbalanced="0"/>
    <cacheHierarchy uniqueName="[Table1].[Annual_Carrying_Cost_Rate]" caption="Annual_Carrying_Cost_Rate" attribute="1" defaultMemberUniqueName="[Table1].[Annual_Carrying_Cost_Rate].[All]" allUniqueName="[Table1].[Annual_Carrying_Cost_Rate].[All]" dimensionUniqueName="[Table1]" displayFolder="" count="0" memberValueDatatype="5" unbalanced="0"/>
    <cacheHierarchy uniqueName="[Table1].[Estimated_Annual_Carrying_Cost_INR]" caption="Estimated_Annual_Carrying_Cost_INR" attribute="1" defaultMemberUniqueName="[Table1].[Estimated_Annual_Carrying_Cost_INR].[All]" allUniqueName="[Table1].[Estimated_Annual_Carrying_Cost_INR].[All]" dimensionUniqueName="[Table1]" displayFolder="" count="0" memberValueDatatype="5" unbalanced="0"/>
    <cacheHierarchy uniqueName="[Table1].[Inventory_Value_INR]" caption="Inventory_Value_INR" attribute="1" defaultMemberUniqueName="[Table1].[Inventory_Value_INR].[All]" allUniqueName="[Table1].[Inventory_Value_INR].[All]" dimensionUniqueName="[Table1]" displayFolder="" count="0" memberValueDatatype="20" unbalanced="0"/>
    <cacheHierarchy uniqueName="[Table1].[Annual_Consumption_Value_INR]" caption="Annual_Consumption_Value_INR" attribute="1" defaultMemberUniqueName="[Table1].[Annual_Consumption_Value_INR].[All]" allUniqueName="[Table1].[Annual_Consumption_Value_INR].[All]" dimensionUniqueName="[Table1]" displayFolder="" count="0" memberValueDatatype="20" unbalanced="0"/>
    <cacheHierarchy uniqueName="[Table1].[Inventory_Turnover]" caption="Inventory_Turnover" attribute="1" defaultMemberUniqueName="[Table1].[Inventory_Turnover].[All]" allUniqueName="[Table1].[Inventory_Turnover].[All]" dimensionUniqueName="[Table1]" displayFolder="" count="0" memberValueDatatype="5" unbalanced="0"/>
    <cacheHierarchy uniqueName="[Table1].[Days_of_Inventory]" caption="Days_of_Inventory" attribute="1" defaultMemberUniqueName="[Table1].[Days_of_Inventory].[All]" allUniqueName="[Table1].[Days_of_Inventory].[All]" dimensionUniqueName="[Table1]" displayFolder="" count="0" memberValueDatatype="5" unbalanced="0"/>
    <cacheHierarchy uniqueName="[Table1].[Movement_Class]" caption="Movement_Class" attribute="1" defaultMemberUniqueName="[Table1].[Movement_Class].[All]" allUniqueName="[Table1].[Movement_Class].[All]" dimensionUniqueName="[Table1]" displayFolder="" count="0" memberValueDatatype="130" unbalanced="0"/>
    <cacheHierarchy uniqueName="[Table1].[Cumulative_Inventory_Value]" caption="Cumulative_Inventory_Value" attribute="1" defaultMemberUniqueName="[Table1].[Cumulative_Inventory_Value].[All]" allUniqueName="[Table1].[Cumulative_Inventory_Value].[All]" dimensionUniqueName="[Table1]" displayFolder="" count="0" memberValueDatatype="20" unbalanced="0"/>
    <cacheHierarchy uniqueName="[Table1].[Cumulative_Value_%]" caption="Cumulative_Value_%" attribute="1" defaultMemberUniqueName="[Table1].[Cumulative_Value_%].[All]" allUniqueName="[Table1].[Cumulative_Value_%].[All]" dimensionUniqueName="[Table1]" displayFolder="" count="0" memberValueDatatype="5" unbalanced="0"/>
    <cacheHierarchy uniqueName="[Table1].[ABC_Class]" caption="ABC_Class" attribute="1" defaultMemberUniqueName="[Table1].[ABC_Class].[All]" allUniqueName="[Table1].[ABC_Class].[All]" dimensionUniqueName="[Table1]" displayFolder="" count="0" memberValueDatatype="130" unbalanced="0"/>
    <cacheHierarchy uniqueName="[Table1].[Priority]" caption="Priority" attribute="1" defaultMemberUniqueName="[Table1].[Priority].[All]" allUniqueName="[Table1].[Priority].[All]" dimensionUniqueName="[Table1]" displayFolder="" count="0" memberValueDatatype="130" unbalanced="0"/>
    <cacheHierarchy uniqueName="[Table1].[Avg_Daily_Consumption]" caption="Avg_Daily_Consumption" attribute="1" defaultMemberUniqueName="[Table1].[Avg_Daily_Consumption].[All]" allUniqueName="[Table1].[Avg_Daily_Consumption].[All]" dimensionUniqueName="[Table1]" displayFolder="" count="0" memberValueDatatype="5" unbalanced="0"/>
    <cacheHierarchy uniqueName="[Table1].[Reorder_Point]" caption="Reorder_Point" attribute="1" defaultMemberUniqueName="[Table1].[Reorder_Point].[All]" allUniqueName="[Table1].[Reorder_Point].[All]" dimensionUniqueName="[Table1]" displayFolder="" count="0" memberValueDatatype="5" unbalanced="0"/>
    <cacheHierarchy uniqueName="[Table1].[Stock_Cover_Days]" caption="Stock_Cover_Days" attribute="1" defaultMemberUniqueName="[Table1].[Stock_Cover_Days].[All]" allUniqueName="[Table1].[Stock_Cover_Days].[All]" dimensionUniqueName="[Table1]" displayFolder="" count="0" memberValueDatatype="5" unbalanced="0"/>
    <cacheHierarchy uniqueName="[Table1].[Safety_Stock]" caption="Safety_Stock" attribute="1" defaultMemberUniqueName="[Table1].[Safety_Stock].[All]" allUniqueName="[Table1].[Safety_Stock].[All]" dimensionUniqueName="[Table1]" displayFolder="" count="0" memberValueDatatype="20" unbalanced="0"/>
    <cacheHierarchy uniqueName="[Table1].[Stock_Risk]" caption="Stock_Risk" attribute="1" defaultMemberUniqueName="[Table1].[Stock_Risk].[All]" allUniqueName="[Table1].[Stock_Risk].[All]" dimensionUniqueName="[Table1]" displayFolder="" count="0" memberValueDatatype="130" unbalanced="0"/>
    <cacheHierarchy uniqueName="[Table1].[Risk_Priority]" caption="Risk_Priority" attribute="1" defaultMemberUniqueName="[Table1].[Risk_Priority].[All]" allUniqueName="[Table1].[Risk_Priority].[All]" dimensionUniqueName="[Table1]" displayFolder="" count="0" memberValueDatatype="130" unbalanced="0"/>
    <cacheHierarchy uniqueName="[Table1].[Action_Recommendation]" caption="Action_Recommendation" attribute="1" defaultMemberUniqueName="[Table1].[Action_Recommendation].[All]" allUniqueName="[Table1].[Action_Recommendation].[All]" dimensionUniqueName="[Table1]" displayFolder="" count="2" memberValueDatatype="130" unbalanced="0">
      <fieldsUsage count="2">
        <fieldUsage x="-1"/>
        <fieldUsage x="0"/>
      </fieldsUsage>
    </cacheHierarchy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Inventory_Value_INR]" caption="Sum of Inventory_Value_INR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SP-0226"/>
    <s v="Seal"/>
    <s v="Mechanical"/>
    <s v="Rolling Mill"/>
    <s v="Low"/>
    <n v="463"/>
    <n v="808"/>
    <n v="600"/>
    <n v="896"/>
    <n v="3240"/>
    <n v="28"/>
    <n v="0"/>
    <n v="52"/>
    <s v="Supplier B"/>
    <n v="0.27300000000000002"/>
    <n v="792529.92000000004"/>
    <n v="2903040"/>
    <n v="1944000"/>
    <n v="0.6696428571428571"/>
    <n v="545.06666666666672"/>
    <x v="0"/>
    <n v="2903040"/>
    <n v="3.8351619128091985E-2"/>
    <x v="0"/>
  </r>
  <r>
    <s v="SP-0320"/>
    <s v="Roller"/>
    <s v="Mechanical"/>
    <s v="Sinter Plant"/>
    <s v="Low"/>
    <n v="37"/>
    <n v="51"/>
    <n v="40"/>
    <n v="52"/>
    <n v="44050"/>
    <n v="19"/>
    <n v="1"/>
    <n v="9"/>
    <s v="Supplier C"/>
    <n v="0.19"/>
    <n v="435214"/>
    <n v="2290600"/>
    <n v="1762000"/>
    <n v="0.76923076923076927"/>
    <n v="474.5"/>
    <x v="0"/>
    <n v="5193640"/>
    <n v="6.8612386728540989E-2"/>
    <x v="0"/>
  </r>
  <r>
    <s v="SP-0400"/>
    <s v="Cylinder"/>
    <s v="Hydraulic"/>
    <s v="Utilities"/>
    <s v="Medium"/>
    <n v="95"/>
    <n v="159"/>
    <n v="0"/>
    <n v="157"/>
    <n v="12570"/>
    <n v="17"/>
    <n v="0"/>
    <n v="624"/>
    <s v="Supplier D"/>
    <n v="0.3"/>
    <n v="592047"/>
    <n v="1973490"/>
    <n v="0"/>
    <n v="0"/>
    <n v="0"/>
    <x v="1"/>
    <n v="7167130"/>
    <n v="9.4683862434386673E-2"/>
    <x v="0"/>
  </r>
  <r>
    <s v="SP-0254"/>
    <s v="Fuse"/>
    <s v="Electrical"/>
    <s v="Maintenance"/>
    <s v="High"/>
    <n v="287"/>
    <n v="245"/>
    <n v="239"/>
    <n v="293"/>
    <n v="6170"/>
    <n v="27"/>
    <n v="1"/>
    <n v="241"/>
    <s v="Supplier E"/>
    <n v="0.16700000000000001"/>
    <n v="301904.27"/>
    <n v="1807810"/>
    <n v="1474630"/>
    <n v="0.81569965870307171"/>
    <n v="447.46861924686192"/>
    <x v="2"/>
    <n v="8974940"/>
    <n v="0.11856656490350731"/>
    <x v="0"/>
  </r>
  <r>
    <s v="SP-0354"/>
    <s v="Gear"/>
    <s v="Mechanical"/>
    <s v="Maintenance"/>
    <s v="Low"/>
    <n v="36"/>
    <n v="96"/>
    <n v="63"/>
    <n v="69"/>
    <n v="24090"/>
    <n v="5"/>
    <n v="0"/>
    <n v="22"/>
    <s v="Supplier C"/>
    <n v="0.17399999999999999"/>
    <n v="289224.53999999998"/>
    <n v="1662210"/>
    <n v="1517670"/>
    <n v="0.91304347826086951"/>
    <n v="399.76190476190476"/>
    <x v="0"/>
    <n v="10637150"/>
    <n v="0.14052576795648136"/>
    <x v="0"/>
  </r>
  <r>
    <s v="SP-0211"/>
    <s v="Controller"/>
    <s v="Instrumentation"/>
    <s v="Blast Furnace"/>
    <s v="High"/>
    <n v="282"/>
    <n v="655"/>
    <n v="0"/>
    <n v="382"/>
    <n v="3630"/>
    <n v="25"/>
    <n v="0"/>
    <n v="395"/>
    <s v="Supplier A"/>
    <n v="0.25900000000000001"/>
    <n v="359144.94"/>
    <n v="1386660"/>
    <n v="0"/>
    <n v="0"/>
    <n v="0"/>
    <x v="1"/>
    <n v="12023810"/>
    <n v="0.15884472194270272"/>
    <x v="0"/>
  </r>
  <r>
    <s v="SP-0187"/>
    <s v="Fitting"/>
    <s v="Pneumatic"/>
    <s v="Rolling Mill"/>
    <s v="Critical"/>
    <n v="84"/>
    <n v="309"/>
    <n v="268"/>
    <n v="125"/>
    <n v="10170"/>
    <n v="17"/>
    <n v="0"/>
    <n v="180"/>
    <s v="Supplier A"/>
    <n v="0.19500000000000001"/>
    <n v="247893.75"/>
    <n v="1271250"/>
    <n v="2725560"/>
    <n v="2.1440000000000001"/>
    <n v="170.24253731343282"/>
    <x v="2"/>
    <n v="13295060"/>
    <n v="0.17563901200297985"/>
    <x v="0"/>
  </r>
  <r>
    <s v="SP-0201"/>
    <s v="Transmitter"/>
    <s v="Instrumentation"/>
    <s v="Blast Furnace"/>
    <s v="Medium"/>
    <n v="14"/>
    <n v="16"/>
    <n v="6"/>
    <n v="84"/>
    <n v="14210"/>
    <n v="25"/>
    <n v="0"/>
    <n v="181"/>
    <s v="Supplier C"/>
    <n v="0.216"/>
    <n v="257826.24"/>
    <n v="1193640"/>
    <n v="85260"/>
    <n v="7.1428571428571425E-2"/>
    <n v="5110"/>
    <x v="2"/>
    <n v="14488700"/>
    <n v="0.19140800817804313"/>
    <x v="0"/>
  </r>
  <r>
    <s v="SP-0146"/>
    <s v="Coupling"/>
    <s v="Mechanical"/>
    <s v="Blast Furnace"/>
    <s v="Medium"/>
    <n v="43"/>
    <n v="176"/>
    <n v="119"/>
    <n v="170"/>
    <n v="5850"/>
    <n v="20"/>
    <n v="0"/>
    <n v="105"/>
    <s v="Supplier A"/>
    <n v="0.26500000000000001"/>
    <n v="263542.5"/>
    <n v="994500"/>
    <n v="696150"/>
    <n v="0.7"/>
    <n v="521.42857142857144"/>
    <x v="2"/>
    <n v="15483200"/>
    <n v="0.20454619615440151"/>
    <x v="0"/>
  </r>
  <r>
    <s v="SP-0009"/>
    <s v="Controller"/>
    <s v="Instrumentation"/>
    <s v="Utilities"/>
    <s v="Critical"/>
    <n v="96"/>
    <n v="298"/>
    <n v="214"/>
    <n v="318"/>
    <n v="3090"/>
    <n v="3"/>
    <n v="1"/>
    <n v="46"/>
    <s v="Supplier D"/>
    <n v="0.28499999999999998"/>
    <n v="280046.7"/>
    <n v="982620"/>
    <n v="661260"/>
    <n v="0.67295597484276726"/>
    <n v="542.38317757009349"/>
    <x v="0"/>
    <n v="16465820"/>
    <n v="0.21752743926081608"/>
    <x v="0"/>
  </r>
  <r>
    <s v="SP-0145"/>
    <s v="Bearing"/>
    <s v="Mechanical"/>
    <s v="Blast Furnace"/>
    <s v="Critical"/>
    <n v="160"/>
    <n v="260"/>
    <n v="5"/>
    <n v="225"/>
    <n v="3510"/>
    <n v="29"/>
    <n v="0"/>
    <n v="310"/>
    <s v="Supplier F"/>
    <n v="0.17399999999999999"/>
    <n v="137416.5"/>
    <n v="789750"/>
    <n v="17550"/>
    <n v="2.2222222222222223E-2"/>
    <n v="16425"/>
    <x v="2"/>
    <n v="17255570"/>
    <n v="0.22796070618321834"/>
    <x v="0"/>
  </r>
  <r>
    <s v="SP-0131"/>
    <s v="Contactor"/>
    <s v="Electrical"/>
    <s v="Utilities"/>
    <s v="High"/>
    <n v="48"/>
    <n v="49"/>
    <n v="3"/>
    <n v="55"/>
    <n v="14130"/>
    <n v="3"/>
    <n v="3"/>
    <n v="311"/>
    <s v="Supplier G"/>
    <n v="0.218"/>
    <n v="169418.7"/>
    <n v="777150"/>
    <n v="42390"/>
    <n v="5.4545454545454543E-2"/>
    <n v="6691.666666666667"/>
    <x v="2"/>
    <n v="18032720"/>
    <n v="0.23822751642537715"/>
    <x v="0"/>
  </r>
  <r>
    <s v="SP-0407"/>
    <s v="Cable"/>
    <s v="Electrical"/>
    <s v="Sinter Plant"/>
    <s v="Low"/>
    <n v="82"/>
    <n v="356"/>
    <n v="211"/>
    <n v="227"/>
    <n v="3410"/>
    <n v="34"/>
    <n v="1"/>
    <n v="13"/>
    <s v="Supplier H"/>
    <n v="0.29199999999999998"/>
    <n v="226028.44"/>
    <n v="774070"/>
    <n v="719510"/>
    <n v="0.92951541850220265"/>
    <n v="392.67772511848341"/>
    <x v="0"/>
    <n v="18806790"/>
    <n v="0.24845363725680977"/>
    <x v="0"/>
  </r>
  <r>
    <s v="SP-0212"/>
    <s v="Hydraulic Pump"/>
    <s v="Hydraulic"/>
    <s v="Rolling Mill"/>
    <s v="Medium"/>
    <n v="105"/>
    <n v="143"/>
    <n v="88"/>
    <n v="160"/>
    <n v="4700"/>
    <n v="15"/>
    <n v="0"/>
    <n v="48"/>
    <s v="Supplier E"/>
    <n v="0.27500000000000002"/>
    <n v="206800"/>
    <n v="752000"/>
    <n v="413600"/>
    <n v="0.55000000000000004"/>
    <n v="663.63636363636363"/>
    <x v="0"/>
    <n v="19558790"/>
    <n v="0.25838819468086355"/>
    <x v="0"/>
  </r>
  <r>
    <s v="SP-0448"/>
    <s v="Cylinder"/>
    <s v="Hydraulic"/>
    <s v="Sinter Plant"/>
    <s v="Medium"/>
    <n v="38"/>
    <n v="42"/>
    <n v="0"/>
    <n v="128"/>
    <n v="5780"/>
    <n v="6"/>
    <n v="1"/>
    <n v="582"/>
    <s v="Supplier G"/>
    <n v="0.17399999999999999"/>
    <n v="128732.16"/>
    <n v="739840"/>
    <n v="0"/>
    <n v="0"/>
    <n v="0"/>
    <x v="1"/>
    <n v="20298630"/>
    <n v="0.26816210819763481"/>
    <x v="0"/>
  </r>
  <r>
    <s v="SP-0346"/>
    <s v="Transmitter"/>
    <s v="Instrumentation"/>
    <s v="Maintenance"/>
    <s v="Critical"/>
    <n v="12"/>
    <n v="18"/>
    <n v="1"/>
    <n v="99"/>
    <n v="7420"/>
    <n v="26"/>
    <n v="0"/>
    <n v="187"/>
    <s v="Supplier B"/>
    <n v="0.157"/>
    <n v="115329.06"/>
    <n v="734580"/>
    <n v="7420"/>
    <n v="1.0101010101010102E-2"/>
    <n v="36135"/>
    <x v="2"/>
    <n v="21033210"/>
    <n v="0.27786653265582822"/>
    <x v="0"/>
  </r>
  <r>
    <s v="SP-0200"/>
    <s v="Valve"/>
    <s v="Hydraulic"/>
    <s v="Blast Furnace"/>
    <s v="Critical"/>
    <n v="27"/>
    <n v="81"/>
    <n v="58"/>
    <n v="50"/>
    <n v="13440"/>
    <n v="38"/>
    <n v="0"/>
    <n v="23"/>
    <s v="Supplier E"/>
    <n v="0.28799999999999998"/>
    <n v="193536"/>
    <n v="672000"/>
    <n v="779520"/>
    <n v="1.1599999999999999"/>
    <n v="314.65517241379314"/>
    <x v="0"/>
    <n v="21705210"/>
    <n v="0.28674422226881247"/>
    <x v="0"/>
  </r>
  <r>
    <s v="SP-0279"/>
    <s v="Filter"/>
    <s v="Hydraulic"/>
    <s v="Maintenance"/>
    <s v="High"/>
    <n v="308"/>
    <n v="515"/>
    <n v="600"/>
    <n v="223"/>
    <n v="2880"/>
    <n v="18"/>
    <n v="0"/>
    <n v="29"/>
    <s v="Supplier H"/>
    <n v="0.16600000000000001"/>
    <n v="106611.84"/>
    <n v="642240"/>
    <n v="1728000"/>
    <n v="2.6905829596412558"/>
    <n v="135.65833333333333"/>
    <x v="0"/>
    <n v="22347450"/>
    <n v="0.29522875705607887"/>
    <x v="0"/>
  </r>
  <r>
    <s v="SP-0465"/>
    <s v="Lubricant"/>
    <s v="Consumable"/>
    <s v="Blast Furnace"/>
    <s v="Low"/>
    <n v="44"/>
    <n v="65"/>
    <n v="46"/>
    <n v="64"/>
    <n v="9320"/>
    <n v="30"/>
    <n v="1"/>
    <n v="83"/>
    <s v="Supplier C"/>
    <n v="0.23300000000000001"/>
    <n v="138979.84"/>
    <n v="596480"/>
    <n v="428720"/>
    <n v="0.71875"/>
    <n v="507.82608695652175"/>
    <x v="0"/>
    <n v="22943930"/>
    <n v="0.30310876345541343"/>
    <x v="0"/>
  </r>
  <r>
    <s v="SP-0091"/>
    <s v="Roller"/>
    <s v="Mechanical"/>
    <s v="Rolling Mill"/>
    <s v="Low"/>
    <n v="20"/>
    <n v="19"/>
    <n v="1"/>
    <n v="88"/>
    <n v="6650"/>
    <n v="15"/>
    <n v="1"/>
    <n v="338"/>
    <s v="Supplier B"/>
    <n v="0.155"/>
    <n v="90706"/>
    <n v="585200"/>
    <n v="6650"/>
    <n v="1.1363636363636364E-2"/>
    <n v="32120"/>
    <x v="2"/>
    <n v="23529130"/>
    <n v="0.31083975149338722"/>
    <x v="0"/>
  </r>
  <r>
    <s v="SP-0196"/>
    <s v="Switch"/>
    <s v="Electrical"/>
    <s v="Sinter Plant"/>
    <s v="Critical"/>
    <n v="21"/>
    <n v="11"/>
    <n v="8"/>
    <n v="24"/>
    <n v="23350"/>
    <n v="34"/>
    <n v="0"/>
    <n v="59"/>
    <s v="Supplier F"/>
    <n v="0.159"/>
    <n v="89103.6"/>
    <n v="560400"/>
    <n v="186800"/>
    <n v="0.33333333333333331"/>
    <n v="1095"/>
    <x v="0"/>
    <n v="24089530"/>
    <n v="0.31824311050992948"/>
    <x v="0"/>
  </r>
  <r>
    <s v="SP-0329"/>
    <s v="Motor"/>
    <s v="Electrical"/>
    <s v="Blast Furnace"/>
    <s v="High"/>
    <n v="19"/>
    <n v="41"/>
    <n v="6"/>
    <n v="47"/>
    <n v="11770"/>
    <n v="25"/>
    <n v="0"/>
    <n v="320"/>
    <s v="Supplier G"/>
    <n v="0.218"/>
    <n v="120595.42"/>
    <n v="553190"/>
    <n v="70620"/>
    <n v="0.1276595744680851"/>
    <n v="2859.166666666667"/>
    <x v="2"/>
    <n v="24642720"/>
    <n v="0.32555121931499903"/>
    <x v="0"/>
  </r>
  <r>
    <s v="SP-0163"/>
    <s v="Transmitter"/>
    <s v="Instrumentation"/>
    <s v="Rolling Mill"/>
    <s v="Critical"/>
    <n v="11"/>
    <n v="56"/>
    <n v="0"/>
    <n v="83"/>
    <n v="6570"/>
    <n v="38"/>
    <n v="0"/>
    <n v="471"/>
    <s v="Supplier E"/>
    <n v="0.26400000000000001"/>
    <n v="143961.84"/>
    <n v="545310"/>
    <n v="0"/>
    <n v="0"/>
    <n v="0"/>
    <x v="1"/>
    <n v="25188030"/>
    <n v="0.3327552266406783"/>
    <x v="0"/>
  </r>
  <r>
    <s v="SP-0112"/>
    <s v="Roller"/>
    <s v="Mechanical"/>
    <s v="Maintenance"/>
    <s v="Low"/>
    <n v="69"/>
    <n v="57"/>
    <n v="59"/>
    <n v="67"/>
    <n v="8110"/>
    <n v="11"/>
    <n v="0"/>
    <n v="38"/>
    <s v="Supplier G"/>
    <n v="0.161"/>
    <n v="87482.57"/>
    <n v="543370"/>
    <n v="478490"/>
    <n v="0.88059701492537312"/>
    <n v="414.49152542372883"/>
    <x v="0"/>
    <n v="25731400"/>
    <n v="0.33993360492193908"/>
    <x v="0"/>
  </r>
  <r>
    <s v="SP-0231"/>
    <s v="Actuator"/>
    <s v="Pneumatic"/>
    <s v="Utilities"/>
    <s v="Critical"/>
    <n v="29"/>
    <n v="51"/>
    <n v="35"/>
    <n v="45"/>
    <n v="11900"/>
    <n v="47"/>
    <n v="0"/>
    <n v="15"/>
    <s v="Supplier E"/>
    <n v="0.20300000000000001"/>
    <n v="108706.5"/>
    <n v="535500"/>
    <n v="416500"/>
    <n v="0.77777777777777779"/>
    <n v="469.28571428571428"/>
    <x v="0"/>
    <n v="26266900"/>
    <n v="0.34700801383228591"/>
    <x v="0"/>
  </r>
  <r>
    <s v="SP-0016"/>
    <s v="Coupling"/>
    <s v="Mechanical"/>
    <s v="Blast Furnace"/>
    <s v="Low"/>
    <n v="93"/>
    <n v="213"/>
    <n v="178"/>
    <n v="128"/>
    <n v="4100"/>
    <n v="27"/>
    <n v="1"/>
    <n v="10"/>
    <s v="Supplier G"/>
    <n v="0.16"/>
    <n v="83968"/>
    <n v="524800"/>
    <n v="729800"/>
    <n v="1.390625"/>
    <n v="262.47191011235952"/>
    <x v="0"/>
    <n v="26791700"/>
    <n v="0.3539410666729022"/>
    <x v="0"/>
  </r>
  <r>
    <s v="SP-0324"/>
    <s v="Gear"/>
    <s v="Mechanical"/>
    <s v="Rolling Mill"/>
    <s v="High"/>
    <n v="32"/>
    <n v="139"/>
    <n v="4"/>
    <n v="91"/>
    <n v="5700"/>
    <n v="23"/>
    <n v="0"/>
    <n v="148"/>
    <s v="Supplier B"/>
    <n v="0.253"/>
    <n v="131231.1"/>
    <n v="518700"/>
    <n v="22800"/>
    <n v="4.3956043956043959E-2"/>
    <n v="8303.75"/>
    <x v="2"/>
    <n v="27310400"/>
    <n v="0.36079353334292441"/>
    <x v="0"/>
  </r>
  <r>
    <s v="SP-0353"/>
    <s v="Pressure Sensor"/>
    <s v="Instrumentation"/>
    <s v="Steel Melting Shop"/>
    <s v="High"/>
    <n v="10"/>
    <n v="19"/>
    <n v="4"/>
    <n v="87"/>
    <n v="5930"/>
    <n v="24"/>
    <n v="0"/>
    <n v="281"/>
    <s v="Supplier B"/>
    <n v="0.21"/>
    <n v="108341.1"/>
    <n v="515910"/>
    <n v="23720"/>
    <n v="4.5977011494252873E-2"/>
    <n v="7938.75"/>
    <x v="2"/>
    <n v="27826310"/>
    <n v="0.36760914174803561"/>
    <x v="0"/>
  </r>
  <r>
    <s v="SP-0115"/>
    <s v="Controller"/>
    <s v="Instrumentation"/>
    <s v="Maintenance"/>
    <s v="High"/>
    <n v="15"/>
    <n v="60"/>
    <n v="58"/>
    <n v="74"/>
    <n v="6820"/>
    <n v="46"/>
    <n v="0"/>
    <n v="104"/>
    <s v="Supplier H"/>
    <n v="0.23100000000000001"/>
    <n v="116581.08"/>
    <n v="504680"/>
    <n v="395560"/>
    <n v="0.78378378378378377"/>
    <n v="465.68965517241378"/>
    <x v="2"/>
    <n v="28330990"/>
    <n v="0.37427639233416787"/>
    <x v="0"/>
  </r>
  <r>
    <s v="SP-0428"/>
    <s v="Air Filter"/>
    <s v="Pneumatic"/>
    <s v="Blast Furnace"/>
    <s v="High"/>
    <n v="135"/>
    <n v="150"/>
    <n v="6"/>
    <n v="147"/>
    <n v="3350"/>
    <n v="23"/>
    <n v="0"/>
    <n v="166"/>
    <s v="Supplier G"/>
    <n v="0.26900000000000002"/>
    <n v="132469.04999999999"/>
    <n v="492450"/>
    <n v="20100"/>
    <n v="4.0816326530612242E-2"/>
    <n v="8942.5"/>
    <x v="2"/>
    <n v="28823440"/>
    <n v="0.38078207425368288"/>
    <x v="0"/>
  </r>
  <r>
    <s v="SP-0444"/>
    <s v="Switch"/>
    <s v="Electrical"/>
    <s v="Steel Melting Shop"/>
    <s v="Medium"/>
    <n v="27"/>
    <n v="81"/>
    <n v="2"/>
    <n v="49"/>
    <n v="10000"/>
    <n v="33"/>
    <n v="2"/>
    <n v="161"/>
    <s v="Supplier E"/>
    <n v="0.27200000000000002"/>
    <n v="133280"/>
    <n v="490000"/>
    <n v="20000"/>
    <n v="4.0816326530612242E-2"/>
    <n v="8942.5"/>
    <x v="2"/>
    <n v="29313440"/>
    <n v="0.38725538959648392"/>
    <x v="0"/>
  </r>
  <r>
    <s v="SP-0443"/>
    <s v="Switch"/>
    <s v="Electrical"/>
    <s v="Blast Furnace"/>
    <s v="Medium"/>
    <n v="38"/>
    <n v="137"/>
    <n v="0"/>
    <n v="104"/>
    <n v="4680"/>
    <n v="20"/>
    <n v="1"/>
    <n v="542"/>
    <s v="Supplier H"/>
    <n v="0.28699999999999998"/>
    <n v="139688.64000000001"/>
    <n v="486720"/>
    <n v="0"/>
    <n v="0"/>
    <n v="0"/>
    <x v="1"/>
    <n v="29800160"/>
    <n v="0.39368537335903109"/>
    <x v="0"/>
  </r>
  <r>
    <s v="SP-0362"/>
    <s v="Pressure Sensor"/>
    <s v="Instrumentation"/>
    <s v="Sinter Plant"/>
    <s v="Critical"/>
    <n v="34"/>
    <n v="75"/>
    <n v="52"/>
    <n v="71"/>
    <n v="6750"/>
    <n v="21"/>
    <n v="0"/>
    <n v="38"/>
    <s v="Supplier G"/>
    <n v="0.26600000000000001"/>
    <n v="127480.5"/>
    <n v="479250"/>
    <n v="351000"/>
    <n v="0.73239436619718312"/>
    <n v="498.36538461538458"/>
    <x v="0"/>
    <n v="30279410"/>
    <n v="0.40001667208971964"/>
    <x v="0"/>
  </r>
  <r>
    <s v="SP-0345"/>
    <s v="Cable"/>
    <s v="Electrical"/>
    <s v="Rolling Mill"/>
    <s v="Medium"/>
    <n v="158"/>
    <n v="297"/>
    <n v="200"/>
    <n v="255"/>
    <n v="1850"/>
    <n v="27"/>
    <n v="1"/>
    <n v="105"/>
    <s v="Supplier E"/>
    <n v="0.23400000000000001"/>
    <n v="110389.5"/>
    <n v="471750"/>
    <n v="370000"/>
    <n v="0.78431372549019607"/>
    <n v="465.375"/>
    <x v="2"/>
    <n v="30751160"/>
    <n v="0.40624888946312038"/>
    <x v="0"/>
  </r>
  <r>
    <s v="SP-0463"/>
    <s v="Hydraulic Pump"/>
    <s v="Hydraulic"/>
    <s v="Rolling Mill"/>
    <s v="High"/>
    <n v="4"/>
    <n v="4"/>
    <n v="4"/>
    <n v="51"/>
    <n v="9070"/>
    <n v="3"/>
    <n v="1"/>
    <n v="327"/>
    <s v="Supplier H"/>
    <n v="0.21"/>
    <n v="97139.7"/>
    <n v="462570"/>
    <n v="36280"/>
    <n v="7.8431372549019607E-2"/>
    <n v="4653.75"/>
    <x v="2"/>
    <n v="31213730"/>
    <n v="0.41235983125520093"/>
    <x v="0"/>
  </r>
  <r>
    <s v="SP-0232"/>
    <s v="Motor"/>
    <s v="Electrical"/>
    <s v="Sinter Plant"/>
    <s v="Medium"/>
    <n v="45"/>
    <n v="46"/>
    <n v="37"/>
    <n v="54"/>
    <n v="8460"/>
    <n v="40"/>
    <n v="0"/>
    <n v="270"/>
    <s v="Supplier C"/>
    <n v="0.151"/>
    <n v="68982.84"/>
    <n v="456840"/>
    <n v="313020"/>
    <n v="0.68518518518518523"/>
    <n v="532.70270270270271"/>
    <x v="2"/>
    <n v="31670570"/>
    <n v="0.41839507489031363"/>
    <x v="0"/>
  </r>
  <r>
    <s v="SP-0182"/>
    <s v="Belt"/>
    <s v="Mechanical"/>
    <s v="Utilities"/>
    <s v="Low"/>
    <n v="85"/>
    <n v="162"/>
    <n v="133"/>
    <n v="164"/>
    <n v="2750"/>
    <n v="36"/>
    <n v="0"/>
    <n v="90"/>
    <s v="Supplier D"/>
    <n v="0.19600000000000001"/>
    <n v="88396"/>
    <n v="451000"/>
    <n v="365750"/>
    <n v="0.81097560975609762"/>
    <n v="450.0751879699248"/>
    <x v="0"/>
    <n v="32121570"/>
    <n v="0.42435316717521826"/>
    <x v="0"/>
  </r>
  <r>
    <s v="SP-0175"/>
    <s v="Controller"/>
    <s v="Instrumentation"/>
    <s v="Rolling Mill"/>
    <s v="Low"/>
    <n v="81"/>
    <n v="74"/>
    <n v="81"/>
    <n v="74"/>
    <n v="5980"/>
    <n v="32"/>
    <n v="0"/>
    <n v="24"/>
    <s v="Supplier A"/>
    <n v="0.27600000000000002"/>
    <n v="122135.52"/>
    <n v="442520"/>
    <n v="484380"/>
    <n v="1.0945945945945945"/>
    <n v="333.45679012345681"/>
    <x v="0"/>
    <n v="32564090"/>
    <n v="0.4301992314721495"/>
    <x v="0"/>
  </r>
  <r>
    <s v="SP-0352"/>
    <s v="Air Filter"/>
    <s v="Pneumatic"/>
    <s v="Maintenance"/>
    <s v="Critical"/>
    <n v="21"/>
    <n v="4"/>
    <n v="4"/>
    <n v="91"/>
    <n v="4850"/>
    <n v="15"/>
    <n v="0"/>
    <n v="266"/>
    <s v="Supplier B"/>
    <n v="0.23"/>
    <n v="101510.5"/>
    <n v="441350"/>
    <n v="19400"/>
    <n v="4.3956043956043959E-2"/>
    <n v="8303.75"/>
    <x v="2"/>
    <n v="33005440"/>
    <n v="0.43602983907734383"/>
    <x v="0"/>
  </r>
  <r>
    <s v="SP-0158"/>
    <s v="Filter"/>
    <s v="Hydraulic"/>
    <s v="Sinter Plant"/>
    <s v="High"/>
    <n v="16"/>
    <n v="9"/>
    <n v="7"/>
    <n v="18"/>
    <n v="24380"/>
    <n v="17"/>
    <n v="0"/>
    <n v="85"/>
    <s v="Supplier G"/>
    <n v="0.16300000000000001"/>
    <n v="71530.92"/>
    <n v="438840"/>
    <n v="170660"/>
    <n v="0.3888888888888889"/>
    <n v="938.57142857142856"/>
    <x v="0"/>
    <n v="33444280"/>
    <n v="0.44182728745496586"/>
    <x v="0"/>
  </r>
  <r>
    <s v="SP-0408"/>
    <s v="Seal"/>
    <s v="Mechanical"/>
    <s v="Sinter Plant"/>
    <s v="Medium"/>
    <n v="82"/>
    <n v="72"/>
    <n v="76"/>
    <n v="78"/>
    <n v="5480"/>
    <n v="9"/>
    <n v="1"/>
    <n v="99"/>
    <s v="Supplier A"/>
    <n v="0.27200000000000002"/>
    <n v="116263.67999999999"/>
    <n v="427440"/>
    <n v="416480"/>
    <n v="0.97435897435897434"/>
    <n v="374.60526315789474"/>
    <x v="2"/>
    <n v="33871720"/>
    <n v="0.44747413216951049"/>
    <x v="0"/>
  </r>
  <r>
    <s v="SP-0456"/>
    <s v="Cable"/>
    <s v="Electrical"/>
    <s v="Steel Melting Shop"/>
    <s v="Medium"/>
    <n v="37"/>
    <n v="177"/>
    <n v="154"/>
    <n v="120"/>
    <n v="3560"/>
    <n v="43"/>
    <n v="0"/>
    <n v="6"/>
    <s v="Supplier A"/>
    <n v="0.19"/>
    <n v="81168"/>
    <n v="427200"/>
    <n v="548240"/>
    <n v="1.2833333333333334"/>
    <n v="284.41558441558442"/>
    <x v="0"/>
    <n v="34298920"/>
    <n v="0.45311780628062193"/>
    <x v="0"/>
  </r>
  <r>
    <s v="SP-0161"/>
    <s v="Contactor"/>
    <s v="Electrical"/>
    <s v="Utilities"/>
    <s v="Medium"/>
    <n v="20"/>
    <n v="13"/>
    <n v="0"/>
    <n v="110"/>
    <n v="3840"/>
    <n v="3"/>
    <n v="0"/>
    <n v="480"/>
    <s v="Supplier C"/>
    <n v="0.19400000000000001"/>
    <n v="81945.600000000006"/>
    <n v="422400"/>
    <n v="0"/>
    <n v="0"/>
    <n v="0"/>
    <x v="1"/>
    <n v="34721320"/>
    <n v="0.45869806832306914"/>
    <x v="0"/>
  </r>
  <r>
    <s v="SP-0087"/>
    <s v="Filter"/>
    <s v="Hydraulic"/>
    <s v="Utilities"/>
    <s v="Medium"/>
    <n v="7"/>
    <n v="46"/>
    <n v="26"/>
    <n v="27"/>
    <n v="15640"/>
    <n v="10"/>
    <n v="0"/>
    <n v="42"/>
    <s v="Supplier H"/>
    <n v="0.17399999999999999"/>
    <n v="73476.72"/>
    <n v="422280"/>
    <n v="406640"/>
    <n v="0.96296296296296291"/>
    <n v="379.03846153846155"/>
    <x v="0"/>
    <n v="35143600"/>
    <n v="0.46427674506379979"/>
    <x v="0"/>
  </r>
  <r>
    <s v="SP-0306"/>
    <s v="Lubricant"/>
    <s v="Consumable"/>
    <s v="Blast Furnace"/>
    <s v="Low"/>
    <n v="50"/>
    <n v="53"/>
    <n v="45"/>
    <n v="58"/>
    <n v="7150"/>
    <n v="14"/>
    <n v="0"/>
    <n v="62"/>
    <s v="Supplier G"/>
    <n v="0.26800000000000002"/>
    <n v="111139.6"/>
    <n v="414700"/>
    <n v="321750"/>
    <n v="0.77586206896551724"/>
    <n v="470.44444444444446"/>
    <x v="0"/>
    <n v="35558300"/>
    <n v="0.46975528357943158"/>
    <x v="0"/>
  </r>
  <r>
    <s v="SP-0028"/>
    <s v="Fuse"/>
    <s v="Electrical"/>
    <s v="Rolling Mill"/>
    <s v="Medium"/>
    <n v="77"/>
    <n v="206"/>
    <n v="0"/>
    <n v="141"/>
    <n v="2940"/>
    <n v="17"/>
    <n v="2"/>
    <n v="690"/>
    <s v="Supplier H"/>
    <n v="0.29799999999999999"/>
    <n v="123532.92"/>
    <n v="414540"/>
    <n v="0"/>
    <n v="0"/>
    <n v="0"/>
    <x v="1"/>
    <n v="35972840"/>
    <n v="0.47523170835944128"/>
    <x v="0"/>
  </r>
  <r>
    <s v="SP-0249"/>
    <s v="Gasket"/>
    <s v="Consumable"/>
    <s v="Maintenance"/>
    <s v="Critical"/>
    <n v="264"/>
    <n v="531"/>
    <n v="3"/>
    <n v="416"/>
    <n v="990"/>
    <n v="15"/>
    <n v="0"/>
    <n v="270"/>
    <s v="Supplier E"/>
    <n v="0.153"/>
    <n v="63011.519999999997"/>
    <n v="411840"/>
    <n v="2970"/>
    <n v="7.2115384615384619E-3"/>
    <n v="50613.333333333328"/>
    <x v="2"/>
    <n v="36384680"/>
    <n v="0.48067246385082735"/>
    <x v="0"/>
  </r>
  <r>
    <s v="SP-0247"/>
    <s v="Relay"/>
    <s v="Electrical"/>
    <s v="Blast Furnace"/>
    <s v="Low"/>
    <n v="8"/>
    <n v="20"/>
    <n v="3"/>
    <n v="43"/>
    <n v="9520"/>
    <n v="19"/>
    <n v="0"/>
    <n v="228"/>
    <s v="Supplier E"/>
    <n v="0.17399999999999999"/>
    <n v="71228.639999999999"/>
    <n v="409360"/>
    <n v="28560"/>
    <n v="6.9767441860465115E-2"/>
    <n v="5231.666666666667"/>
    <x v="2"/>
    <n v="36794040"/>
    <n v="0.48608045644007025"/>
    <x v="0"/>
  </r>
  <r>
    <s v="SP-0190"/>
    <s v="Coupling"/>
    <s v="Mechanical"/>
    <s v="Steel Melting Shop"/>
    <s v="Medium"/>
    <n v="54"/>
    <n v="77"/>
    <n v="52"/>
    <n v="79"/>
    <n v="4590"/>
    <n v="31"/>
    <n v="0"/>
    <n v="129"/>
    <s v="Supplier A"/>
    <n v="0.16200000000000001"/>
    <n v="58742.82"/>
    <n v="362610"/>
    <n v="238680"/>
    <n v="0.65822784810126578"/>
    <n v="554.51923076923083"/>
    <x v="2"/>
    <n v="37156650"/>
    <n v="0.49087084190221936"/>
    <x v="0"/>
  </r>
  <r>
    <s v="SP-0203"/>
    <s v="Gear"/>
    <s v="Mechanical"/>
    <s v="Maintenance"/>
    <s v="Medium"/>
    <n v="58"/>
    <n v="60"/>
    <n v="47"/>
    <n v="71"/>
    <n v="5030"/>
    <n v="23"/>
    <n v="0"/>
    <n v="8"/>
    <s v="Supplier F"/>
    <n v="0.21299999999999999"/>
    <n v="76068.69"/>
    <n v="357130"/>
    <n v="236410"/>
    <n v="0.6619718309859155"/>
    <n v="551.38297872340422"/>
    <x v="0"/>
    <n v="37513780"/>
    <n v="0.49558883191931025"/>
    <x v="0"/>
  </r>
  <r>
    <s v="SP-0464"/>
    <s v="Controller"/>
    <s v="Instrumentation"/>
    <s v="Maintenance"/>
    <s v="High"/>
    <n v="33"/>
    <n v="65"/>
    <n v="45"/>
    <n v="53"/>
    <n v="6730"/>
    <n v="27"/>
    <n v="0"/>
    <n v="77"/>
    <s v="Supplier C"/>
    <n v="0.247"/>
    <n v="88102.43"/>
    <n v="356690"/>
    <n v="302850"/>
    <n v="0.84905660377358494"/>
    <n v="429.88888888888886"/>
    <x v="0"/>
    <n v="37870470"/>
    <n v="0.50030100916344022"/>
    <x v="0"/>
  </r>
  <r>
    <s v="SP-0269"/>
    <s v="Relay"/>
    <s v="Electrical"/>
    <s v="Maintenance"/>
    <s v="High"/>
    <n v="21"/>
    <n v="6"/>
    <n v="4"/>
    <n v="91"/>
    <n v="3780"/>
    <n v="28"/>
    <n v="0"/>
    <n v="332"/>
    <s v="Supplier B"/>
    <n v="0.248"/>
    <n v="85307.04"/>
    <n v="343980"/>
    <n v="15120"/>
    <n v="4.3956043956043959E-2"/>
    <n v="8303.75"/>
    <x v="2"/>
    <n v="38214450"/>
    <n v="0.50484527653408662"/>
    <x v="0"/>
  </r>
  <r>
    <s v="SP-0109"/>
    <s v="Bearing"/>
    <s v="Mechanical"/>
    <s v="Sinter Plant"/>
    <s v="Medium"/>
    <n v="82"/>
    <n v="164"/>
    <n v="177"/>
    <n v="69"/>
    <n v="4900"/>
    <n v="24"/>
    <n v="0"/>
    <n v="82"/>
    <s v="Supplier H"/>
    <n v="0.188"/>
    <n v="63562.8"/>
    <n v="338100"/>
    <n v="867300"/>
    <n v="2.5652173913043477"/>
    <n v="142.28813559322035"/>
    <x v="0"/>
    <n v="38552550"/>
    <n v="0.50931186412061924"/>
    <x v="0"/>
  </r>
  <r>
    <s v="SP-0412"/>
    <s v="Lubricant"/>
    <s v="Consumable"/>
    <s v="Rolling Mill"/>
    <s v="Critical"/>
    <n v="17"/>
    <n v="31"/>
    <n v="21"/>
    <n v="27"/>
    <n v="12090"/>
    <n v="29"/>
    <n v="0"/>
    <n v="32"/>
    <s v="Supplier G"/>
    <n v="0.27400000000000002"/>
    <n v="89441.82"/>
    <n v="326430"/>
    <n v="253890"/>
    <n v="0.77777777777777779"/>
    <n v="469.28571428571428"/>
    <x v="0"/>
    <n v="38878980"/>
    <n v="0.51362428111521219"/>
    <x v="0"/>
  </r>
  <r>
    <s v="SP-0118"/>
    <s v="Roller"/>
    <s v="Mechanical"/>
    <s v="Rolling Mill"/>
    <s v="Critical"/>
    <n v="17"/>
    <n v="9"/>
    <n v="6"/>
    <n v="20"/>
    <n v="15760"/>
    <n v="31"/>
    <n v="1"/>
    <n v="240"/>
    <s v="Supplier G"/>
    <n v="0.224"/>
    <n v="70604.800000000003"/>
    <n v="315200"/>
    <n v="94560"/>
    <n v="0.3"/>
    <n v="1216.6666666666667"/>
    <x v="2"/>
    <n v="39194180"/>
    <n v="0.51778834029082621"/>
    <x v="0"/>
  </r>
  <r>
    <s v="SP-0186"/>
    <s v="Temperature Sensor"/>
    <s v="Instrumentation"/>
    <s v="Rolling Mill"/>
    <s v="Medium"/>
    <n v="117"/>
    <n v="204"/>
    <n v="181"/>
    <n v="243"/>
    <n v="1250"/>
    <n v="8"/>
    <n v="0"/>
    <n v="49"/>
    <s v="Supplier E"/>
    <n v="0.20300000000000001"/>
    <n v="61661.250000000007"/>
    <n v="303750"/>
    <n v="226250"/>
    <n v="0.74485596707818935"/>
    <n v="490.02762430939225"/>
    <x v="0"/>
    <n v="39497930"/>
    <n v="0.52180113526098093"/>
    <x v="0"/>
  </r>
  <r>
    <s v="SP-0233"/>
    <s v="Transmitter"/>
    <s v="Instrumentation"/>
    <s v="Steel Melting Shop"/>
    <s v="Medium"/>
    <n v="125"/>
    <n v="434"/>
    <n v="291"/>
    <n v="268"/>
    <n v="1110"/>
    <n v="28"/>
    <n v="1"/>
    <n v="1"/>
    <s v="Supplier D"/>
    <n v="0.159"/>
    <n v="47299.32"/>
    <n v="297480"/>
    <n v="323010"/>
    <n v="1.085820895522388"/>
    <n v="336.15120274914091"/>
    <x v="0"/>
    <n v="39795410"/>
    <n v="0.52573109821644304"/>
    <x v="0"/>
  </r>
  <r>
    <s v="SP-0070"/>
    <s v="Grinding Wheel"/>
    <s v="Consumable"/>
    <s v="Maintenance"/>
    <s v="High"/>
    <n v="144"/>
    <n v="168"/>
    <n v="1"/>
    <n v="187"/>
    <n v="1540"/>
    <n v="5"/>
    <n v="1"/>
    <n v="317"/>
    <s v="Supplier G"/>
    <n v="0.29099999999999998"/>
    <n v="83802.179999999993"/>
    <n v="287980"/>
    <n v="1540"/>
    <n v="5.3475935828877002E-3"/>
    <n v="68255"/>
    <x v="2"/>
    <n v="40083390"/>
    <n v="0.52953555811934072"/>
    <x v="0"/>
  </r>
  <r>
    <s v="SP-0381"/>
    <s v="Gear"/>
    <s v="Mechanical"/>
    <s v="Utilities"/>
    <s v="Critical"/>
    <n v="38"/>
    <n v="41"/>
    <n v="32"/>
    <n v="47"/>
    <n v="6110"/>
    <n v="6"/>
    <n v="1"/>
    <n v="65"/>
    <s v="Supplier E"/>
    <n v="0.22800000000000001"/>
    <n v="65474.76"/>
    <n v="287170"/>
    <n v="195520"/>
    <n v="0.68085106382978722"/>
    <n v="536.09375"/>
    <x v="0"/>
    <n v="40370560"/>
    <n v="0.53332931723565125"/>
    <x v="0"/>
  </r>
  <r>
    <s v="SP-0489"/>
    <s v="Fastener"/>
    <s v="Consumable"/>
    <s v="Rolling Mill"/>
    <s v="Critical"/>
    <n v="24"/>
    <n v="10"/>
    <n v="0"/>
    <n v="146"/>
    <n v="1960"/>
    <n v="19"/>
    <n v="0"/>
    <n v="445"/>
    <s v="Supplier B"/>
    <n v="0.155"/>
    <n v="44354.8"/>
    <n v="286160"/>
    <n v="0"/>
    <n v="0"/>
    <n v="0"/>
    <x v="1"/>
    <n v="40656720"/>
    <n v="0.53710973339584711"/>
    <x v="0"/>
  </r>
  <r>
    <s v="SP-0277"/>
    <s v="Pneumatic Valve"/>
    <s v="Pneumatic"/>
    <s v="Rolling Mill"/>
    <s v="Medium"/>
    <n v="15"/>
    <n v="12"/>
    <n v="0"/>
    <n v="115"/>
    <n v="2420"/>
    <n v="26"/>
    <n v="1"/>
    <n v="632"/>
    <s v="Supplier H"/>
    <n v="0.21299999999999999"/>
    <n v="59277.9"/>
    <n v="278300"/>
    <n v="0"/>
    <n v="0"/>
    <n v="0"/>
    <x v="1"/>
    <n v="40935020"/>
    <n v="0.5407863122936053"/>
    <x v="0"/>
  </r>
  <r>
    <s v="SP-0013"/>
    <s v="Fitting"/>
    <s v="Pneumatic"/>
    <s v="Utilities"/>
    <s v="High"/>
    <n v="28"/>
    <n v="58"/>
    <n v="35"/>
    <n v="51"/>
    <n v="5360"/>
    <n v="6"/>
    <n v="0"/>
    <n v="76"/>
    <s v="Supplier D"/>
    <n v="0.17599999999999999"/>
    <n v="48111.360000000001"/>
    <n v="273360"/>
    <n v="187600"/>
    <n v="0.68627450980392157"/>
    <n v="531.85714285714289"/>
    <x v="0"/>
    <n v="41208380"/>
    <n v="0.54439762960402993"/>
    <x v="0"/>
  </r>
  <r>
    <s v="SP-0204"/>
    <s v="Electrode"/>
    <s v="Consumable"/>
    <s v="Blast Furnace"/>
    <s v="Medium"/>
    <n v="38"/>
    <n v="46"/>
    <n v="7"/>
    <n v="83"/>
    <n v="3270"/>
    <n v="16"/>
    <n v="0"/>
    <n v="268"/>
    <s v="Supplier E"/>
    <n v="0.24099999999999999"/>
    <n v="65409.81"/>
    <n v="271410"/>
    <n v="22890"/>
    <n v="8.4337349397590355E-2"/>
    <n v="4327.8571428571431"/>
    <x v="2"/>
    <n v="41479790"/>
    <n v="0.5479831857615598"/>
    <x v="0"/>
  </r>
  <r>
    <s v="SP-0471"/>
    <s v="Bearing"/>
    <s v="Mechanical"/>
    <s v="Rolling Mill"/>
    <s v="Low"/>
    <n v="18"/>
    <n v="17"/>
    <n v="18"/>
    <n v="17"/>
    <n v="15850"/>
    <n v="4"/>
    <n v="1"/>
    <n v="19"/>
    <s v="Supplier B"/>
    <n v="0.28399999999999997"/>
    <n v="76523.799999999988"/>
    <n v="269450"/>
    <n v="285300"/>
    <n v="1.0588235294117647"/>
    <n v="344.72222222222223"/>
    <x v="0"/>
    <n v="41749240"/>
    <n v="0.55154284865771841"/>
    <x v="0"/>
  </r>
  <r>
    <s v="SP-0338"/>
    <s v="Hydraulic Pump"/>
    <s v="Hydraulic"/>
    <s v="Utilities"/>
    <s v="Critical"/>
    <n v="46"/>
    <n v="35"/>
    <n v="28"/>
    <n v="53"/>
    <n v="5060"/>
    <n v="32"/>
    <n v="2"/>
    <n v="135"/>
    <s v="Supplier B"/>
    <n v="0.252"/>
    <n v="67581.36"/>
    <n v="268180"/>
    <n v="141680"/>
    <n v="0.52830188679245282"/>
    <n v="690.89285714285711"/>
    <x v="2"/>
    <n v="42017420"/>
    <n v="0.55508573377737636"/>
    <x v="0"/>
  </r>
  <r>
    <s v="SP-0079"/>
    <s v="Switch"/>
    <s v="Electrical"/>
    <s v="Maintenance"/>
    <s v="Low"/>
    <n v="12"/>
    <n v="102"/>
    <n v="80"/>
    <n v="34"/>
    <n v="7870"/>
    <n v="41"/>
    <n v="2"/>
    <n v="43"/>
    <s v="Supplier B"/>
    <n v="0.22700000000000001"/>
    <n v="60740.66"/>
    <n v="267580"/>
    <n v="629600"/>
    <n v="2.3529411764705883"/>
    <n v="155.125"/>
    <x v="0"/>
    <n v="42285000"/>
    <n v="0.55862069238845125"/>
    <x v="0"/>
  </r>
  <r>
    <s v="SP-0263"/>
    <s v="Seal"/>
    <s v="Mechanical"/>
    <s v="Maintenance"/>
    <s v="High"/>
    <n v="26"/>
    <n v="32"/>
    <n v="25"/>
    <n v="33"/>
    <n v="8040"/>
    <n v="28"/>
    <n v="0"/>
    <n v="189"/>
    <s v="Supplier D"/>
    <n v="0.29599999999999999"/>
    <n v="78534.720000000001"/>
    <n v="265320"/>
    <n v="201000"/>
    <n v="0.75757575757575757"/>
    <n v="481.8"/>
    <x v="2"/>
    <n v="42550320"/>
    <n v="0.56212579448386346"/>
    <x v="0"/>
  </r>
  <r>
    <s v="SP-0373"/>
    <s v="Bearing"/>
    <s v="Mechanical"/>
    <s v="Maintenance"/>
    <s v="Medium"/>
    <n v="58"/>
    <n v="38"/>
    <n v="33"/>
    <n v="63"/>
    <n v="4190"/>
    <n v="22"/>
    <n v="0"/>
    <n v="24"/>
    <s v="Supplier D"/>
    <n v="0.27100000000000002"/>
    <n v="71535.87000000001"/>
    <n v="263970"/>
    <n v="138270"/>
    <n v="0.52380952380952384"/>
    <n v="696.81818181818176"/>
    <x v="0"/>
    <n v="42814290"/>
    <n v="0.56561306193496375"/>
    <x v="0"/>
  </r>
  <r>
    <s v="SP-0339"/>
    <s v="Contactor"/>
    <s v="Electrical"/>
    <s v="Blast Furnace"/>
    <s v="Medium"/>
    <n v="176"/>
    <n v="203"/>
    <n v="179"/>
    <n v="200"/>
    <n v="1290"/>
    <n v="21"/>
    <n v="1"/>
    <n v="130"/>
    <s v="Supplier F"/>
    <n v="0.23400000000000001"/>
    <n v="60372"/>
    <n v="258000"/>
    <n v="230910"/>
    <n v="0.89500000000000002"/>
    <n v="407.82122905027933"/>
    <x v="2"/>
    <n v="43072290"/>
    <n v="0.56902146062566306"/>
    <x v="0"/>
  </r>
  <r>
    <s v="SP-0014"/>
    <s v="Gear"/>
    <s v="Mechanical"/>
    <s v="Maintenance"/>
    <s v="High"/>
    <n v="59"/>
    <n v="93"/>
    <n v="0"/>
    <n v="88"/>
    <n v="2910"/>
    <n v="36"/>
    <n v="0"/>
    <n v="436"/>
    <s v="Supplier C"/>
    <n v="0.248"/>
    <n v="63507.839999999997"/>
    <n v="256080"/>
    <n v="0"/>
    <n v="0"/>
    <n v="0"/>
    <x v="1"/>
    <n v="43328370"/>
    <n v="0.57240449448889674"/>
    <x v="0"/>
  </r>
  <r>
    <s v="SP-0221"/>
    <s v="Temperature Sensor"/>
    <s v="Instrumentation"/>
    <s v="Steel Melting Shop"/>
    <s v="Medium"/>
    <n v="19"/>
    <n v="31"/>
    <n v="19"/>
    <n v="31"/>
    <n v="8210"/>
    <n v="22"/>
    <n v="1"/>
    <n v="95"/>
    <s v="Supplier D"/>
    <n v="0.23400000000000001"/>
    <n v="59555.34"/>
    <n v="254510"/>
    <n v="155990"/>
    <n v="0.61290322580645162"/>
    <n v="595.52631578947364"/>
    <x v="2"/>
    <n v="43582880"/>
    <n v="0.57576678732133812"/>
    <x v="0"/>
  </r>
  <r>
    <s v="SP-0289"/>
    <s v="Gear"/>
    <s v="Mechanical"/>
    <s v="Utilities"/>
    <s v="Low"/>
    <n v="87"/>
    <n v="87"/>
    <n v="84"/>
    <n v="90"/>
    <n v="2780"/>
    <n v="18"/>
    <n v="0"/>
    <n v="79"/>
    <s v="Supplier E"/>
    <n v="0.19700000000000001"/>
    <n v="49289.4"/>
    <n v="250200"/>
    <n v="233520"/>
    <n v="0.93333333333333335"/>
    <n v="391.07142857142856"/>
    <x v="0"/>
    <n v="43833080"/>
    <n v="0.57907214140045815"/>
    <x v="0"/>
  </r>
  <r>
    <s v="SP-0282"/>
    <s v="Cable"/>
    <s v="Electrical"/>
    <s v="Rolling Mill"/>
    <s v="Low"/>
    <n v="29"/>
    <n v="84"/>
    <n v="70"/>
    <n v="43"/>
    <n v="5790"/>
    <n v="39"/>
    <n v="0"/>
    <n v="42"/>
    <s v="Supplier F"/>
    <n v="0.27"/>
    <n v="67221.900000000009"/>
    <n v="248970"/>
    <n v="405300"/>
    <n v="1.6279069767441861"/>
    <n v="224.21428571428572"/>
    <x v="0"/>
    <n v="44082050"/>
    <n v="0.58236124613698304"/>
    <x v="0"/>
  </r>
  <r>
    <s v="SP-0253"/>
    <s v="Actuator"/>
    <s v="Pneumatic"/>
    <s v="Utilities"/>
    <s v="Medium"/>
    <n v="28"/>
    <n v="102"/>
    <n v="66"/>
    <n v="64"/>
    <n v="3890"/>
    <n v="21"/>
    <n v="0"/>
    <n v="86"/>
    <s v="Supplier G"/>
    <n v="0.253"/>
    <n v="62986.879999999997"/>
    <n v="248960"/>
    <n v="256740"/>
    <n v="1.03125"/>
    <n v="353.93939393939394"/>
    <x v="0"/>
    <n v="44331010"/>
    <n v="0.58565021876503143"/>
    <x v="0"/>
  </r>
  <r>
    <s v="SP-0476"/>
    <s v="Grinding Wheel"/>
    <s v="Consumable"/>
    <s v="Maintenance"/>
    <s v="Medium"/>
    <n v="22"/>
    <n v="9"/>
    <n v="6"/>
    <n v="25"/>
    <n v="9850"/>
    <n v="19"/>
    <n v="0"/>
    <n v="43"/>
    <s v="Supplier E"/>
    <n v="0.187"/>
    <n v="46048.75"/>
    <n v="246250"/>
    <n v="59100"/>
    <n v="0.24"/>
    <n v="1520.8333333333335"/>
    <x v="0"/>
    <n v="44577260"/>
    <n v="0.58890338999597991"/>
    <x v="0"/>
  </r>
  <r>
    <s v="SP-0404"/>
    <s v="Actuator"/>
    <s v="Pneumatic"/>
    <s v="Maintenance"/>
    <s v="Medium"/>
    <n v="97"/>
    <n v="109"/>
    <n v="92"/>
    <n v="114"/>
    <n v="2160"/>
    <n v="31"/>
    <n v="0"/>
    <n v="97"/>
    <s v="Supplier G"/>
    <n v="0.25700000000000001"/>
    <n v="63283.68"/>
    <n v="246240"/>
    <n v="198720"/>
    <n v="0.80701754385964908"/>
    <n v="452.28260869565219"/>
    <x v="2"/>
    <n v="44823500"/>
    <n v="0.59215642911845201"/>
    <x v="0"/>
  </r>
  <r>
    <s v="SP-0076"/>
    <s v="Hydraulic Pump"/>
    <s v="Hydraulic"/>
    <s v="Sinter Plant"/>
    <s v="Low"/>
    <n v="23"/>
    <n v="11"/>
    <n v="5"/>
    <n v="24"/>
    <n v="10010"/>
    <n v="22"/>
    <n v="0"/>
    <n v="303"/>
    <s v="Supplier A"/>
    <n v="0.214"/>
    <n v="51411.360000000001"/>
    <n v="240240"/>
    <n v="50050"/>
    <n v="0.20833333333333334"/>
    <n v="1752"/>
    <x v="2"/>
    <n v="45063740"/>
    <n v="0.59533020315509388"/>
    <x v="0"/>
  </r>
  <r>
    <s v="SP-0369"/>
    <s v="Bearing"/>
    <s v="Mechanical"/>
    <s v="Sinter Plant"/>
    <s v="Low"/>
    <n v="34"/>
    <n v="39"/>
    <n v="37"/>
    <n v="36"/>
    <n v="6610"/>
    <n v="44"/>
    <n v="1"/>
    <n v="42"/>
    <s v="Supplier G"/>
    <n v="0.23"/>
    <n v="54730.8"/>
    <n v="237960"/>
    <n v="244570"/>
    <n v="1.0277777777777777"/>
    <n v="355.13513513513516"/>
    <x v="0"/>
    <n v="45301700"/>
    <n v="0.59847385645912032"/>
    <x v="0"/>
  </r>
  <r>
    <s v="SP-0010"/>
    <s v="Hydraulic Pump"/>
    <s v="Hydraulic"/>
    <s v="Utilities"/>
    <s v="High"/>
    <n v="320"/>
    <n v="596"/>
    <n v="0"/>
    <n v="316"/>
    <n v="740"/>
    <n v="6"/>
    <n v="0"/>
    <n v="492"/>
    <s v="Supplier F"/>
    <n v="0.28999999999999998"/>
    <n v="67813.599999999991"/>
    <n v="233840"/>
    <n v="0"/>
    <n v="0"/>
    <n v="0"/>
    <x v="1"/>
    <n v="45535540"/>
    <n v="0.60156308107087664"/>
    <x v="0"/>
  </r>
  <r>
    <s v="SP-0038"/>
    <s v="Bearing"/>
    <s v="Mechanical"/>
    <s v="Rolling Mill"/>
    <s v="Medium"/>
    <n v="24"/>
    <n v="15"/>
    <n v="10"/>
    <n v="29"/>
    <n v="8030"/>
    <n v="28"/>
    <n v="0"/>
    <n v="146"/>
    <s v="Supplier G"/>
    <n v="0.26900000000000002"/>
    <n v="62642.030000000013"/>
    <n v="232870"/>
    <n v="80300"/>
    <n v="0.34482758620689657"/>
    <n v="1058.5"/>
    <x v="2"/>
    <n v="45768410"/>
    <n v="0.6046394911604237"/>
    <x v="0"/>
  </r>
  <r>
    <s v="SP-0097"/>
    <s v="Temperature Sensor"/>
    <s v="Instrumentation"/>
    <s v="Blast Furnace"/>
    <s v="High"/>
    <n v="17"/>
    <n v="3"/>
    <n v="3"/>
    <n v="17"/>
    <n v="13540"/>
    <n v="20"/>
    <n v="0"/>
    <n v="15"/>
    <s v="Supplier C"/>
    <n v="0.26200000000000001"/>
    <n v="60307.16"/>
    <n v="230180"/>
    <n v="40620"/>
    <n v="0.17647058823529413"/>
    <n v="2068.333333333333"/>
    <x v="0"/>
    <n v="45998590"/>
    <n v="0.60768036406982351"/>
    <x v="0"/>
  </r>
  <r>
    <s v="SP-0432"/>
    <s v="Valve"/>
    <s v="Hydraulic"/>
    <s v="Blast Furnace"/>
    <s v="Medium"/>
    <n v="53"/>
    <n v="116"/>
    <n v="3"/>
    <n v="56"/>
    <n v="4060"/>
    <n v="18"/>
    <n v="1"/>
    <n v="255"/>
    <s v="Supplier A"/>
    <n v="0.24399999999999999"/>
    <n v="55475.839999999997"/>
    <n v="227360"/>
    <n v="12180"/>
    <n v="5.3571428571428568E-2"/>
    <n v="6813.3333333333339"/>
    <x v="2"/>
    <n v="46225950"/>
    <n v="0.61068398238888322"/>
    <x v="0"/>
  </r>
  <r>
    <s v="SP-0159"/>
    <s v="Bearing"/>
    <s v="Mechanical"/>
    <s v="Utilities"/>
    <s v="Medium"/>
    <n v="53"/>
    <n v="67"/>
    <n v="49"/>
    <n v="71"/>
    <n v="3180"/>
    <n v="18"/>
    <n v="0"/>
    <n v="21"/>
    <s v="Supplier D"/>
    <n v="0.155"/>
    <n v="34995.9"/>
    <n v="225780"/>
    <n v="155820"/>
    <n v="0.6901408450704225"/>
    <n v="528.87755102040819"/>
    <x v="0"/>
    <n v="46451730"/>
    <n v="0.61366672756867424"/>
    <x v="0"/>
  </r>
  <r>
    <s v="SP-0035"/>
    <s v="Gasket"/>
    <s v="Consumable"/>
    <s v="Maintenance"/>
    <s v="Medium"/>
    <n v="22"/>
    <n v="19"/>
    <n v="14"/>
    <n v="27"/>
    <n v="8360"/>
    <n v="33"/>
    <n v="0"/>
    <n v="34"/>
    <s v="Supplier D"/>
    <n v="0.24099999999999999"/>
    <n v="54398.52"/>
    <n v="225720"/>
    <n v="117040"/>
    <n v="0.51851851851851849"/>
    <n v="703.92857142857144"/>
    <x v="0"/>
    <n v="46677450"/>
    <n v="0.61664868009760698"/>
    <x v="0"/>
  </r>
  <r>
    <s v="SP-0142"/>
    <s v="Coupling"/>
    <s v="Mechanical"/>
    <s v="Steel Melting Shop"/>
    <s v="Low"/>
    <n v="24"/>
    <n v="59"/>
    <n v="59"/>
    <n v="24"/>
    <n v="9020"/>
    <n v="31"/>
    <n v="0"/>
    <n v="58"/>
    <s v="Supplier E"/>
    <n v="0.153"/>
    <n v="33121.440000000002"/>
    <n v="216480"/>
    <n v="532180"/>
    <n v="2.4583333333333335"/>
    <n v="148.47457627118644"/>
    <x v="0"/>
    <n v="46893930"/>
    <n v="0.61950856439436119"/>
    <x v="0"/>
  </r>
  <r>
    <s v="SP-0494"/>
    <s v="Roller"/>
    <s v="Mechanical"/>
    <s v="Steel Melting Shop"/>
    <s v="Medium"/>
    <n v="20"/>
    <n v="31"/>
    <n v="20"/>
    <n v="31"/>
    <n v="6910"/>
    <n v="42"/>
    <n v="1"/>
    <n v="11"/>
    <s v="Supplier C"/>
    <n v="0.159"/>
    <n v="34059.39"/>
    <n v="214210"/>
    <n v="138200"/>
    <n v="0.64516129032258063"/>
    <n v="565.75"/>
    <x v="0"/>
    <n v="47108140"/>
    <n v="0.62233846006697635"/>
    <x v="0"/>
  </r>
  <r>
    <s v="SP-0486"/>
    <s v="Lubricant"/>
    <s v="Consumable"/>
    <s v="Rolling Mill"/>
    <s v="Medium"/>
    <n v="21"/>
    <n v="12"/>
    <n v="0"/>
    <n v="128"/>
    <n v="1660"/>
    <n v="17"/>
    <n v="0"/>
    <n v="472"/>
    <s v="Supplier G"/>
    <n v="0.29099999999999998"/>
    <n v="61831.679999999993"/>
    <n v="212480"/>
    <n v="0"/>
    <n v="0"/>
    <n v="0"/>
    <x v="1"/>
    <n v="47320620"/>
    <n v="0.62514550097317712"/>
    <x v="0"/>
  </r>
  <r>
    <s v="SP-0313"/>
    <s v="Seal"/>
    <s v="Mechanical"/>
    <s v="Sinter Plant"/>
    <s v="Low"/>
    <n v="66"/>
    <n v="78"/>
    <n v="60"/>
    <n v="84"/>
    <n v="2500"/>
    <n v="21"/>
    <n v="0"/>
    <n v="2"/>
    <s v="Supplier D"/>
    <n v="0.23"/>
    <n v="48300"/>
    <n v="210000"/>
    <n v="150000"/>
    <n v="0.7142857142857143"/>
    <n v="511"/>
    <x v="0"/>
    <n v="47530620"/>
    <n v="0.62791977897723472"/>
    <x v="0"/>
  </r>
  <r>
    <s v="SP-0156"/>
    <s v="Bearing"/>
    <s v="Mechanical"/>
    <s v="Sinter Plant"/>
    <s v="High"/>
    <n v="18"/>
    <n v="9"/>
    <n v="6"/>
    <n v="21"/>
    <n v="9920"/>
    <n v="40"/>
    <n v="1"/>
    <n v="126"/>
    <s v="Supplier A"/>
    <n v="0.25"/>
    <n v="52080"/>
    <n v="208320"/>
    <n v="59520"/>
    <n v="0.2857142857142857"/>
    <n v="1277.5"/>
    <x v="2"/>
    <n v="47738940"/>
    <n v="0.63067186275725984"/>
    <x v="0"/>
  </r>
  <r>
    <s v="SP-0390"/>
    <s v="Fitting"/>
    <s v="Pneumatic"/>
    <s v="Utilities"/>
    <s v="Medium"/>
    <n v="18"/>
    <n v="42"/>
    <n v="25"/>
    <n v="35"/>
    <n v="5930"/>
    <n v="43"/>
    <n v="0"/>
    <n v="8"/>
    <s v="Supplier C"/>
    <n v="0.21299999999999999"/>
    <n v="44208.15"/>
    <n v="207550"/>
    <n v="148250"/>
    <n v="0.7142857142857143"/>
    <n v="511"/>
    <x v="0"/>
    <n v="47946490"/>
    <n v="0.63341377418460332"/>
    <x v="0"/>
  </r>
  <r>
    <s v="SP-0342"/>
    <s v="Cable"/>
    <s v="Electrical"/>
    <s v="Steel Melting Shop"/>
    <s v="High"/>
    <n v="43"/>
    <n v="95"/>
    <n v="63"/>
    <n v="75"/>
    <n v="2760"/>
    <n v="44"/>
    <n v="0"/>
    <n v="81"/>
    <s v="Supplier E"/>
    <n v="0.29299999999999998"/>
    <n v="60651"/>
    <n v="207000"/>
    <n v="173880"/>
    <n v="0.84"/>
    <n v="434.52380952380952"/>
    <x v="0"/>
    <n v="48153490"/>
    <n v="0.63614841964574587"/>
    <x v="0"/>
  </r>
  <r>
    <s v="SP-0436"/>
    <s v="Valve"/>
    <s v="Hydraulic"/>
    <s v="Blast Furnace"/>
    <s v="Low"/>
    <n v="64"/>
    <n v="236"/>
    <n v="7"/>
    <n v="162"/>
    <n v="1270"/>
    <n v="34"/>
    <n v="1"/>
    <n v="154"/>
    <s v="Supplier A"/>
    <n v="0.20699999999999999"/>
    <n v="42588.18"/>
    <n v="205740"/>
    <n v="8890"/>
    <n v="4.3209876543209874E-2"/>
    <n v="8447.1428571428569"/>
    <x v="2"/>
    <n v="48359230"/>
    <n v="0.63886641943886391"/>
    <x v="0"/>
  </r>
  <r>
    <s v="SP-0303"/>
    <s v="Temperature Sensor"/>
    <s v="Instrumentation"/>
    <s v="Maintenance"/>
    <s v="Medium"/>
    <n v="63"/>
    <n v="126"/>
    <n v="78"/>
    <n v="111"/>
    <n v="1850"/>
    <n v="6"/>
    <n v="0"/>
    <n v="5"/>
    <s v="Supplier H"/>
    <n v="0.23400000000000001"/>
    <n v="48051.9"/>
    <n v="205350"/>
    <n v="144300"/>
    <n v="0.70270270270270274"/>
    <n v="519.42307692307691"/>
    <x v="0"/>
    <n v="48564580"/>
    <n v="0.64157926700140311"/>
    <x v="0"/>
  </r>
  <r>
    <s v="SP-0388"/>
    <s v="Belt"/>
    <s v="Mechanical"/>
    <s v="Sinter Plant"/>
    <s v="High"/>
    <n v="37"/>
    <n v="69"/>
    <n v="2"/>
    <n v="82"/>
    <n v="2500"/>
    <n v="41"/>
    <n v="0"/>
    <n v="261"/>
    <s v="Supplier F"/>
    <n v="0.214"/>
    <n v="43870"/>
    <n v="205000"/>
    <n v="5000"/>
    <n v="2.4390243902439025E-2"/>
    <n v="14965"/>
    <x v="2"/>
    <n v="48769580"/>
    <n v="0.64428749076726888"/>
    <x v="0"/>
  </r>
  <r>
    <s v="SP-0176"/>
    <s v="Belt"/>
    <s v="Mechanical"/>
    <s v="Sinter Plant"/>
    <s v="Medium"/>
    <n v="104"/>
    <n v="455"/>
    <n v="350"/>
    <n v="209"/>
    <n v="980"/>
    <n v="3"/>
    <n v="0"/>
    <n v="95"/>
    <s v="Supplier H"/>
    <n v="0.23799999999999999"/>
    <n v="48747.16"/>
    <n v="204820"/>
    <n v="343000"/>
    <n v="1.6746411483253589"/>
    <n v="217.95714285714286"/>
    <x v="2"/>
    <n v="48974400"/>
    <n v="0.64699333658055969"/>
    <x v="0"/>
  </r>
  <r>
    <s v="SP-0080"/>
    <s v="Bearing"/>
    <s v="Mechanical"/>
    <s v="Blast Furnace"/>
    <s v="Medium"/>
    <n v="126"/>
    <n v="129"/>
    <n v="117"/>
    <n v="138"/>
    <n v="1470"/>
    <n v="42"/>
    <n v="0"/>
    <n v="62"/>
    <s v="Supplier E"/>
    <n v="0.29699999999999999"/>
    <n v="60249.42"/>
    <n v="202860"/>
    <n v="171990"/>
    <n v="0.84782608695652173"/>
    <n v="430.5128205128205"/>
    <x v="0"/>
    <n v="49177260"/>
    <n v="0.64967328913247935"/>
    <x v="0"/>
  </r>
  <r>
    <s v="SP-0117"/>
    <s v="Pneumatic Valve"/>
    <s v="Pneumatic"/>
    <s v="Blast Furnace"/>
    <s v="Medium"/>
    <n v="20"/>
    <n v="5"/>
    <n v="1"/>
    <n v="71"/>
    <n v="2850"/>
    <n v="33"/>
    <n v="0"/>
    <n v="103"/>
    <s v="Supplier F"/>
    <n v="0.27700000000000002"/>
    <n v="56050.95"/>
    <n v="202350"/>
    <n v="2850"/>
    <n v="1.4084507042253521E-2"/>
    <n v="25915"/>
    <x v="2"/>
    <n v="49379610"/>
    <n v="0.65234650415210338"/>
    <x v="0"/>
  </r>
  <r>
    <s v="SP-0332"/>
    <s v="Valve"/>
    <s v="Hydraulic"/>
    <s v="Utilities"/>
    <s v="Medium"/>
    <n v="30"/>
    <n v="48"/>
    <n v="47"/>
    <n v="31"/>
    <n v="6510"/>
    <n v="38"/>
    <n v="0"/>
    <n v="38"/>
    <s v="Supplier H"/>
    <n v="0.255"/>
    <n v="51461.55"/>
    <n v="201810"/>
    <n v="305970"/>
    <n v="1.5161290322580645"/>
    <n v="240.74468085106383"/>
    <x v="0"/>
    <n v="49581420"/>
    <n v="0.65501258531400264"/>
    <x v="0"/>
  </r>
  <r>
    <s v="SP-0383"/>
    <s v="Pressure Sensor"/>
    <s v="Instrumentation"/>
    <s v="Blast Furnace"/>
    <s v="Low"/>
    <n v="31"/>
    <n v="28"/>
    <n v="18"/>
    <n v="41"/>
    <n v="4910"/>
    <n v="49"/>
    <n v="0"/>
    <n v="57"/>
    <s v="Supplier C"/>
    <n v="0.23699999999999999"/>
    <n v="47710.47"/>
    <n v="201310"/>
    <n v="88380"/>
    <n v="0.43902439024390244"/>
    <n v="831.38888888888891"/>
    <x v="0"/>
    <n v="49782730"/>
    <n v="0.65767206105208287"/>
    <x v="0"/>
  </r>
  <r>
    <s v="SP-0230"/>
    <s v="Controller"/>
    <s v="Instrumentation"/>
    <s v="Rolling Mill"/>
    <s v="Critical"/>
    <n v="29"/>
    <n v="39"/>
    <n v="31"/>
    <n v="37"/>
    <n v="5370"/>
    <n v="27"/>
    <n v="0"/>
    <n v="238"/>
    <s v="Supplier E"/>
    <n v="0.23200000000000001"/>
    <n v="46096.08"/>
    <n v="198690"/>
    <n v="166470"/>
    <n v="0.83783783783783783"/>
    <n v="435.64516129032256"/>
    <x v="2"/>
    <n v="49981420"/>
    <n v="0.6602969243693505"/>
    <x v="0"/>
  </r>
  <r>
    <s v="SP-0214"/>
    <s v="Roller"/>
    <s v="Mechanical"/>
    <s v="Steel Melting Shop"/>
    <s v="Medium"/>
    <n v="23"/>
    <n v="6"/>
    <n v="4"/>
    <n v="25"/>
    <n v="7920"/>
    <n v="36"/>
    <n v="0"/>
    <n v="98"/>
    <s v="Supplier B"/>
    <n v="0.218"/>
    <n v="43164"/>
    <n v="198000"/>
    <n v="31680"/>
    <n v="0.16"/>
    <n v="2281.25"/>
    <x v="2"/>
    <n v="50179420"/>
    <n v="0.66291267220174765"/>
    <x v="0"/>
  </r>
  <r>
    <s v="SP-0325"/>
    <s v="Fastener"/>
    <s v="Consumable"/>
    <s v="Rolling Mill"/>
    <s v="High"/>
    <n v="14"/>
    <n v="55"/>
    <n v="4"/>
    <n v="98"/>
    <n v="2020"/>
    <n v="54"/>
    <n v="0"/>
    <n v="188"/>
    <s v="Supplier D"/>
    <n v="0.20599999999999999"/>
    <n v="40779.759999999987"/>
    <n v="197960"/>
    <n v="8080"/>
    <n v="4.0816326530612242E-2"/>
    <n v="8942.5"/>
    <x v="2"/>
    <n v="50377380"/>
    <n v="0.66552789160023917"/>
    <x v="0"/>
  </r>
  <r>
    <s v="SP-0268"/>
    <s v="Cylinder"/>
    <s v="Hydraulic"/>
    <s v="Steel Melting Shop"/>
    <s v="Critical"/>
    <n v="36"/>
    <n v="31"/>
    <n v="22"/>
    <n v="45"/>
    <n v="4380"/>
    <n v="24"/>
    <n v="0"/>
    <n v="136"/>
    <s v="Supplier D"/>
    <n v="0.27600000000000002"/>
    <n v="54399.600000000013"/>
    <n v="197100"/>
    <n v="96360"/>
    <n v="0.48888888888888887"/>
    <n v="746.59090909090912"/>
    <x v="2"/>
    <n v="50574480"/>
    <n v="0.66813174966976185"/>
    <x v="0"/>
  </r>
  <r>
    <s v="SP-0017"/>
    <s v="Fuse"/>
    <s v="Electrical"/>
    <s v="Utilities"/>
    <s v="Medium"/>
    <n v="18"/>
    <n v="36"/>
    <n v="27"/>
    <n v="27"/>
    <n v="7260"/>
    <n v="44"/>
    <n v="0"/>
    <n v="1"/>
    <s v="Supplier C"/>
    <n v="0.183"/>
    <n v="35871.660000000003"/>
    <n v="196020"/>
    <n v="196020"/>
    <n v="1"/>
    <n v="365"/>
    <x v="0"/>
    <n v="50770500"/>
    <n v="0.67072134002383499"/>
    <x v="0"/>
  </r>
  <r>
    <s v="SP-0180"/>
    <s v="Coupling"/>
    <s v="Mechanical"/>
    <s v="Maintenance"/>
    <s v="Medium"/>
    <n v="24"/>
    <n v="72"/>
    <n v="4"/>
    <n v="56"/>
    <n v="3460"/>
    <n v="20"/>
    <n v="0"/>
    <n v="131"/>
    <s v="Supplier C"/>
    <n v="0.26700000000000002"/>
    <n v="51733.920000000013"/>
    <n v="193760"/>
    <n v="13840"/>
    <n v="7.1428571428571425E-2"/>
    <n v="5110"/>
    <x v="2"/>
    <n v="50964260"/>
    <n v="0.67328107386224545"/>
    <x v="0"/>
  </r>
  <r>
    <s v="SP-0434"/>
    <s v="Belt"/>
    <s v="Mechanical"/>
    <s v="Utilities"/>
    <s v="Medium"/>
    <n v="14"/>
    <n v="11"/>
    <n v="8"/>
    <n v="17"/>
    <n v="11360"/>
    <n v="37"/>
    <n v="0"/>
    <n v="86"/>
    <s v="Supplier C"/>
    <n v="0.27"/>
    <n v="52142.400000000001"/>
    <n v="193120"/>
    <n v="90880"/>
    <n v="0.47058823529411764"/>
    <n v="775.625"/>
    <x v="0"/>
    <n v="51157380"/>
    <n v="0.67583235275816733"/>
    <x v="0"/>
  </r>
  <r>
    <s v="SP-0205"/>
    <s v="Pressure Sensor"/>
    <s v="Instrumentation"/>
    <s v="Steel Melting Shop"/>
    <s v="High"/>
    <n v="28"/>
    <n v="54"/>
    <n v="33"/>
    <n v="49"/>
    <n v="3940"/>
    <n v="17"/>
    <n v="0"/>
    <n v="155"/>
    <s v="Supplier A"/>
    <n v="0.16600000000000001"/>
    <n v="32047.96"/>
    <n v="193060"/>
    <n v="130020"/>
    <n v="0.67346938775510201"/>
    <n v="541.969696969697"/>
    <x v="2"/>
    <n v="51350440"/>
    <n v="0.67838283900323093"/>
    <x v="0"/>
  </r>
  <r>
    <s v="SP-0385"/>
    <s v="Hose"/>
    <s v="Hydraulic"/>
    <s v="Maintenance"/>
    <s v="Low"/>
    <n v="51"/>
    <n v="62"/>
    <n v="0"/>
    <n v="71"/>
    <n v="2710"/>
    <n v="23"/>
    <n v="2"/>
    <n v="691"/>
    <s v="Supplier A"/>
    <n v="0.245"/>
    <n v="47140.45"/>
    <n v="192410"/>
    <n v="0"/>
    <n v="0"/>
    <n v="0"/>
    <x v="1"/>
    <n v="51542850"/>
    <n v="0.68092473819732968"/>
    <x v="0"/>
  </r>
  <r>
    <s v="SP-0026"/>
    <s v="Filter"/>
    <s v="Hydraulic"/>
    <s v="Rolling Mill"/>
    <s v="Medium"/>
    <n v="70"/>
    <n v="47"/>
    <n v="55"/>
    <n v="62"/>
    <n v="3070"/>
    <n v="26"/>
    <n v="0"/>
    <n v="12"/>
    <s v="Supplier H"/>
    <n v="0.28599999999999998"/>
    <n v="54437.24"/>
    <n v="190340"/>
    <n v="168850"/>
    <n v="0.88709677419354838"/>
    <n v="411.45454545454544"/>
    <x v="0"/>
    <n v="51733190"/>
    <n v="0.68343929093681688"/>
    <x v="0"/>
  </r>
  <r>
    <s v="SP-0092"/>
    <s v="Cylinder"/>
    <s v="Hydraulic"/>
    <s v="Rolling Mill"/>
    <s v="Medium"/>
    <n v="18"/>
    <n v="9"/>
    <n v="5"/>
    <n v="22"/>
    <n v="8620"/>
    <n v="30"/>
    <n v="2"/>
    <n v="226"/>
    <s v="Supplier G"/>
    <n v="0.24299999999999999"/>
    <n v="46082.52"/>
    <n v="189640"/>
    <n v="43100"/>
    <n v="0.22727272727272727"/>
    <n v="1606"/>
    <x v="2"/>
    <n v="51922830"/>
    <n v="0.68594459608295721"/>
    <x v="0"/>
  </r>
  <r>
    <s v="SP-0202"/>
    <s v="Gear"/>
    <s v="Mechanical"/>
    <s v="Blast Furnace"/>
    <s v="Medium"/>
    <n v="29"/>
    <n v="16"/>
    <n v="14"/>
    <n v="31"/>
    <n v="6050"/>
    <n v="14"/>
    <n v="0"/>
    <n v="127"/>
    <s v="Supplier C"/>
    <n v="0.29899999999999999"/>
    <n v="56077.45"/>
    <n v="187550"/>
    <n v="84700"/>
    <n v="0.45161290322580644"/>
    <n v="808.21428571428578"/>
    <x v="2"/>
    <n v="52110380"/>
    <n v="0.68842229055753346"/>
    <x v="0"/>
  </r>
  <r>
    <s v="SP-0451"/>
    <s v="Filter"/>
    <s v="Hydraulic"/>
    <s v="Steel Melting Shop"/>
    <s v="Medium"/>
    <n v="32"/>
    <n v="32"/>
    <n v="25"/>
    <n v="39"/>
    <n v="4790"/>
    <n v="14"/>
    <n v="0"/>
    <n v="32"/>
    <s v="Supplier F"/>
    <n v="0.20300000000000001"/>
    <n v="37922.43"/>
    <n v="186810"/>
    <n v="119750"/>
    <n v="0.64102564102564108"/>
    <n v="569.4"/>
    <x v="0"/>
    <n v="52297190"/>
    <n v="0.6908902090048572"/>
    <x v="0"/>
  </r>
  <r>
    <s v="SP-0034"/>
    <s v="Lubricant"/>
    <s v="Consumable"/>
    <s v="Rolling Mill"/>
    <s v="Medium"/>
    <n v="58"/>
    <n v="53"/>
    <n v="55"/>
    <n v="56"/>
    <n v="3290"/>
    <n v="25"/>
    <n v="0"/>
    <n v="17"/>
    <s v="Supplier F"/>
    <n v="0.19600000000000001"/>
    <n v="36111.040000000001"/>
    <n v="184240"/>
    <n v="180950"/>
    <n v="0.9821428571428571"/>
    <n v="371.63636363636363"/>
    <x v="0"/>
    <n v="52481430"/>
    <n v="0.69332417557375037"/>
    <x v="0"/>
  </r>
  <r>
    <s v="SP-0403"/>
    <s v="Motor"/>
    <s v="Electrical"/>
    <s v="Rolling Mill"/>
    <s v="High"/>
    <n v="11"/>
    <n v="45"/>
    <n v="0"/>
    <n v="61"/>
    <n v="3020"/>
    <n v="17"/>
    <n v="0"/>
    <n v="535"/>
    <s v="Supplier F"/>
    <n v="0.29099999999999998"/>
    <n v="53608.02"/>
    <n v="184220"/>
    <n v="0"/>
    <n v="0"/>
    <n v="0"/>
    <x v="1"/>
    <n v="52665650"/>
    <n v="0.69575787792569088"/>
    <x v="0"/>
  </r>
  <r>
    <s v="SP-0302"/>
    <s v="Temperature Sensor"/>
    <s v="Instrumentation"/>
    <s v="Maintenance"/>
    <s v="Critical"/>
    <n v="5"/>
    <n v="33"/>
    <n v="25"/>
    <n v="13"/>
    <n v="14150"/>
    <n v="12"/>
    <n v="0"/>
    <n v="92"/>
    <s v="Supplier D"/>
    <n v="0.154"/>
    <n v="28328.3"/>
    <n v="183950"/>
    <n v="353750"/>
    <n v="1.9230769230769231"/>
    <n v="189.79999999999998"/>
    <x v="2"/>
    <n v="52849600"/>
    <n v="0.6981880133487689"/>
    <x v="0"/>
  </r>
  <r>
    <s v="SP-0036"/>
    <s v="Pneumatic Valve"/>
    <s v="Pneumatic"/>
    <s v="Blast Furnace"/>
    <s v="Medium"/>
    <n v="31"/>
    <n v="17"/>
    <n v="18"/>
    <n v="30"/>
    <n v="6120"/>
    <n v="28"/>
    <n v="0"/>
    <n v="35"/>
    <s v="Supplier H"/>
    <n v="0.22900000000000001"/>
    <n v="42044.4"/>
    <n v="183600"/>
    <n v="110160"/>
    <n v="0.6"/>
    <n v="608.33333333333337"/>
    <x v="0"/>
    <n v="53033200"/>
    <n v="0.70061352497517349"/>
    <x v="0"/>
  </r>
  <r>
    <s v="SP-0170"/>
    <s v="Temperature Sensor"/>
    <s v="Instrumentation"/>
    <s v="Rolling Mill"/>
    <s v="Low"/>
    <n v="28"/>
    <n v="84"/>
    <n v="56"/>
    <n v="56"/>
    <n v="3260"/>
    <n v="26"/>
    <n v="0"/>
    <n v="8"/>
    <s v="Supplier D"/>
    <n v="0.255"/>
    <n v="46552.800000000003"/>
    <n v="182560"/>
    <n v="182560"/>
    <n v="1"/>
    <n v="365"/>
    <x v="0"/>
    <n v="53215760"/>
    <n v="0.70302529732003427"/>
    <x v="0"/>
  </r>
  <r>
    <s v="SP-0439"/>
    <s v="Filter"/>
    <s v="Hydraulic"/>
    <s v="Maintenance"/>
    <s v="Medium"/>
    <n v="50"/>
    <n v="255"/>
    <n v="260"/>
    <n v="45"/>
    <n v="4020"/>
    <n v="10"/>
    <n v="0"/>
    <n v="9"/>
    <s v="Supplier B"/>
    <n v="0.24"/>
    <n v="43416"/>
    <n v="180900"/>
    <n v="1045200"/>
    <n v="5.7777777777777777"/>
    <n v="63.173076923076927"/>
    <x v="0"/>
    <n v="53396660"/>
    <n v="0.70541513965781522"/>
    <x v="0"/>
  </r>
  <r>
    <s v="SP-0125"/>
    <s v="Roller"/>
    <s v="Mechanical"/>
    <s v="Rolling Mill"/>
    <s v="Medium"/>
    <n v="72"/>
    <n v="64"/>
    <n v="78"/>
    <n v="58"/>
    <n v="3100"/>
    <n v="3"/>
    <n v="1"/>
    <n v="143"/>
    <s v="Supplier G"/>
    <n v="0.26600000000000001"/>
    <n v="47826.8"/>
    <n v="179800"/>
    <n v="241800"/>
    <n v="1.3448275862068966"/>
    <n v="271.41025641025641"/>
    <x v="2"/>
    <n v="53576460"/>
    <n v="0.70779045006319408"/>
    <x v="0"/>
  </r>
  <r>
    <s v="SP-0084"/>
    <s v="Roller"/>
    <s v="Mechanical"/>
    <s v="Rolling Mill"/>
    <s v="Critical"/>
    <n v="12"/>
    <n v="32"/>
    <n v="28"/>
    <n v="16"/>
    <n v="11230"/>
    <n v="15"/>
    <n v="1"/>
    <n v="91"/>
    <s v="Supplier F"/>
    <n v="0.16800000000000001"/>
    <n v="30186.240000000002"/>
    <n v="179680"/>
    <n v="314440"/>
    <n v="1.75"/>
    <n v="208.57142857142858"/>
    <x v="2"/>
    <n v="53756140"/>
    <n v="0.71016417516685626"/>
    <x v="0"/>
  </r>
  <r>
    <s v="SP-0002"/>
    <s v="Fastener"/>
    <s v="Consumable"/>
    <s v="Rolling Mill"/>
    <s v="Low"/>
    <n v="89"/>
    <n v="144"/>
    <n v="100"/>
    <n v="133"/>
    <n v="1350"/>
    <n v="15"/>
    <n v="0"/>
    <n v="14"/>
    <s v="Supplier D"/>
    <n v="0.222"/>
    <n v="39860.1"/>
    <n v="179550"/>
    <n v="135000"/>
    <n v="0.75187969924812026"/>
    <n v="485.45000000000005"/>
    <x v="0"/>
    <n v="53935690"/>
    <n v="0.7125361828603255"/>
    <x v="0"/>
  </r>
  <r>
    <s v="SP-0450"/>
    <s v="Coupling"/>
    <s v="Mechanical"/>
    <s v="Rolling Mill"/>
    <s v="Critical"/>
    <n v="13"/>
    <n v="20"/>
    <n v="3"/>
    <n v="78"/>
    <n v="2290"/>
    <n v="26"/>
    <n v="0"/>
    <n v="246"/>
    <s v="Supplier C"/>
    <n v="0.17799999999999999"/>
    <n v="31794.36"/>
    <n v="178620"/>
    <n v="6870"/>
    <n v="3.8461538461538464E-2"/>
    <n v="9490"/>
    <x v="2"/>
    <n v="54114310"/>
    <n v="0.71489590446549112"/>
    <x v="0"/>
  </r>
  <r>
    <s v="SP-0499"/>
    <s v="Gasket"/>
    <s v="Consumable"/>
    <s v="Sinter Plant"/>
    <s v="Medium"/>
    <n v="17"/>
    <n v="17"/>
    <n v="0"/>
    <n v="79"/>
    <n v="2240"/>
    <n v="15"/>
    <n v="0"/>
    <n v="381"/>
    <s v="Supplier B"/>
    <n v="0.27300000000000002"/>
    <n v="48310.080000000002"/>
    <n v="176960"/>
    <n v="0"/>
    <n v="0"/>
    <n v="0"/>
    <x v="1"/>
    <n v="54291270"/>
    <n v="0.7172336960635769"/>
    <x v="0"/>
  </r>
  <r>
    <s v="SP-0350"/>
    <s v="Flow Meter"/>
    <s v="Instrumentation"/>
    <s v="Rolling Mill"/>
    <s v="Critical"/>
    <n v="12"/>
    <n v="8"/>
    <n v="0"/>
    <n v="63"/>
    <n v="2770"/>
    <n v="43"/>
    <n v="0"/>
    <n v="668"/>
    <s v="Supplier D"/>
    <n v="0.27800000000000002"/>
    <n v="48513.780000000013"/>
    <n v="174510"/>
    <n v="0"/>
    <n v="0"/>
    <n v="0"/>
    <x v="1"/>
    <n v="54465780"/>
    <n v="0.71953912108494877"/>
    <x v="0"/>
  </r>
  <r>
    <s v="SP-0312"/>
    <s v="Gear"/>
    <s v="Mechanical"/>
    <s v="Maintenance"/>
    <s v="Medium"/>
    <n v="19"/>
    <n v="1"/>
    <n v="1"/>
    <n v="19"/>
    <n v="9180"/>
    <n v="33"/>
    <n v="0"/>
    <n v="241"/>
    <s v="Supplier E"/>
    <n v="0.27100000000000002"/>
    <n v="47267.82"/>
    <n v="174420"/>
    <n v="9180"/>
    <n v="5.2631578947368418E-2"/>
    <n v="6935"/>
    <x v="2"/>
    <n v="54640200"/>
    <n v="0.72184335713003323"/>
    <x v="0"/>
  </r>
  <r>
    <s v="SP-0340"/>
    <s v="Coupling"/>
    <s v="Mechanical"/>
    <s v="Rolling Mill"/>
    <s v="Medium"/>
    <n v="67"/>
    <n v="120"/>
    <n v="0"/>
    <n v="144"/>
    <n v="1210"/>
    <n v="18"/>
    <n v="0"/>
    <n v="582"/>
    <s v="Supplier C"/>
    <n v="0.24399999999999999"/>
    <n v="42514.559999999998"/>
    <n v="174240"/>
    <n v="0"/>
    <n v="0"/>
    <n v="0"/>
    <x v="1"/>
    <n v="54814440"/>
    <n v="0.72414521522254272"/>
    <x v="0"/>
  </r>
  <r>
    <s v="SP-0213"/>
    <s v="Flow Meter"/>
    <s v="Instrumentation"/>
    <s v="Utilities"/>
    <s v="Low"/>
    <n v="11"/>
    <n v="3"/>
    <n v="4"/>
    <n v="87"/>
    <n v="1980"/>
    <n v="33"/>
    <n v="0"/>
    <n v="181"/>
    <s v="Supplier C"/>
    <n v="0.18"/>
    <n v="31006.799999999999"/>
    <n v="172260"/>
    <n v="7920"/>
    <n v="4.5977011494252873E-2"/>
    <n v="7938.75"/>
    <x v="2"/>
    <n v="54986700"/>
    <n v="0.72642091583672819"/>
    <x v="0"/>
  </r>
  <r>
    <s v="SP-0225"/>
    <s v="Coupling"/>
    <s v="Mechanical"/>
    <s v="Steel Melting Shop"/>
    <s v="High"/>
    <n v="14"/>
    <n v="25"/>
    <n v="21"/>
    <n v="28"/>
    <n v="6130"/>
    <n v="26"/>
    <n v="0"/>
    <n v="21"/>
    <s v="Supplier E"/>
    <n v="0.17499999999999999"/>
    <n v="30037"/>
    <n v="171640"/>
    <n v="128730"/>
    <n v="0.75"/>
    <n v="486.66666666666669"/>
    <x v="0"/>
    <n v="55158340"/>
    <n v="0.72868842572537795"/>
    <x v="0"/>
  </r>
  <r>
    <s v="SP-0460"/>
    <s v="Seal"/>
    <s v="Mechanical"/>
    <s v="Rolling Mill"/>
    <s v="Low"/>
    <n v="22"/>
    <n v="11"/>
    <n v="9"/>
    <n v="24"/>
    <n v="7140"/>
    <n v="29"/>
    <n v="0"/>
    <n v="6"/>
    <s v="Supplier F"/>
    <n v="0.156"/>
    <n v="26732.16"/>
    <n v="171360"/>
    <n v="64260"/>
    <n v="0.375"/>
    <n v="973.33333333333337"/>
    <x v="0"/>
    <n v="55329700"/>
    <n v="0.73095223657668895"/>
    <x v="0"/>
  </r>
  <r>
    <s v="SP-0416"/>
    <s v="Fuse"/>
    <s v="Electrical"/>
    <s v="Steel Melting Shop"/>
    <s v="Medium"/>
    <n v="104"/>
    <n v="150"/>
    <n v="147"/>
    <n v="107"/>
    <n v="1600"/>
    <n v="32"/>
    <n v="1"/>
    <n v="196"/>
    <s v="Supplier A"/>
    <n v="0.27900000000000003"/>
    <n v="47764.800000000003"/>
    <n v="171200"/>
    <n v="235200"/>
    <n v="1.3738317757009346"/>
    <n v="265.68027210884355"/>
    <x v="2"/>
    <n v="55500900"/>
    <n v="0.73321393369237775"/>
    <x v="0"/>
  </r>
  <r>
    <s v="SP-0285"/>
    <s v="Transmitter"/>
    <s v="Instrumentation"/>
    <s v="Sinter Plant"/>
    <s v="Medium"/>
    <n v="41"/>
    <n v="28"/>
    <n v="0"/>
    <n v="76"/>
    <n v="2210"/>
    <n v="25"/>
    <n v="1"/>
    <n v="673"/>
    <s v="Supplier G"/>
    <n v="0.20499999999999999"/>
    <n v="34431.800000000003"/>
    <n v="167960"/>
    <n v="0"/>
    <n v="0"/>
    <n v="0"/>
    <x v="1"/>
    <n v="55668860"/>
    <n v="0.73543282766171825"/>
    <x v="0"/>
  </r>
  <r>
    <s v="SP-0256"/>
    <s v="Temperature Sensor"/>
    <s v="Instrumentation"/>
    <s v="Maintenance"/>
    <s v="Low"/>
    <n v="6"/>
    <n v="3"/>
    <n v="0"/>
    <n v="114"/>
    <n v="1470"/>
    <n v="15"/>
    <n v="0"/>
    <n v="411"/>
    <s v="Supplier A"/>
    <n v="0.214"/>
    <n v="35862.120000000003"/>
    <n v="167580"/>
    <n v="0"/>
    <n v="0"/>
    <n v="0"/>
    <x v="1"/>
    <n v="55836440"/>
    <n v="0.73764670150895628"/>
    <x v="0"/>
  </r>
  <r>
    <s v="SP-0294"/>
    <s v="Switch"/>
    <s v="Electrical"/>
    <s v="Blast Furnace"/>
    <s v="Critical"/>
    <n v="21"/>
    <n v="26"/>
    <n v="5"/>
    <n v="85"/>
    <n v="1970"/>
    <n v="42"/>
    <n v="0"/>
    <n v="172"/>
    <s v="Supplier E"/>
    <n v="0.29799999999999999"/>
    <n v="49900.1"/>
    <n v="167450"/>
    <n v="9850"/>
    <n v="5.8823529411764705E-2"/>
    <n v="6205"/>
    <x v="2"/>
    <n v="56003890"/>
    <n v="0.73985885794600115"/>
    <x v="0"/>
  </r>
  <r>
    <s v="SP-0123"/>
    <s v="Cable"/>
    <s v="Electrical"/>
    <s v="Rolling Mill"/>
    <s v="High"/>
    <n v="17"/>
    <n v="36"/>
    <n v="33"/>
    <n v="20"/>
    <n v="8340"/>
    <n v="23"/>
    <n v="0"/>
    <n v="60"/>
    <s v="Supplier E"/>
    <n v="0.16700000000000001"/>
    <n v="27855.599999999999"/>
    <n v="166800"/>
    <n v="275220"/>
    <n v="1.65"/>
    <n v="221.21212121212122"/>
    <x v="0"/>
    <n v="56170690"/>
    <n v="0.74206242733208116"/>
    <x v="0"/>
  </r>
  <r>
    <s v="SP-0137"/>
    <s v="Motor"/>
    <s v="Electrical"/>
    <s v="Blast Furnace"/>
    <s v="Low"/>
    <n v="29"/>
    <n v="25"/>
    <n v="15"/>
    <n v="39"/>
    <n v="4270"/>
    <n v="19"/>
    <n v="0"/>
    <n v="180"/>
    <s v="Supplier D"/>
    <n v="0.29499999999999998"/>
    <n v="49126.35"/>
    <n v="166530"/>
    <n v="64050"/>
    <n v="0.38461538461538464"/>
    <n v="949"/>
    <x v="2"/>
    <n v="56337220"/>
    <n v="0.74426242978929891"/>
    <x v="0"/>
  </r>
  <r>
    <s v="SP-0382"/>
    <s v="Filter"/>
    <s v="Hydraulic"/>
    <s v="Blast Furnace"/>
    <s v="Medium"/>
    <n v="19"/>
    <n v="4"/>
    <n v="3"/>
    <n v="20"/>
    <n v="8280"/>
    <n v="27"/>
    <n v="1"/>
    <n v="38"/>
    <s v="Supplier C"/>
    <n v="0.20899999999999999"/>
    <n v="34610.400000000001"/>
    <n v="165600"/>
    <n v="24840"/>
    <n v="0.15"/>
    <n v="2433.3333333333335"/>
    <x v="0"/>
    <n v="56502820"/>
    <n v="0.74645014615821281"/>
    <x v="0"/>
  </r>
  <r>
    <s v="SP-0361"/>
    <s v="Fuse"/>
    <s v="Electrical"/>
    <s v="Maintenance"/>
    <s v="Low"/>
    <n v="18"/>
    <n v="5"/>
    <n v="0"/>
    <n v="77"/>
    <n v="2140"/>
    <n v="20"/>
    <n v="0"/>
    <n v="620"/>
    <s v="Supplier A"/>
    <n v="0.16400000000000001"/>
    <n v="27023.919999999998"/>
    <n v="164780"/>
    <n v="0"/>
    <n v="0"/>
    <n v="0"/>
    <x v="1"/>
    <n v="56667600"/>
    <n v="0.7486270296320634"/>
    <x v="0"/>
  </r>
  <r>
    <s v="SP-0421"/>
    <s v="Pneumatic Valve"/>
    <s v="Pneumatic"/>
    <s v="Utilities"/>
    <s v="Low"/>
    <n v="47"/>
    <n v="63"/>
    <n v="45"/>
    <n v="65"/>
    <n v="2520"/>
    <n v="20"/>
    <n v="1"/>
    <n v="78"/>
    <s v="Supplier F"/>
    <n v="0.27500000000000002"/>
    <n v="45045"/>
    <n v="163800"/>
    <n v="113400"/>
    <n v="0.69230769230769229"/>
    <n v="527.22222222222229"/>
    <x v="0"/>
    <n v="56831400"/>
    <n v="0.75079096647522825"/>
    <x v="0"/>
  </r>
  <r>
    <s v="SP-0224"/>
    <s v="Motor"/>
    <s v="Electrical"/>
    <s v="Utilities"/>
    <s v="High"/>
    <n v="15"/>
    <n v="6"/>
    <n v="7"/>
    <n v="14"/>
    <n v="11550"/>
    <n v="10"/>
    <n v="1"/>
    <n v="33"/>
    <s v="Supplier A"/>
    <n v="0.28699999999999998"/>
    <n v="46407.899999999987"/>
    <n v="161700"/>
    <n v="80850"/>
    <n v="0.5"/>
    <n v="730"/>
    <x v="0"/>
    <n v="56993100"/>
    <n v="0.75292716053835262"/>
    <x v="0"/>
  </r>
  <r>
    <s v="SP-0116"/>
    <s v="Actuator"/>
    <s v="Pneumatic"/>
    <s v="Sinter Plant"/>
    <s v="Medium"/>
    <n v="28"/>
    <n v="167"/>
    <n v="145"/>
    <n v="50"/>
    <n v="3150"/>
    <n v="52"/>
    <n v="0"/>
    <n v="215"/>
    <s v="Supplier A"/>
    <n v="0.28599999999999998"/>
    <n v="45044.999999999993"/>
    <n v="157500"/>
    <n v="456750"/>
    <n v="2.9"/>
    <n v="125.86206896551724"/>
    <x v="2"/>
    <n v="57150600"/>
    <n v="0.75500786904139583"/>
    <x v="0"/>
  </r>
  <r>
    <s v="SP-0288"/>
    <s v="Flow Meter"/>
    <s v="Instrumentation"/>
    <s v="Steel Melting Shop"/>
    <s v="Low"/>
    <n v="35"/>
    <n v="145"/>
    <n v="98"/>
    <n v="82"/>
    <n v="1920"/>
    <n v="3"/>
    <n v="0"/>
    <n v="27"/>
    <s v="Supplier D"/>
    <n v="0.16700000000000001"/>
    <n v="26292.48"/>
    <n v="157440"/>
    <n v="188160"/>
    <n v="1.1951219512195121"/>
    <n v="305.40816326530614"/>
    <x v="0"/>
    <n v="57308040"/>
    <n v="0.75708778489358064"/>
    <x v="0"/>
  </r>
  <r>
    <s v="SP-0331"/>
    <s v="Motor"/>
    <s v="Electrical"/>
    <s v="Rolling Mill"/>
    <s v="Low"/>
    <n v="80"/>
    <n v="171"/>
    <n v="116"/>
    <n v="135"/>
    <n v="1160"/>
    <n v="11"/>
    <n v="0"/>
    <n v="52"/>
    <s v="Supplier D"/>
    <n v="0.20599999999999999"/>
    <n v="32259.599999999999"/>
    <n v="156600"/>
    <n v="134560"/>
    <n v="0.85925925925925928"/>
    <n v="424.7844827586207"/>
    <x v="0"/>
    <n v="57464640"/>
    <n v="0.75915660363374937"/>
    <x v="0"/>
  </r>
  <r>
    <s v="SP-0284"/>
    <s v="Coupling"/>
    <s v="Mechanical"/>
    <s v="Blast Furnace"/>
    <s v="Medium"/>
    <n v="177"/>
    <n v="202"/>
    <n v="186"/>
    <n v="193"/>
    <n v="800"/>
    <n v="20"/>
    <n v="0"/>
    <n v="105"/>
    <s v="Supplier D"/>
    <n v="0.253"/>
    <n v="39063.199999999997"/>
    <n v="154400"/>
    <n v="148800"/>
    <n v="0.96373056994818651"/>
    <n v="378.73655913978496"/>
    <x v="2"/>
    <n v="57619040"/>
    <n v="0.7611963585091136"/>
    <x v="0"/>
  </r>
  <r>
    <s v="SP-0018"/>
    <s v="Controller"/>
    <s v="Instrumentation"/>
    <s v="Rolling Mill"/>
    <s v="Medium"/>
    <n v="46"/>
    <n v="31"/>
    <n v="29"/>
    <n v="48"/>
    <n v="3160"/>
    <n v="36"/>
    <n v="0"/>
    <n v="29"/>
    <s v="Supplier G"/>
    <n v="0.22700000000000001"/>
    <n v="34431.360000000001"/>
    <n v="151680"/>
    <n v="91640"/>
    <n v="0.60416666666666663"/>
    <n v="604.13793103448279"/>
    <x v="0"/>
    <n v="57770720"/>
    <n v="0.76320017987890143"/>
    <x v="0"/>
  </r>
  <r>
    <s v="SP-0042"/>
    <s v="Contactor"/>
    <s v="Electrical"/>
    <s v="Rolling Mill"/>
    <s v="Critical"/>
    <n v="20"/>
    <n v="19"/>
    <n v="0"/>
    <n v="113"/>
    <n v="1340"/>
    <n v="26"/>
    <n v="2"/>
    <n v="705"/>
    <s v="Supplier D"/>
    <n v="0.20599999999999999"/>
    <n v="31192.52"/>
    <n v="151420"/>
    <n v="0"/>
    <n v="0"/>
    <n v="0"/>
    <x v="1"/>
    <n v="57922140"/>
    <n v="0.76520056642830336"/>
    <x v="0"/>
  </r>
  <r>
    <s v="SP-0410"/>
    <s v="Roller"/>
    <s v="Mechanical"/>
    <s v="Blast Furnace"/>
    <s v="Medium"/>
    <n v="48"/>
    <n v="84"/>
    <n v="70"/>
    <n v="106"/>
    <n v="1420"/>
    <n v="31"/>
    <n v="0"/>
    <n v="2"/>
    <s v="Supplier D"/>
    <n v="0.26100000000000001"/>
    <n v="39285.72"/>
    <n v="150520"/>
    <n v="99400"/>
    <n v="0.660377358490566"/>
    <n v="552.71428571428578"/>
    <x v="0"/>
    <n v="58072660"/>
    <n v="0.76718906321483071"/>
    <x v="0"/>
  </r>
  <r>
    <s v="SP-0045"/>
    <s v="Gear"/>
    <s v="Mechanical"/>
    <s v="Utilities"/>
    <s v="Low"/>
    <n v="40"/>
    <n v="69"/>
    <n v="1"/>
    <n v="70"/>
    <n v="2120"/>
    <n v="23"/>
    <n v="0"/>
    <n v="280"/>
    <s v="Supplier C"/>
    <n v="0.21199999999999999"/>
    <n v="31460.799999999999"/>
    <n v="148400"/>
    <n v="2120"/>
    <n v="1.4285714285714285E-2"/>
    <n v="25550"/>
    <x v="2"/>
    <n v="58221060"/>
    <n v="0.76914955300436472"/>
    <x v="0"/>
  </r>
  <r>
    <s v="SP-0425"/>
    <s v="Belt"/>
    <s v="Mechanical"/>
    <s v="Sinter Plant"/>
    <s v="Critical"/>
    <n v="89"/>
    <n v="215"/>
    <n v="255"/>
    <n v="49"/>
    <n v="3020"/>
    <n v="21"/>
    <n v="1"/>
    <n v="317"/>
    <s v="Supplier B"/>
    <n v="0.28999999999999998"/>
    <n v="42914.2"/>
    <n v="147980"/>
    <n v="770100"/>
    <n v="5.204081632653061"/>
    <n v="70.137254901960787"/>
    <x v="2"/>
    <n v="58369040"/>
    <n v="0.77110449423789063"/>
    <x v="0"/>
  </r>
  <r>
    <s v="SP-0393"/>
    <s v="Contactor"/>
    <s v="Electrical"/>
    <s v="Maintenance"/>
    <s v="Low"/>
    <n v="49"/>
    <n v="61"/>
    <n v="49"/>
    <n v="61"/>
    <n v="2400"/>
    <n v="20"/>
    <n v="0"/>
    <n v="64"/>
    <s v="Supplier E"/>
    <n v="0.22800000000000001"/>
    <n v="33379.199999999997"/>
    <n v="146400"/>
    <n v="117600"/>
    <n v="0.80327868852459017"/>
    <n v="454.38775510204084"/>
    <x v="0"/>
    <n v="58515440"/>
    <n v="0.77303856233214796"/>
    <x v="0"/>
  </r>
  <r>
    <s v="SP-0356"/>
    <s v="Pressure Sensor"/>
    <s v="Instrumentation"/>
    <s v="Utilities"/>
    <s v="Critical"/>
    <n v="48"/>
    <n v="141"/>
    <n v="131"/>
    <n v="58"/>
    <n v="2500"/>
    <n v="45"/>
    <n v="0"/>
    <n v="59"/>
    <s v="Supplier A"/>
    <n v="0.26400000000000001"/>
    <n v="38280"/>
    <n v="145000"/>
    <n v="327500"/>
    <n v="2.2586206896551726"/>
    <n v="161.6030534351145"/>
    <x v="0"/>
    <n v="58660440"/>
    <n v="0.77495413523971146"/>
    <x v="0"/>
  </r>
  <r>
    <s v="SP-0003"/>
    <s v="Cylinder"/>
    <s v="Hydraulic"/>
    <s v="Rolling Mill"/>
    <s v="Medium"/>
    <n v="57"/>
    <n v="44"/>
    <n v="40"/>
    <n v="61"/>
    <n v="2360"/>
    <n v="38"/>
    <n v="0"/>
    <n v="49"/>
    <s v="Supplier F"/>
    <n v="0.28499999999999998"/>
    <n v="41028.6"/>
    <n v="143960"/>
    <n v="94400"/>
    <n v="0.65573770491803274"/>
    <n v="556.625"/>
    <x v="0"/>
    <n v="58804400"/>
    <n v="0.77685596886573116"/>
    <x v="0"/>
  </r>
  <r>
    <s v="SP-0237"/>
    <s v="Roller"/>
    <s v="Mechanical"/>
    <s v="Steel Melting Shop"/>
    <s v="High"/>
    <n v="42"/>
    <n v="46"/>
    <n v="31"/>
    <n v="57"/>
    <n v="2500"/>
    <n v="31"/>
    <n v="0"/>
    <n v="68"/>
    <s v="Supplier E"/>
    <n v="0.20899999999999999"/>
    <n v="29782.5"/>
    <n v="142500"/>
    <n v="77500"/>
    <n v="0.54385964912280704"/>
    <n v="671.12903225806451"/>
    <x v="0"/>
    <n v="58946900"/>
    <n v="0.77873851465419874"/>
    <x v="0"/>
  </r>
  <r>
    <s v="SP-0343"/>
    <s v="Gear"/>
    <s v="Mechanical"/>
    <s v="Blast Furnace"/>
    <s v="Critical"/>
    <n v="11"/>
    <n v="4"/>
    <n v="5"/>
    <n v="10"/>
    <n v="14220"/>
    <n v="10"/>
    <n v="0"/>
    <n v="27"/>
    <s v="Supplier F"/>
    <n v="0.26900000000000002"/>
    <n v="38251.800000000003"/>
    <n v="142200"/>
    <n v="71100"/>
    <n v="0.5"/>
    <n v="730"/>
    <x v="0"/>
    <n v="59089100"/>
    <n v="0.78061709718837491"/>
    <x v="0"/>
  </r>
  <r>
    <s v="SP-0001"/>
    <s v="Fuse"/>
    <s v="Electrical"/>
    <s v="Maintenance"/>
    <s v="Medium"/>
    <n v="25"/>
    <n v="36"/>
    <n v="30"/>
    <n v="31"/>
    <n v="4530"/>
    <n v="21"/>
    <n v="1"/>
    <n v="167"/>
    <s v="Supplier E"/>
    <n v="0.216"/>
    <n v="30332.880000000001"/>
    <n v="140430"/>
    <n v="135900"/>
    <n v="0.967741935483871"/>
    <n v="377.16666666666663"/>
    <x v="2"/>
    <n v="59229530"/>
    <n v="0.78247229652223116"/>
    <x v="0"/>
  </r>
  <r>
    <s v="SP-0430"/>
    <s v="Bearing"/>
    <s v="Mechanical"/>
    <s v="Steel Melting Shop"/>
    <s v="High"/>
    <n v="16"/>
    <n v="26"/>
    <n v="16"/>
    <n v="26"/>
    <n v="5360"/>
    <n v="41"/>
    <n v="0"/>
    <n v="114"/>
    <s v="Supplier E"/>
    <n v="0.216"/>
    <n v="30101.759999999998"/>
    <n v="139360"/>
    <n v="85760"/>
    <n v="0.61538461538461542"/>
    <n v="593.125"/>
    <x v="2"/>
    <n v="59368890"/>
    <n v="0.78431336024911436"/>
    <x v="0"/>
  </r>
  <r>
    <s v="SP-0039"/>
    <s v="Cylinder"/>
    <s v="Hydraulic"/>
    <s v="Utilities"/>
    <s v="Medium"/>
    <n v="39"/>
    <n v="86"/>
    <n v="59"/>
    <n v="66"/>
    <n v="2100"/>
    <n v="18"/>
    <n v="0"/>
    <n v="3"/>
    <s v="Supplier F"/>
    <n v="0.152"/>
    <n v="21067.200000000001"/>
    <n v="138600"/>
    <n v="123900"/>
    <n v="0.89393939393939392"/>
    <n v="408.30508474576271"/>
    <x v="0"/>
    <n v="59507490"/>
    <n v="0.7861443837317923"/>
    <x v="0"/>
  </r>
  <r>
    <s v="SP-0335"/>
    <s v="Seal"/>
    <s v="Mechanical"/>
    <s v="Steel Melting Shop"/>
    <s v="Low"/>
    <n v="45"/>
    <n v="29"/>
    <n v="27"/>
    <n v="47"/>
    <n v="2940"/>
    <n v="30"/>
    <n v="0"/>
    <n v="93"/>
    <s v="Supplier F"/>
    <n v="0.22700000000000001"/>
    <n v="31366.86"/>
    <n v="138180"/>
    <n v="79380"/>
    <n v="0.57446808510638303"/>
    <n v="635.37037037037032"/>
    <x v="2"/>
    <n v="59645670"/>
    <n v="0.78796985865846225"/>
    <x v="0"/>
  </r>
  <r>
    <s v="SP-0069"/>
    <s v="Belt"/>
    <s v="Mechanical"/>
    <s v="Steel Melting Shop"/>
    <s v="High"/>
    <n v="22"/>
    <n v="10"/>
    <n v="9"/>
    <n v="23"/>
    <n v="5980"/>
    <n v="41"/>
    <n v="0"/>
    <n v="20"/>
    <s v="Supplier D"/>
    <n v="0.25900000000000001"/>
    <n v="35622.86"/>
    <n v="137540"/>
    <n v="53820"/>
    <n v="0.39130434782608697"/>
    <n v="932.77777777777771"/>
    <x v="0"/>
    <n v="59783210"/>
    <n v="0.78978687864264352"/>
    <x v="0"/>
  </r>
  <r>
    <s v="SP-0047"/>
    <s v="Switch"/>
    <s v="Electrical"/>
    <s v="Steel Melting Shop"/>
    <s v="Low"/>
    <n v="28"/>
    <n v="32"/>
    <n v="34"/>
    <n v="49"/>
    <n v="2800"/>
    <n v="18"/>
    <n v="1"/>
    <n v="4"/>
    <s v="Supplier E"/>
    <n v="0.20200000000000001"/>
    <n v="27714.400000000001"/>
    <n v="137200"/>
    <n v="95200"/>
    <n v="0.69387755102040816"/>
    <n v="526.02941176470586"/>
    <x v="0"/>
    <n v="59920410"/>
    <n v="0.79159940693862785"/>
    <x v="0"/>
  </r>
  <r>
    <s v="SP-0357"/>
    <s v="Coupling"/>
    <s v="Mechanical"/>
    <s v="Utilities"/>
    <s v="Medium"/>
    <n v="52"/>
    <n v="41"/>
    <n v="31"/>
    <n v="62"/>
    <n v="2200"/>
    <n v="25"/>
    <n v="0"/>
    <n v="36"/>
    <s v="Supplier D"/>
    <n v="0.28899999999999998"/>
    <n v="39419.599999999999"/>
    <n v="136400"/>
    <n v="68200"/>
    <n v="0.5"/>
    <n v="730"/>
    <x v="0"/>
    <n v="60056810"/>
    <n v="0.7934013665565014"/>
    <x v="0"/>
  </r>
  <r>
    <s v="SP-0379"/>
    <s v="Air Filter"/>
    <s v="Pneumatic"/>
    <s v="Sinter Plant"/>
    <s v="High"/>
    <n v="13"/>
    <n v="7"/>
    <n v="5"/>
    <n v="15"/>
    <n v="9090"/>
    <n v="15"/>
    <n v="0"/>
    <n v="114"/>
    <s v="Supplier E"/>
    <n v="0.23400000000000001"/>
    <n v="31905.9"/>
    <n v="136350"/>
    <n v="45450"/>
    <n v="0.33333333333333331"/>
    <n v="1095"/>
    <x v="2"/>
    <n v="60193160"/>
    <n v="0.79520266563199304"/>
    <x v="0"/>
  </r>
  <r>
    <s v="SP-0364"/>
    <s v="Controller"/>
    <s v="Instrumentation"/>
    <s v="Steel Melting Shop"/>
    <s v="Medium"/>
    <n v="24"/>
    <n v="41"/>
    <n v="41"/>
    <n v="24"/>
    <n v="5650"/>
    <n v="32"/>
    <n v="0"/>
    <n v="90"/>
    <s v="Supplier G"/>
    <n v="0.24"/>
    <n v="32544"/>
    <n v="135600"/>
    <n v="231650"/>
    <n v="1.7083333333333333"/>
    <n v="213.65853658536585"/>
    <x v="0"/>
    <n v="60328760"/>
    <n v="0.79699405657175593"/>
    <x v="0"/>
  </r>
  <r>
    <s v="SP-0461"/>
    <s v="Roller"/>
    <s v="Mechanical"/>
    <s v="Steel Melting Shop"/>
    <s v="Critical"/>
    <n v="22"/>
    <n v="25"/>
    <n v="0"/>
    <n v="85"/>
    <n v="1580"/>
    <n v="36"/>
    <n v="0"/>
    <n v="438"/>
    <s v="Supplier C"/>
    <n v="0.24399999999999999"/>
    <n v="32769.199999999997"/>
    <n v="134300"/>
    <n v="0"/>
    <n v="0"/>
    <n v="0"/>
    <x v="1"/>
    <n v="60463060"/>
    <n v="0.798768273409589"/>
    <x v="0"/>
  </r>
  <r>
    <s v="SP-0298"/>
    <s v="Coupling"/>
    <s v="Mechanical"/>
    <s v="Rolling Mill"/>
    <s v="Low"/>
    <n v="23"/>
    <n v="26"/>
    <n v="19"/>
    <n v="30"/>
    <n v="4460"/>
    <n v="11"/>
    <n v="1"/>
    <n v="121"/>
    <s v="Supplier E"/>
    <n v="0.17599999999999999"/>
    <n v="23548.799999999999"/>
    <n v="133800"/>
    <n v="84740"/>
    <n v="0.6333333333333333"/>
    <n v="576.31578947368428"/>
    <x v="2"/>
    <n v="60596860"/>
    <n v="0.80053588482360283"/>
    <x v="1"/>
  </r>
  <r>
    <s v="SP-0133"/>
    <s v="Seal"/>
    <s v="Mechanical"/>
    <s v="Utilities"/>
    <s v="High"/>
    <n v="72"/>
    <n v="93"/>
    <n v="3"/>
    <n v="92"/>
    <n v="1450"/>
    <n v="38"/>
    <n v="0"/>
    <n v="296"/>
    <s v="Supplier D"/>
    <n v="0.16800000000000001"/>
    <n v="22411.200000000001"/>
    <n v="133400"/>
    <n v="4350"/>
    <n v="3.2608695652173912E-2"/>
    <n v="11193.333333333334"/>
    <x v="2"/>
    <n v="60730260"/>
    <n v="0.80229821189856132"/>
    <x v="1"/>
  </r>
  <r>
    <s v="SP-0198"/>
    <s v="Grinding Wheel"/>
    <s v="Consumable"/>
    <s v="Sinter Plant"/>
    <s v="Medium"/>
    <n v="34"/>
    <n v="158"/>
    <n v="131"/>
    <n v="61"/>
    <n v="2170"/>
    <n v="33"/>
    <n v="1"/>
    <n v="35"/>
    <s v="Supplier B"/>
    <n v="0.224"/>
    <n v="29650.880000000001"/>
    <n v="132370"/>
    <n v="284270"/>
    <n v="2.1475409836065573"/>
    <n v="169.96183206106872"/>
    <x v="0"/>
    <n v="60862630"/>
    <n v="0.80404693180045228"/>
    <x v="1"/>
  </r>
  <r>
    <s v="SP-0103"/>
    <s v="Motor"/>
    <s v="Electrical"/>
    <s v="Sinter Plant"/>
    <s v="High"/>
    <n v="22"/>
    <n v="26"/>
    <n v="26"/>
    <n v="22"/>
    <n v="6010"/>
    <n v="32"/>
    <n v="0"/>
    <n v="10"/>
    <s v="Supplier G"/>
    <n v="0.20799999999999999"/>
    <n v="27501.759999999998"/>
    <n v="132220"/>
    <n v="156260"/>
    <n v="1.1818181818181819"/>
    <n v="308.84615384615381"/>
    <x v="0"/>
    <n v="60994850"/>
    <n v="0.80579367007519742"/>
    <x v="1"/>
  </r>
  <r>
    <s v="SP-0375"/>
    <s v="Gear"/>
    <s v="Mechanical"/>
    <s v="Rolling Mill"/>
    <s v="Critical"/>
    <n v="19"/>
    <n v="12"/>
    <n v="5"/>
    <n v="93"/>
    <n v="1420"/>
    <n v="37"/>
    <n v="1"/>
    <n v="229"/>
    <s v="Supplier F"/>
    <n v="0.16900000000000001"/>
    <n v="22318.14"/>
    <n v="132060"/>
    <n v="7100"/>
    <n v="5.3763440860215055E-2"/>
    <n v="6789"/>
    <x v="2"/>
    <n v="61126910"/>
    <n v="0.80753829461432058"/>
    <x v="1"/>
  </r>
  <r>
    <s v="SP-0048"/>
    <s v="Temperature Sensor"/>
    <s v="Instrumentation"/>
    <s v="Rolling Mill"/>
    <s v="Low"/>
    <n v="20"/>
    <n v="11"/>
    <n v="9"/>
    <n v="22"/>
    <n v="5950"/>
    <n v="26"/>
    <n v="1"/>
    <n v="4"/>
    <s v="Supplier H"/>
    <n v="0.24399999999999999"/>
    <n v="31939.599999999999"/>
    <n v="130900"/>
    <n v="53550"/>
    <n v="0.40909090909090912"/>
    <n v="892.22222222222217"/>
    <x v="0"/>
    <n v="61257810"/>
    <n v="0.80926759457018305"/>
    <x v="1"/>
  </r>
  <r>
    <s v="SP-0140"/>
    <s v="Grinding Wheel"/>
    <s v="Consumable"/>
    <s v="Blast Furnace"/>
    <s v="Medium"/>
    <n v="6"/>
    <n v="13"/>
    <n v="4"/>
    <n v="53"/>
    <n v="2400"/>
    <n v="7"/>
    <n v="1"/>
    <n v="107"/>
    <s v="Supplier H"/>
    <n v="0.20300000000000001"/>
    <n v="25821.599999999999"/>
    <n v="127200"/>
    <n v="9600"/>
    <n v="7.5471698113207544E-2"/>
    <n v="4836.25"/>
    <x v="2"/>
    <n v="61385010"/>
    <n v="0.8109480143897837"/>
    <x v="1"/>
  </r>
  <r>
    <s v="SP-0328"/>
    <s v="Transmitter"/>
    <s v="Instrumentation"/>
    <s v="Maintenance"/>
    <s v="Medium"/>
    <n v="69"/>
    <n v="171"/>
    <n v="108"/>
    <n v="135"/>
    <n v="930"/>
    <n v="22"/>
    <n v="0"/>
    <n v="263"/>
    <s v="Supplier C"/>
    <n v="0.26600000000000001"/>
    <n v="33396.300000000003"/>
    <n v="125550"/>
    <n v="100440"/>
    <n v="0.8"/>
    <n v="456.25"/>
    <x v="2"/>
    <n v="61510560"/>
    <n v="0.81260663631078101"/>
    <x v="1"/>
  </r>
  <r>
    <s v="SP-0171"/>
    <s v="Filter"/>
    <s v="Hydraulic"/>
    <s v="Maintenance"/>
    <s v="Medium"/>
    <n v="12"/>
    <n v="7"/>
    <n v="6"/>
    <n v="13"/>
    <n v="9600"/>
    <n v="23"/>
    <n v="0"/>
    <n v="205"/>
    <s v="Supplier D"/>
    <n v="0.17100000000000001"/>
    <n v="21340.799999999999"/>
    <n v="124800"/>
    <n v="57600"/>
    <n v="0.46153846153846156"/>
    <n v="790.83333333333326"/>
    <x v="2"/>
    <n v="61635360"/>
    <n v="0.81425535009604944"/>
    <x v="1"/>
  </r>
  <r>
    <s v="SP-0057"/>
    <s v="Seal"/>
    <s v="Mechanical"/>
    <s v="Sinter Plant"/>
    <s v="High"/>
    <n v="28"/>
    <n v="50"/>
    <n v="38"/>
    <n v="40"/>
    <n v="3110"/>
    <n v="11"/>
    <n v="0"/>
    <n v="41"/>
    <s v="Supplier A"/>
    <n v="0.22600000000000001"/>
    <n v="28114.400000000001"/>
    <n v="124400"/>
    <n v="118180"/>
    <n v="0.95"/>
    <n v="384.21052631578948"/>
    <x v="0"/>
    <n v="61759760"/>
    <n v="0.81589877954226264"/>
    <x v="1"/>
  </r>
  <r>
    <s v="SP-0164"/>
    <s v="Controller"/>
    <s v="Instrumentation"/>
    <s v="Utilities"/>
    <s v="Critical"/>
    <n v="37"/>
    <n v="35"/>
    <n v="37"/>
    <n v="35"/>
    <n v="3540"/>
    <n v="28"/>
    <n v="1"/>
    <n v="19"/>
    <s v="Supplier G"/>
    <n v="0.19700000000000001"/>
    <n v="24408.3"/>
    <n v="123900"/>
    <n v="130980"/>
    <n v="1.0571428571428572"/>
    <n v="345.27027027027026"/>
    <x v="0"/>
    <n v="61883660"/>
    <n v="0.8175356035646566"/>
    <x v="1"/>
  </r>
  <r>
    <s v="SP-0429"/>
    <s v="Switch"/>
    <s v="Electrical"/>
    <s v="Steel Melting Shop"/>
    <s v="Medium"/>
    <n v="106"/>
    <n v="266"/>
    <n v="199"/>
    <n v="173"/>
    <n v="710"/>
    <n v="17"/>
    <n v="0"/>
    <n v="16"/>
    <s v="Supplier F"/>
    <n v="0.26200000000000001"/>
    <n v="32181.46"/>
    <n v="122830"/>
    <n v="141290"/>
    <n v="1.1502890173410405"/>
    <n v="317.3115577889447"/>
    <x v="0"/>
    <n v="62006490"/>
    <n v="0.8191582919800775"/>
    <x v="1"/>
  </r>
  <r>
    <s v="SP-0272"/>
    <s v="Air Filter"/>
    <s v="Pneumatic"/>
    <s v="Steel Melting Shop"/>
    <s v="Low"/>
    <n v="28"/>
    <n v="57"/>
    <n v="45"/>
    <n v="40"/>
    <n v="3030"/>
    <n v="23"/>
    <n v="0"/>
    <n v="129"/>
    <s v="Supplier H"/>
    <n v="0.151"/>
    <n v="18301.2"/>
    <n v="121200"/>
    <n v="136350"/>
    <n v="1.125"/>
    <n v="324.44444444444446"/>
    <x v="2"/>
    <n v="62127690"/>
    <n v="0.82075944671384793"/>
    <x v="1"/>
  </r>
  <r>
    <s v="SP-0135"/>
    <s v="Gasket"/>
    <s v="Consumable"/>
    <s v="Blast Furnace"/>
    <s v="Medium"/>
    <n v="52"/>
    <n v="38"/>
    <n v="42"/>
    <n v="48"/>
    <n v="2460"/>
    <n v="10"/>
    <n v="1"/>
    <n v="3"/>
    <s v="Supplier H"/>
    <n v="0.16700000000000001"/>
    <n v="19719.36"/>
    <n v="118080"/>
    <n v="103320"/>
    <n v="0.875"/>
    <n v="417.14285714285717"/>
    <x v="0"/>
    <n v="62245770"/>
    <n v="0.82231938360298651"/>
    <x v="1"/>
  </r>
  <r>
    <s v="SP-0062"/>
    <s v="Belt"/>
    <s v="Mechanical"/>
    <s v="Maintenance"/>
    <s v="Low"/>
    <n v="31"/>
    <n v="35"/>
    <n v="22"/>
    <n v="44"/>
    <n v="2680"/>
    <n v="22"/>
    <n v="0"/>
    <n v="54"/>
    <s v="Supplier F"/>
    <n v="0.16"/>
    <n v="18867.2"/>
    <n v="117920"/>
    <n v="58960"/>
    <n v="0.5"/>
    <n v="730"/>
    <x v="0"/>
    <n v="62363690"/>
    <n v="0.82387720675650311"/>
    <x v="1"/>
  </r>
  <r>
    <s v="SP-0089"/>
    <s v="Actuator"/>
    <s v="Pneumatic"/>
    <s v="Maintenance"/>
    <s v="Low"/>
    <n v="26"/>
    <n v="26"/>
    <n v="21"/>
    <n v="31"/>
    <n v="3800"/>
    <n v="25"/>
    <n v="0"/>
    <n v="100"/>
    <s v="Supplier A"/>
    <n v="0.185"/>
    <n v="21793"/>
    <n v="117800"/>
    <n v="79800"/>
    <n v="0.67741935483870963"/>
    <n v="538.80952380952385"/>
    <x v="2"/>
    <n v="62481490"/>
    <n v="0.82543344460830304"/>
    <x v="1"/>
  </r>
  <r>
    <s v="SP-0437"/>
    <s v="Roller"/>
    <s v="Mechanical"/>
    <s v="Maintenance"/>
    <s v="Critical"/>
    <n v="46"/>
    <n v="54"/>
    <n v="34"/>
    <n v="66"/>
    <n v="1770"/>
    <n v="3"/>
    <n v="0"/>
    <n v="95"/>
    <s v="Supplier C"/>
    <n v="0.155"/>
    <n v="18107.099999999999"/>
    <n v="116820"/>
    <n v="60180"/>
    <n v="0.51515151515151514"/>
    <n v="708.52941176470586"/>
    <x v="2"/>
    <n v="62598310"/>
    <n v="0.82697673582941733"/>
    <x v="1"/>
  </r>
  <r>
    <s v="SP-0314"/>
    <s v="Electrode"/>
    <s v="Consumable"/>
    <s v="Sinter Plant"/>
    <s v="Medium"/>
    <n v="83"/>
    <n v="101"/>
    <n v="101"/>
    <n v="83"/>
    <n v="1400"/>
    <n v="32"/>
    <n v="0"/>
    <n v="29"/>
    <s v="Supplier G"/>
    <n v="0.17799999999999999"/>
    <n v="20683.599999999999"/>
    <n v="116200"/>
    <n v="141400"/>
    <n v="1.2168674698795181"/>
    <n v="299.95049504950492"/>
    <x v="0"/>
    <n v="62714510"/>
    <n v="0.82851183632499581"/>
    <x v="1"/>
  </r>
  <r>
    <s v="SP-0286"/>
    <s v="Seal"/>
    <s v="Mechanical"/>
    <s v="Blast Furnace"/>
    <s v="Medium"/>
    <n v="17"/>
    <n v="33"/>
    <n v="30"/>
    <n v="20"/>
    <n v="5700"/>
    <n v="32"/>
    <n v="1"/>
    <n v="15"/>
    <s v="Supplier F"/>
    <n v="0.26300000000000001"/>
    <n v="29982"/>
    <n v="114000"/>
    <n v="171000"/>
    <n v="1.5"/>
    <n v="243.33333333333334"/>
    <x v="0"/>
    <n v="62828510"/>
    <n v="0.8300178729557699"/>
    <x v="1"/>
  </r>
  <r>
    <s v="SP-0454"/>
    <s v="Grinding Wheel"/>
    <s v="Consumable"/>
    <s v="Steel Melting Shop"/>
    <s v="High"/>
    <n v="22"/>
    <n v="13"/>
    <n v="12"/>
    <n v="23"/>
    <n v="4920"/>
    <n v="36"/>
    <n v="1"/>
    <n v="47"/>
    <s v="Supplier F"/>
    <n v="0.215"/>
    <n v="24329.4"/>
    <n v="113160"/>
    <n v="59040"/>
    <n v="0.52173913043478259"/>
    <n v="699.58333333333337"/>
    <x v="0"/>
    <n v="62941670"/>
    <n v="0.8315128124745278"/>
    <x v="1"/>
  </r>
  <r>
    <s v="SP-0482"/>
    <s v="Hose"/>
    <s v="Hydraulic"/>
    <s v="Blast Furnace"/>
    <s v="Medium"/>
    <n v="9"/>
    <n v="15"/>
    <n v="0"/>
    <n v="65"/>
    <n v="1740"/>
    <n v="11"/>
    <n v="0"/>
    <n v="693"/>
    <s v="Supplier B"/>
    <n v="0.26900000000000002"/>
    <n v="30423.9"/>
    <n v="113100"/>
    <n v="0"/>
    <n v="0"/>
    <n v="0"/>
    <x v="1"/>
    <n v="63054770"/>
    <n v="0.83300695934242741"/>
    <x v="1"/>
  </r>
  <r>
    <s v="SP-0330"/>
    <s v="Gear"/>
    <s v="Mechanical"/>
    <s v="Maintenance"/>
    <s v="Low"/>
    <n v="21"/>
    <n v="7"/>
    <n v="7"/>
    <n v="21"/>
    <n v="5320"/>
    <n v="32"/>
    <n v="0"/>
    <n v="44"/>
    <s v="Supplier A"/>
    <n v="0.24199999999999999"/>
    <n v="27036.240000000002"/>
    <n v="111720"/>
    <n v="37240"/>
    <n v="0.33333333333333331"/>
    <n v="1095"/>
    <x v="0"/>
    <n v="63166490"/>
    <n v="0.83448287524058606"/>
    <x v="1"/>
  </r>
  <r>
    <s v="SP-0027"/>
    <s v="Roller"/>
    <s v="Mechanical"/>
    <s v="Maintenance"/>
    <s v="High"/>
    <n v="48"/>
    <n v="53"/>
    <n v="36"/>
    <n v="65"/>
    <n v="1680"/>
    <n v="22"/>
    <n v="1"/>
    <n v="18"/>
    <s v="Supplier C"/>
    <n v="0.3"/>
    <n v="32760"/>
    <n v="109200"/>
    <n v="60480"/>
    <n v="0.55384615384615388"/>
    <n v="659.02777777777771"/>
    <x v="0"/>
    <n v="63275690"/>
    <n v="0.83592549980269604"/>
    <x v="1"/>
  </r>
  <r>
    <s v="SP-0374"/>
    <s v="Hydraulic Pump"/>
    <s v="Hydraulic"/>
    <s v="Rolling Mill"/>
    <s v="High"/>
    <n v="34"/>
    <n v="46"/>
    <n v="45"/>
    <n v="35"/>
    <n v="3120"/>
    <n v="31"/>
    <n v="0"/>
    <n v="11"/>
    <s v="Supplier C"/>
    <n v="0.20499999999999999"/>
    <n v="22386"/>
    <n v="109200"/>
    <n v="140400"/>
    <n v="1.2857142857142858"/>
    <n v="283.88888888888886"/>
    <x v="0"/>
    <n v="63384890"/>
    <n v="0.8373681243648059"/>
    <x v="1"/>
  </r>
  <r>
    <s v="SP-0242"/>
    <s v="Electrode"/>
    <s v="Consumable"/>
    <s v="Maintenance"/>
    <s v="High"/>
    <n v="72"/>
    <n v="86"/>
    <n v="55"/>
    <n v="103"/>
    <n v="1060"/>
    <n v="19"/>
    <n v="1"/>
    <n v="143"/>
    <s v="Supplier H"/>
    <n v="0.22500000000000001"/>
    <n v="24565.5"/>
    <n v="109180"/>
    <n v="58300"/>
    <n v="0.53398058252427183"/>
    <n v="683.54545454545462"/>
    <x v="2"/>
    <n v="63494070"/>
    <n v="0.83881048470996311"/>
    <x v="1"/>
  </r>
  <r>
    <s v="SP-0409"/>
    <s v="Electrode"/>
    <s v="Consumable"/>
    <s v="Utilities"/>
    <s v="Medium"/>
    <n v="34"/>
    <n v="30"/>
    <n v="24"/>
    <n v="40"/>
    <n v="2720"/>
    <n v="14"/>
    <n v="0"/>
    <n v="90"/>
    <s v="Supplier B"/>
    <n v="0.26100000000000001"/>
    <n v="28396.799999999999"/>
    <n v="108800"/>
    <n v="65280"/>
    <n v="0.6"/>
    <n v="608.33333333333337"/>
    <x v="0"/>
    <n v="63602870"/>
    <n v="0.84024782493301775"/>
    <x v="1"/>
  </r>
  <r>
    <s v="SP-0275"/>
    <s v="Relay"/>
    <s v="Electrical"/>
    <s v="Maintenance"/>
    <s v="High"/>
    <n v="25"/>
    <n v="23"/>
    <n v="21"/>
    <n v="27"/>
    <n v="4000"/>
    <n v="37"/>
    <n v="0"/>
    <n v="55"/>
    <s v="Supplier F"/>
    <n v="0.20399999999999999"/>
    <n v="22032"/>
    <n v="108000"/>
    <n v="84000"/>
    <n v="0.77777777777777779"/>
    <n v="469.28571428571428"/>
    <x v="0"/>
    <n v="63710870"/>
    <n v="0.84167459647796161"/>
    <x v="1"/>
  </r>
  <r>
    <s v="SP-0113"/>
    <s v="Electrode"/>
    <s v="Consumable"/>
    <s v="Rolling Mill"/>
    <s v="Medium"/>
    <n v="41"/>
    <n v="71"/>
    <n v="48"/>
    <n v="82"/>
    <n v="1310"/>
    <n v="11"/>
    <n v="0"/>
    <n v="12"/>
    <s v="Supplier E"/>
    <n v="0.154"/>
    <n v="16542.68"/>
    <n v="107420"/>
    <n v="62880"/>
    <n v="0.58536585365853655"/>
    <n v="623.54166666666674"/>
    <x v="0"/>
    <n v="63818290"/>
    <n v="0.84309370573127529"/>
    <x v="1"/>
  </r>
  <r>
    <s v="SP-0059"/>
    <s v="Coupling"/>
    <s v="Mechanical"/>
    <s v="Blast Furnace"/>
    <s v="Low"/>
    <n v="98"/>
    <n v="103"/>
    <n v="97"/>
    <n v="104"/>
    <n v="1020"/>
    <n v="37"/>
    <n v="1"/>
    <n v="56"/>
    <s v="Supplier H"/>
    <n v="0.27500000000000002"/>
    <n v="29172"/>
    <n v="106080"/>
    <n v="98940"/>
    <n v="0.93269230769230771"/>
    <n v="391.34020618556701"/>
    <x v="0"/>
    <n v="63924370"/>
    <n v="0.84449511244875342"/>
    <x v="1"/>
  </r>
  <r>
    <s v="SP-0071"/>
    <s v="Hydraulic Pump"/>
    <s v="Hydraulic"/>
    <s v="Rolling Mill"/>
    <s v="Critical"/>
    <n v="15"/>
    <n v="13"/>
    <n v="7"/>
    <n v="60"/>
    <n v="1760"/>
    <n v="37"/>
    <n v="0"/>
    <n v="310"/>
    <s v="Supplier G"/>
    <n v="0.27500000000000002"/>
    <n v="29040"/>
    <n v="105600"/>
    <n v="12320"/>
    <n v="0.11666666666666667"/>
    <n v="3128.5714285714284"/>
    <x v="2"/>
    <n v="64029970"/>
    <n v="0.84589017795936527"/>
    <x v="1"/>
  </r>
  <r>
    <s v="SP-0144"/>
    <s v="Motor"/>
    <s v="Electrical"/>
    <s v="Rolling Mill"/>
    <s v="Low"/>
    <n v="9"/>
    <n v="3"/>
    <n v="2"/>
    <n v="28"/>
    <n v="3770"/>
    <n v="26"/>
    <n v="0"/>
    <n v="223"/>
    <s v="Supplier B"/>
    <n v="0.223"/>
    <n v="23539.88"/>
    <n v="105560"/>
    <n v="7540"/>
    <n v="7.1428571428571425E-2"/>
    <n v="5110"/>
    <x v="2"/>
    <n v="64135530"/>
    <n v="0.84728471503607161"/>
    <x v="1"/>
  </r>
  <r>
    <s v="SP-0106"/>
    <s v="Coupling"/>
    <s v="Mechanical"/>
    <s v="Maintenance"/>
    <s v="Critical"/>
    <n v="23"/>
    <n v="33"/>
    <n v="22"/>
    <n v="34"/>
    <n v="3090"/>
    <n v="21"/>
    <n v="0"/>
    <n v="36"/>
    <s v="Supplier C"/>
    <n v="0.26"/>
    <n v="27315.599999999999"/>
    <n v="105060"/>
    <n v="67980"/>
    <n v="0.6470588235294118"/>
    <n v="564.09090909090901"/>
    <x v="0"/>
    <n v="64240590"/>
    <n v="0.8486726466889587"/>
    <x v="1"/>
  </r>
  <r>
    <s v="SP-0406"/>
    <s v="Electrode"/>
    <s v="Consumable"/>
    <s v="Maintenance"/>
    <s v="High"/>
    <n v="28"/>
    <n v="90"/>
    <n v="83"/>
    <n v="35"/>
    <n v="2950"/>
    <n v="23"/>
    <n v="0"/>
    <n v="79"/>
    <s v="Supplier A"/>
    <n v="0.23699999999999999"/>
    <n v="24470.25"/>
    <n v="103250"/>
    <n v="244850"/>
    <n v="2.3714285714285714"/>
    <n v="153.9156626506024"/>
    <x v="0"/>
    <n v="64343840"/>
    <n v="0.85003666670762035"/>
    <x v="1"/>
  </r>
  <r>
    <s v="SP-0162"/>
    <s v="Transmitter"/>
    <s v="Instrumentation"/>
    <s v="Maintenance"/>
    <s v="Critical"/>
    <n v="40"/>
    <n v="25"/>
    <n v="27"/>
    <n v="38"/>
    <n v="2650"/>
    <n v="63"/>
    <n v="0"/>
    <n v="10"/>
    <s v="Supplier D"/>
    <n v="0.16300000000000001"/>
    <n v="16414.099999999999"/>
    <n v="100700"/>
    <n v="71550"/>
    <n v="0.71052631578947367"/>
    <n v="513.7037037037037"/>
    <x v="0"/>
    <n v="64444540"/>
    <n v="0.85136699906480406"/>
    <x v="1"/>
  </r>
  <r>
    <s v="SP-0405"/>
    <s v="Switch"/>
    <s v="Electrical"/>
    <s v="Steel Melting Shop"/>
    <s v="Medium"/>
    <n v="41"/>
    <n v="31"/>
    <n v="33"/>
    <n v="39"/>
    <n v="2570"/>
    <n v="47"/>
    <n v="0"/>
    <n v="126"/>
    <s v="Supplier C"/>
    <n v="0.19400000000000001"/>
    <n v="19444.62"/>
    <n v="100230"/>
    <n v="84810"/>
    <n v="0.84615384615384615"/>
    <n v="431.36363636363637"/>
    <x v="2"/>
    <n v="64544770"/>
    <n v="0.85269112232359789"/>
    <x v="1"/>
  </r>
  <r>
    <s v="SP-0119"/>
    <s v="Grinding Wheel"/>
    <s v="Consumable"/>
    <s v="Utilities"/>
    <s v="Critical"/>
    <n v="66"/>
    <n v="71"/>
    <n v="75"/>
    <n v="105"/>
    <n v="950"/>
    <n v="3"/>
    <n v="0"/>
    <n v="5"/>
    <s v="Supplier F"/>
    <n v="0.156"/>
    <n v="15561"/>
    <n v="99750"/>
    <n v="71250"/>
    <n v="0.7142857142857143"/>
    <n v="511"/>
    <x v="0"/>
    <n v="64644520"/>
    <n v="0.85400890437552524"/>
    <x v="1"/>
  </r>
  <r>
    <s v="SP-0260"/>
    <s v="Gear"/>
    <s v="Mechanical"/>
    <s v="Blast Furnace"/>
    <s v="Low"/>
    <n v="35"/>
    <n v="43"/>
    <n v="40"/>
    <n v="38"/>
    <n v="2610"/>
    <n v="15"/>
    <n v="1"/>
    <n v="71"/>
    <s v="Supplier A"/>
    <n v="0.153"/>
    <n v="15174.54"/>
    <n v="99180"/>
    <n v="104400"/>
    <n v="1.0526315789473684"/>
    <n v="346.75"/>
    <x v="0"/>
    <n v="64743700"/>
    <n v="0.85531915624429866"/>
    <x v="1"/>
  </r>
  <r>
    <s v="SP-0169"/>
    <s v="Roller"/>
    <s v="Mechanical"/>
    <s v="Sinter Plant"/>
    <s v="Low"/>
    <n v="35"/>
    <n v="69"/>
    <n v="1"/>
    <n v="98"/>
    <n v="1010"/>
    <n v="32"/>
    <n v="0"/>
    <n v="224"/>
    <s v="Supplier B"/>
    <n v="0.29499999999999998"/>
    <n v="29199.1"/>
    <n v="98980"/>
    <n v="1010"/>
    <n v="1.020408163265306E-2"/>
    <n v="35770"/>
    <x v="2"/>
    <n v="64842680"/>
    <n v="0.85662676594354448"/>
    <x v="1"/>
  </r>
  <r>
    <s v="SP-0006"/>
    <s v="Gear"/>
    <s v="Mechanical"/>
    <s v="Steel Melting Shop"/>
    <s v="High"/>
    <n v="21"/>
    <n v="4"/>
    <n v="5"/>
    <n v="20"/>
    <n v="4880"/>
    <n v="24"/>
    <n v="0"/>
    <n v="39"/>
    <s v="Supplier E"/>
    <n v="0.223"/>
    <n v="21764.799999999999"/>
    <n v="97600"/>
    <n v="24400"/>
    <n v="0.25"/>
    <n v="1460"/>
    <x v="0"/>
    <n v="64940280"/>
    <n v="0.85791614467304933"/>
    <x v="1"/>
  </r>
  <r>
    <s v="SP-0257"/>
    <s v="Lubricant"/>
    <s v="Consumable"/>
    <s v="Maintenance"/>
    <s v="Low"/>
    <n v="83"/>
    <n v="253"/>
    <n v="206"/>
    <n v="130"/>
    <n v="750"/>
    <n v="17"/>
    <n v="3"/>
    <n v="173"/>
    <s v="Supplier C"/>
    <n v="0.17899999999999999"/>
    <n v="17452.5"/>
    <n v="97500"/>
    <n v="154500"/>
    <n v="1.5846153846153845"/>
    <n v="230.33980582524273"/>
    <x v="2"/>
    <n v="65037780"/>
    <n v="0.85920420231779038"/>
    <x v="1"/>
  </r>
  <r>
    <s v="SP-0358"/>
    <s v="Transmitter"/>
    <s v="Instrumentation"/>
    <s v="Utilities"/>
    <s v="Medium"/>
    <n v="43"/>
    <n v="110"/>
    <n v="77"/>
    <n v="76"/>
    <n v="1270"/>
    <n v="28"/>
    <n v="0"/>
    <n v="165"/>
    <s v="Supplier H"/>
    <n v="0.219"/>
    <n v="21137.88"/>
    <n v="96520"/>
    <n v="97790"/>
    <n v="1.013157894736842"/>
    <n v="360.25974025974028"/>
    <x v="2"/>
    <n v="65134300"/>
    <n v="0.8604793133318458"/>
    <x v="1"/>
  </r>
  <r>
    <s v="SP-0093"/>
    <s v="Filter"/>
    <s v="Hydraulic"/>
    <s v="Utilities"/>
    <s v="Critical"/>
    <n v="37"/>
    <n v="77"/>
    <n v="63"/>
    <n v="51"/>
    <n v="1870"/>
    <n v="19"/>
    <n v="1"/>
    <n v="24"/>
    <s v="Supplier G"/>
    <n v="0.26400000000000001"/>
    <n v="25177.68"/>
    <n v="95370"/>
    <n v="117810"/>
    <n v="1.2352941176470589"/>
    <n v="295.47619047619048"/>
    <x v="0"/>
    <n v="65229670"/>
    <n v="0.86173923187111712"/>
    <x v="1"/>
  </r>
  <r>
    <s v="SP-0110"/>
    <s v="Belt"/>
    <s v="Mechanical"/>
    <s v="Steel Melting Shop"/>
    <s v="Low"/>
    <n v="73"/>
    <n v="153"/>
    <n v="115"/>
    <n v="111"/>
    <n v="850"/>
    <n v="30"/>
    <n v="0"/>
    <n v="185"/>
    <s v="Supplier H"/>
    <n v="0.187"/>
    <n v="17643.45"/>
    <n v="94350"/>
    <n v="97750"/>
    <n v="1.0360360360360361"/>
    <n v="352.30434782608694"/>
    <x v="2"/>
    <n v="65324020"/>
    <n v="0.86298567534579729"/>
    <x v="1"/>
  </r>
  <r>
    <s v="SP-0122"/>
    <s v="Lubricant"/>
    <s v="Consumable"/>
    <s v="Sinter Plant"/>
    <s v="Medium"/>
    <n v="29"/>
    <n v="41"/>
    <n v="31"/>
    <n v="39"/>
    <n v="2370"/>
    <n v="18"/>
    <n v="0"/>
    <n v="179"/>
    <s v="Supplier F"/>
    <n v="0.20100000000000001"/>
    <n v="18578.43"/>
    <n v="92430"/>
    <n v="73470"/>
    <n v="0.79487179487179482"/>
    <n v="459.19354838709683"/>
    <x v="2"/>
    <n v="65416450"/>
    <n v="0.86420675399301172"/>
    <x v="1"/>
  </r>
  <r>
    <s v="SP-0120"/>
    <s v="Pressure Sensor"/>
    <s v="Instrumentation"/>
    <s v="Utilities"/>
    <s v="High"/>
    <n v="23"/>
    <n v="26"/>
    <n v="29"/>
    <n v="20"/>
    <n v="4570"/>
    <n v="18"/>
    <n v="0"/>
    <n v="74"/>
    <s v="Supplier C"/>
    <n v="0.23"/>
    <n v="21022"/>
    <n v="91400"/>
    <n v="132530"/>
    <n v="1.45"/>
    <n v="251.72413793103448"/>
    <x v="0"/>
    <n v="65507850"/>
    <n v="0.86541422546715874"/>
    <x v="1"/>
  </r>
  <r>
    <s v="SP-0264"/>
    <s v="Contactor"/>
    <s v="Electrical"/>
    <s v="Rolling Mill"/>
    <s v="Low"/>
    <n v="50"/>
    <n v="82"/>
    <n v="67"/>
    <n v="65"/>
    <n v="1380"/>
    <n v="27"/>
    <n v="0"/>
    <n v="7"/>
    <s v="Supplier E"/>
    <n v="0.24099999999999999"/>
    <n v="21617.7"/>
    <n v="89700"/>
    <n v="92460"/>
    <n v="1.0307692307692307"/>
    <n v="354.10447761194035"/>
    <x v="0"/>
    <n v="65597550"/>
    <n v="0.86659923850032039"/>
    <x v="1"/>
  </r>
  <r>
    <s v="SP-0121"/>
    <s v="Pneumatic Valve"/>
    <s v="Pneumatic"/>
    <s v="Steel Melting Shop"/>
    <s v="High"/>
    <n v="17"/>
    <n v="39"/>
    <n v="32"/>
    <n v="46"/>
    <n v="1910"/>
    <n v="16"/>
    <n v="0"/>
    <n v="5"/>
    <s v="Supplier E"/>
    <n v="0.25600000000000001"/>
    <n v="22492.16"/>
    <n v="87860"/>
    <n v="61120"/>
    <n v="0.69565217391304346"/>
    <n v="524.6875"/>
    <x v="0"/>
    <n v="65685410"/>
    <n v="0.86775994357382757"/>
    <x v="1"/>
  </r>
  <r>
    <s v="SP-0152"/>
    <s v="Coupling"/>
    <s v="Mechanical"/>
    <s v="Blast Furnace"/>
    <s v="Low"/>
    <n v="25"/>
    <n v="15"/>
    <n v="13"/>
    <n v="27"/>
    <n v="3250"/>
    <n v="25"/>
    <n v="1"/>
    <n v="46"/>
    <s v="Supplier F"/>
    <n v="0.192"/>
    <n v="16848"/>
    <n v="87750"/>
    <n v="42250"/>
    <n v="0.48148148148148145"/>
    <n v="758.07692307692309"/>
    <x v="0"/>
    <n v="65773160"/>
    <n v="0.86891919545409446"/>
    <x v="1"/>
  </r>
  <r>
    <s v="SP-0422"/>
    <s v="Valve"/>
    <s v="Hydraulic"/>
    <s v="Steel Melting Shop"/>
    <s v="Low"/>
    <n v="36"/>
    <n v="66"/>
    <n v="63"/>
    <n v="39"/>
    <n v="2190"/>
    <n v="24"/>
    <n v="0"/>
    <n v="43"/>
    <s v="Supplier H"/>
    <n v="0.25800000000000001"/>
    <n v="22035.78"/>
    <n v="85410"/>
    <n v="137970"/>
    <n v="1.6153846153846154"/>
    <n v="225.95238095238093"/>
    <x v="0"/>
    <n v="65858570"/>
    <n v="0.87004753395088763"/>
    <x v="1"/>
  </r>
  <r>
    <s v="SP-0246"/>
    <s v="Gasket"/>
    <s v="Consumable"/>
    <s v="Blast Furnace"/>
    <s v="High"/>
    <n v="9"/>
    <n v="3"/>
    <n v="4"/>
    <n v="8"/>
    <n v="10640"/>
    <n v="20"/>
    <n v="1"/>
    <n v="37"/>
    <s v="Supplier D"/>
    <n v="0.19900000000000001"/>
    <n v="16938.88"/>
    <n v="85120"/>
    <n v="42560"/>
    <n v="0.5"/>
    <n v="730"/>
    <x v="0"/>
    <n v="65943690"/>
    <n v="0.87117204130186565"/>
    <x v="1"/>
  </r>
  <r>
    <s v="SP-0334"/>
    <s v="Bearing"/>
    <s v="Mechanical"/>
    <s v="Steel Melting Shop"/>
    <s v="Critical"/>
    <n v="18"/>
    <n v="13"/>
    <n v="11"/>
    <n v="20"/>
    <n v="4240"/>
    <n v="34"/>
    <n v="1"/>
    <n v="4"/>
    <s v="Supplier F"/>
    <n v="0.253"/>
    <n v="21454.400000000001"/>
    <n v="84800"/>
    <n v="46640"/>
    <n v="0.55000000000000004"/>
    <n v="663.63636363636363"/>
    <x v="0"/>
    <n v="66028490"/>
    <n v="0.87229232118159938"/>
    <x v="1"/>
  </r>
  <r>
    <s v="SP-0250"/>
    <s v="Air Filter"/>
    <s v="Pneumatic"/>
    <s v="Utilities"/>
    <s v="High"/>
    <n v="21"/>
    <n v="43"/>
    <n v="35"/>
    <n v="29"/>
    <n v="2890"/>
    <n v="38"/>
    <n v="0"/>
    <n v="19"/>
    <s v="Supplier H"/>
    <n v="0.20499999999999999"/>
    <n v="17181.05"/>
    <n v="83810"/>
    <n v="101150"/>
    <n v="1.2068965517241379"/>
    <n v="302.42857142857144"/>
    <x v="0"/>
    <n v="66112300"/>
    <n v="0.87339952232217111"/>
    <x v="1"/>
  </r>
  <r>
    <s v="SP-0107"/>
    <s v="Cable"/>
    <s v="Electrical"/>
    <s v="Blast Furnace"/>
    <s v="Low"/>
    <n v="9"/>
    <n v="13"/>
    <n v="8"/>
    <n v="14"/>
    <n v="5920"/>
    <n v="39"/>
    <n v="0"/>
    <n v="52"/>
    <s v="Supplier H"/>
    <n v="0.16700000000000001"/>
    <n v="13840.96"/>
    <n v="82880"/>
    <n v="47360"/>
    <n v="0.5714285714285714"/>
    <n v="638.75"/>
    <x v="0"/>
    <n v="66195180"/>
    <n v="0.8744944373744391"/>
    <x v="1"/>
  </r>
  <r>
    <s v="SP-0467"/>
    <s v="Roller"/>
    <s v="Mechanical"/>
    <s v="Maintenance"/>
    <s v="Medium"/>
    <n v="46"/>
    <n v="56"/>
    <n v="60"/>
    <n v="42"/>
    <n v="1950"/>
    <n v="40"/>
    <n v="0"/>
    <n v="141"/>
    <s v="Supplier C"/>
    <n v="0.21"/>
    <n v="17199"/>
    <n v="81900"/>
    <n v="117000"/>
    <n v="1.4285714285714286"/>
    <n v="255.5"/>
    <x v="2"/>
    <n v="66277080"/>
    <n v="0.87557640579602158"/>
    <x v="1"/>
  </r>
  <r>
    <s v="SP-0185"/>
    <s v="Bearing"/>
    <s v="Mechanical"/>
    <s v="Steel Melting Shop"/>
    <s v="Critical"/>
    <n v="19"/>
    <n v="12"/>
    <n v="9"/>
    <n v="22"/>
    <n v="3720"/>
    <n v="13"/>
    <n v="0"/>
    <n v="77"/>
    <s v="Supplier H"/>
    <n v="0.26800000000000002"/>
    <n v="21933.119999999999"/>
    <n v="81840"/>
    <n v="33480"/>
    <n v="0.40909090909090912"/>
    <n v="892.22222222222217"/>
    <x v="0"/>
    <n v="66358920"/>
    <n v="0.87665758156674578"/>
    <x v="1"/>
  </r>
  <r>
    <s v="SP-0082"/>
    <s v="Pressure Sensor"/>
    <s v="Instrumentation"/>
    <s v="Sinter Plant"/>
    <s v="Low"/>
    <n v="13"/>
    <n v="6"/>
    <n v="3"/>
    <n v="16"/>
    <n v="5110"/>
    <n v="22"/>
    <n v="0"/>
    <n v="1"/>
    <s v="Supplier F"/>
    <n v="0.222"/>
    <n v="18150.72"/>
    <n v="81760"/>
    <n v="15330"/>
    <n v="0.1875"/>
    <n v="1946.6666666666667"/>
    <x v="0"/>
    <n v="66440680"/>
    <n v="0.87773770046965882"/>
    <x v="1"/>
  </r>
  <r>
    <s v="SP-0459"/>
    <s v="Belt"/>
    <s v="Mechanical"/>
    <s v="Sinter Plant"/>
    <s v="Medium"/>
    <n v="23"/>
    <n v="21"/>
    <n v="17"/>
    <n v="27"/>
    <n v="3010"/>
    <n v="10"/>
    <n v="2"/>
    <n v="95"/>
    <s v="Supplier E"/>
    <n v="0.186"/>
    <n v="15116.22"/>
    <n v="81270"/>
    <n v="51170"/>
    <n v="0.62962962962962965"/>
    <n v="579.7058823529411"/>
    <x v="2"/>
    <n v="66521950"/>
    <n v="0.8788113460572291"/>
    <x v="1"/>
  </r>
  <r>
    <s v="SP-0365"/>
    <s v="Fastener"/>
    <s v="Consumable"/>
    <s v="Rolling Mill"/>
    <s v="Medium"/>
    <n v="11"/>
    <n v="5"/>
    <n v="4"/>
    <n v="12"/>
    <n v="6750"/>
    <n v="12"/>
    <n v="0"/>
    <n v="27"/>
    <s v="Supplier B"/>
    <n v="0.19400000000000001"/>
    <n v="15714"/>
    <n v="81000"/>
    <n v="27000"/>
    <n v="0.33333333333333331"/>
    <n v="1095"/>
    <x v="0"/>
    <n v="66602950"/>
    <n v="0.879881424715937"/>
    <x v="1"/>
  </r>
  <r>
    <s v="SP-0423"/>
    <s v="Coupling"/>
    <s v="Mechanical"/>
    <s v="Steel Melting Shop"/>
    <s v="High"/>
    <n v="19"/>
    <n v="12"/>
    <n v="9"/>
    <n v="22"/>
    <n v="3680"/>
    <n v="50"/>
    <n v="0"/>
    <n v="157"/>
    <s v="Supplier F"/>
    <n v="0.22800000000000001"/>
    <n v="18458.88"/>
    <n v="80960"/>
    <n v="33120"/>
    <n v="0.40909090909090912"/>
    <n v="892.22222222222217"/>
    <x v="2"/>
    <n v="66683910"/>
    <n v="0.88095097494073948"/>
    <x v="1"/>
  </r>
  <r>
    <s v="SP-0301"/>
    <s v="Belt"/>
    <s v="Mechanical"/>
    <s v="Sinter Plant"/>
    <s v="High"/>
    <n v="22"/>
    <n v="10"/>
    <n v="8"/>
    <n v="24"/>
    <n v="3360"/>
    <n v="33"/>
    <n v="0"/>
    <n v="37"/>
    <s v="Supplier B"/>
    <n v="0.28100000000000003"/>
    <n v="22659.84"/>
    <n v="80640"/>
    <n v="26880"/>
    <n v="0.33333333333333331"/>
    <n v="1095"/>
    <x v="0"/>
    <n v="66764550"/>
    <n v="0.88201629769429757"/>
    <x v="1"/>
  </r>
  <r>
    <s v="SP-0157"/>
    <s v="Valve"/>
    <s v="Hydraulic"/>
    <s v="Steel Melting Shop"/>
    <s v="High"/>
    <n v="26"/>
    <n v="27"/>
    <n v="18"/>
    <n v="35"/>
    <n v="2300"/>
    <n v="14"/>
    <n v="0"/>
    <n v="146"/>
    <s v="Supplier H"/>
    <n v="0.24099999999999999"/>
    <n v="19400.5"/>
    <n v="80500"/>
    <n v="41400"/>
    <n v="0.51428571428571423"/>
    <n v="709.72222222222229"/>
    <x v="2"/>
    <n v="66845050"/>
    <n v="0.88307977092918633"/>
    <x v="1"/>
  </r>
  <r>
    <s v="SP-0399"/>
    <s v="Hydraulic Pump"/>
    <s v="Hydraulic"/>
    <s v="Rolling Mill"/>
    <s v="Low"/>
    <n v="34"/>
    <n v="32"/>
    <n v="27"/>
    <n v="39"/>
    <n v="2050"/>
    <n v="27"/>
    <n v="0"/>
    <n v="48"/>
    <s v="Supplier H"/>
    <n v="0.27600000000000002"/>
    <n v="22066.2"/>
    <n v="79950"/>
    <n v="55350"/>
    <n v="0.69230769230769229"/>
    <n v="527.22222222222229"/>
    <x v="0"/>
    <n v="66925000"/>
    <n v="0.88413597819787393"/>
    <x v="1"/>
  </r>
  <r>
    <s v="SP-0025"/>
    <s v="Contactor"/>
    <s v="Electrical"/>
    <s v="Utilities"/>
    <s v="High"/>
    <n v="36"/>
    <n v="41"/>
    <n v="36"/>
    <n v="41"/>
    <n v="1910"/>
    <n v="23"/>
    <n v="0"/>
    <n v="21"/>
    <s v="Supplier H"/>
    <n v="0.21"/>
    <n v="16445.099999999999"/>
    <n v="78310"/>
    <n v="68760"/>
    <n v="0.87804878048780488"/>
    <n v="415.69444444444446"/>
    <x v="0"/>
    <n v="67003310"/>
    <n v="0.88517051967643468"/>
    <x v="1"/>
  </r>
  <r>
    <s v="SP-0433"/>
    <s v="Transmitter"/>
    <s v="Instrumentation"/>
    <s v="Blast Furnace"/>
    <s v="High"/>
    <n v="27"/>
    <n v="11"/>
    <n v="8"/>
    <n v="30"/>
    <n v="2610"/>
    <n v="3"/>
    <n v="0"/>
    <n v="1"/>
    <s v="Supplier D"/>
    <n v="0.27800000000000002"/>
    <n v="21767.4"/>
    <n v="78300"/>
    <n v="20880"/>
    <n v="0.26666666666666666"/>
    <n v="1368.75"/>
    <x v="0"/>
    <n v="67081610"/>
    <n v="0.88620492904651893"/>
    <x v="1"/>
  </r>
  <r>
    <s v="SP-0394"/>
    <s v="Filter"/>
    <s v="Hydraulic"/>
    <s v="Blast Furnace"/>
    <s v="Low"/>
    <n v="50"/>
    <n v="43"/>
    <n v="38"/>
    <n v="55"/>
    <n v="1400"/>
    <n v="32"/>
    <n v="1"/>
    <n v="36"/>
    <s v="Supplier G"/>
    <n v="0.215"/>
    <n v="16555"/>
    <n v="77000"/>
    <n v="53200"/>
    <n v="0.69090909090909092"/>
    <n v="528.28947368421052"/>
    <x v="0"/>
    <n v="67158610"/>
    <n v="0.88722216431467338"/>
    <x v="1"/>
  </r>
  <r>
    <s v="SP-0359"/>
    <s v="Gasket"/>
    <s v="Consumable"/>
    <s v="Blast Furnace"/>
    <s v="Critical"/>
    <n v="25"/>
    <n v="13"/>
    <n v="8"/>
    <n v="30"/>
    <n v="2540"/>
    <n v="10"/>
    <n v="0"/>
    <n v="40"/>
    <s v="Supplier G"/>
    <n v="0.249"/>
    <n v="18973.8"/>
    <n v="76200"/>
    <n v="20320"/>
    <n v="0.26666666666666666"/>
    <n v="1368.75"/>
    <x v="0"/>
    <n v="67234810"/>
    <n v="0.88822883090471716"/>
    <x v="1"/>
  </r>
  <r>
    <s v="SP-0167"/>
    <s v="Contactor"/>
    <s v="Electrical"/>
    <s v="Sinter Plant"/>
    <s v="Critical"/>
    <n v="48"/>
    <n v="41"/>
    <n v="38"/>
    <n v="51"/>
    <n v="1470"/>
    <n v="31"/>
    <n v="0"/>
    <n v="9"/>
    <s v="Supplier A"/>
    <n v="0.24399999999999999"/>
    <n v="18292.68"/>
    <n v="74970"/>
    <n v="55860"/>
    <n v="0.74509803921568629"/>
    <n v="489.86842105263156"/>
    <x v="0"/>
    <n v="67309780"/>
    <n v="0.88921924815216569"/>
    <x v="1"/>
  </r>
  <r>
    <s v="SP-0049"/>
    <s v="Flow Meter"/>
    <s v="Instrumentation"/>
    <s v="Utilities"/>
    <s v="Low"/>
    <n v="16"/>
    <n v="1"/>
    <n v="1"/>
    <n v="16"/>
    <n v="4670"/>
    <n v="27"/>
    <n v="1"/>
    <n v="49"/>
    <s v="Supplier H"/>
    <n v="0.26800000000000002"/>
    <n v="20024.96"/>
    <n v="74720"/>
    <n v="4670"/>
    <n v="6.25E-2"/>
    <n v="5840"/>
    <x v="0"/>
    <n v="67384500"/>
    <n v="0.8902063626877047"/>
    <x v="1"/>
  </r>
  <r>
    <s v="SP-0058"/>
    <s v="Bearing"/>
    <s v="Mechanical"/>
    <s v="Sinter Plant"/>
    <s v="Medium"/>
    <n v="19"/>
    <n v="3"/>
    <n v="3"/>
    <n v="19"/>
    <n v="3860"/>
    <n v="36"/>
    <n v="0"/>
    <n v="13"/>
    <s v="Supplier H"/>
    <n v="0.25800000000000001"/>
    <n v="18921.72"/>
    <n v="73340"/>
    <n v="11580"/>
    <n v="0.15789473684210525"/>
    <n v="2311.666666666667"/>
    <x v="0"/>
    <n v="67457840"/>
    <n v="0.89117524625350264"/>
    <x v="1"/>
  </r>
  <r>
    <s v="SP-0019"/>
    <s v="Switch"/>
    <s v="Electrical"/>
    <s v="Sinter Plant"/>
    <s v="Low"/>
    <n v="34"/>
    <n v="54"/>
    <n v="48"/>
    <n v="40"/>
    <n v="1830"/>
    <n v="22"/>
    <n v="0"/>
    <n v="96"/>
    <s v="Supplier C"/>
    <n v="0.23200000000000001"/>
    <n v="16982.400000000001"/>
    <n v="73200"/>
    <n v="87840"/>
    <n v="1.2"/>
    <n v="304.16666666666669"/>
    <x v="2"/>
    <n v="67531040"/>
    <n v="0.89214228030063136"/>
    <x v="1"/>
  </r>
  <r>
    <s v="SP-0435"/>
    <s v="Roller"/>
    <s v="Mechanical"/>
    <s v="Steel Melting Shop"/>
    <s v="High"/>
    <n v="39"/>
    <n v="110"/>
    <n v="99"/>
    <n v="50"/>
    <n v="1450"/>
    <n v="17"/>
    <n v="0"/>
    <n v="36"/>
    <s v="Supplier D"/>
    <n v="0.156"/>
    <n v="11310"/>
    <n v="72500"/>
    <n v="143550"/>
    <n v="1.98"/>
    <n v="184.34343434343435"/>
    <x v="0"/>
    <n v="67603540"/>
    <n v="0.89310006675441311"/>
    <x v="1"/>
  </r>
  <r>
    <s v="SP-0453"/>
    <s v="Relay"/>
    <s v="Electrical"/>
    <s v="Steel Melting Shop"/>
    <s v="Medium"/>
    <n v="28"/>
    <n v="38"/>
    <n v="33"/>
    <n v="33"/>
    <n v="2190"/>
    <n v="23"/>
    <n v="1"/>
    <n v="150"/>
    <s v="Supplier B"/>
    <n v="0.27"/>
    <n v="19512.900000000001"/>
    <n v="72270"/>
    <n v="72270"/>
    <n v="1"/>
    <n v="365"/>
    <x v="2"/>
    <n v="67675810"/>
    <n v="0.89405481471323811"/>
    <x v="1"/>
  </r>
  <r>
    <s v="SP-0011"/>
    <s v="Coupling"/>
    <s v="Mechanical"/>
    <s v="Maintenance"/>
    <s v="Medium"/>
    <n v="24"/>
    <n v="52"/>
    <n v="38"/>
    <n v="38"/>
    <n v="1860"/>
    <n v="28"/>
    <n v="2"/>
    <n v="50"/>
    <s v="Supplier C"/>
    <n v="0.29399999999999998"/>
    <n v="20779.919999999998"/>
    <n v="70680"/>
    <n v="70680"/>
    <n v="1"/>
    <n v="365"/>
    <x v="0"/>
    <n v="67746490"/>
    <n v="0.89498855742431804"/>
    <x v="1"/>
  </r>
  <r>
    <s v="SP-0184"/>
    <s v="Air Filter"/>
    <s v="Pneumatic"/>
    <s v="Sinter Plant"/>
    <s v="Medium"/>
    <n v="49"/>
    <n v="54"/>
    <n v="44"/>
    <n v="60"/>
    <n v="1170"/>
    <n v="30"/>
    <n v="0"/>
    <n v="51"/>
    <s v="Supplier D"/>
    <n v="0.27"/>
    <n v="18954"/>
    <n v="70200"/>
    <n v="51480"/>
    <n v="0.73333333333333328"/>
    <n v="497.72727272727275"/>
    <x v="0"/>
    <n v="67816690"/>
    <n v="0.8959159589285316"/>
    <x v="1"/>
  </r>
  <r>
    <s v="SP-0172"/>
    <s v="Bearing"/>
    <s v="Mechanical"/>
    <s v="Sinter Plant"/>
    <s v="Medium"/>
    <n v="25"/>
    <n v="18"/>
    <n v="17"/>
    <n v="26"/>
    <n v="2680"/>
    <n v="23"/>
    <n v="0"/>
    <n v="67"/>
    <s v="Supplier D"/>
    <n v="0.21299999999999999"/>
    <n v="14841.84"/>
    <n v="69680"/>
    <n v="45560"/>
    <n v="0.65384615384615385"/>
    <n v="558.23529411764707"/>
    <x v="0"/>
    <n v="67886370"/>
    <n v="0.89683649079197314"/>
    <x v="1"/>
  </r>
  <r>
    <s v="SP-0397"/>
    <s v="Fitting"/>
    <s v="Pneumatic"/>
    <s v="Maintenance"/>
    <s v="Low"/>
    <n v="19"/>
    <n v="16"/>
    <n v="19"/>
    <n v="16"/>
    <n v="4320"/>
    <n v="49"/>
    <n v="1"/>
    <n v="60"/>
    <s v="Supplier F"/>
    <n v="0.19600000000000001"/>
    <n v="13547.52"/>
    <n v="69120"/>
    <n v="82080"/>
    <n v="1.1875"/>
    <n v="307.36842105263156"/>
    <x v="0"/>
    <n v="67955490"/>
    <n v="0.89774962458073726"/>
    <x v="1"/>
  </r>
  <r>
    <s v="SP-0153"/>
    <s v="Coupling"/>
    <s v="Mechanical"/>
    <s v="Blast Furnace"/>
    <s v="Critical"/>
    <n v="10"/>
    <n v="7"/>
    <n v="6"/>
    <n v="11"/>
    <n v="6240"/>
    <n v="39"/>
    <n v="0"/>
    <n v="122"/>
    <s v="Supplier E"/>
    <n v="0.183"/>
    <n v="12561.12"/>
    <n v="68640"/>
    <n v="37440"/>
    <n v="0.54545454545454541"/>
    <n v="669.16666666666674"/>
    <x v="2"/>
    <n v="68024130"/>
    <n v="0.89865641716263489"/>
    <x v="1"/>
  </r>
  <r>
    <s v="SP-0445"/>
    <s v="Pneumatic Valve"/>
    <s v="Pneumatic"/>
    <s v="Sinter Plant"/>
    <s v="Low"/>
    <n v="33"/>
    <n v="41"/>
    <n v="32"/>
    <n v="42"/>
    <n v="1630"/>
    <n v="26"/>
    <n v="0"/>
    <n v="44"/>
    <s v="Supplier A"/>
    <n v="0.22800000000000001"/>
    <n v="15608.88"/>
    <n v="68460"/>
    <n v="52160"/>
    <n v="0.76190476190476186"/>
    <n v="479.0625"/>
    <x v="0"/>
    <n v="68092590"/>
    <n v="0.89956083179195767"/>
    <x v="1"/>
  </r>
  <r>
    <s v="SP-0319"/>
    <s v="Roller"/>
    <s v="Mechanical"/>
    <s v="Utilities"/>
    <s v="Medium"/>
    <n v="27"/>
    <n v="54"/>
    <n v="44"/>
    <n v="45"/>
    <n v="1510"/>
    <n v="34"/>
    <n v="1"/>
    <n v="139"/>
    <s v="Supplier D"/>
    <n v="0.20899999999999999"/>
    <n v="14201.55"/>
    <n v="67950"/>
    <n v="66440"/>
    <n v="0.97777777777777775"/>
    <n v="373.29545454545456"/>
    <x v="2"/>
    <n v="68160540"/>
    <n v="0.90045850888898493"/>
    <x v="1"/>
  </r>
  <r>
    <s v="SP-0085"/>
    <s v="Contactor"/>
    <s v="Electrical"/>
    <s v="Maintenance"/>
    <s v="Low"/>
    <n v="19"/>
    <n v="5"/>
    <n v="5"/>
    <n v="19"/>
    <n v="3560"/>
    <n v="37"/>
    <n v="0"/>
    <n v="10"/>
    <s v="Supplier F"/>
    <n v="0.214"/>
    <n v="14474.96"/>
    <n v="67640"/>
    <n v="17800"/>
    <n v="0.26315789473684209"/>
    <n v="1387"/>
    <x v="0"/>
    <n v="68228180"/>
    <n v="0.90135209062324417"/>
    <x v="1"/>
  </r>
  <r>
    <s v="SP-0199"/>
    <s v="Pneumatic Valve"/>
    <s v="Pneumatic"/>
    <s v="Maintenance"/>
    <s v="Medium"/>
    <n v="7"/>
    <n v="5"/>
    <n v="4"/>
    <n v="8"/>
    <n v="8450"/>
    <n v="29"/>
    <n v="0"/>
    <n v="82"/>
    <s v="Supplier F"/>
    <n v="0.17199999999999999"/>
    <n v="11627.2"/>
    <n v="67600"/>
    <n v="33800"/>
    <n v="0.5"/>
    <n v="730"/>
    <x v="0"/>
    <n v="68295780"/>
    <n v="0.902245143923598"/>
    <x v="1"/>
  </r>
  <r>
    <s v="SP-0472"/>
    <s v="Gasket"/>
    <s v="Consumable"/>
    <s v="Maintenance"/>
    <s v="Critical"/>
    <n v="27"/>
    <n v="45"/>
    <n v="28"/>
    <n v="44"/>
    <n v="1520"/>
    <n v="29"/>
    <n v="1"/>
    <n v="3"/>
    <s v="Supplier C"/>
    <n v="0.25800000000000001"/>
    <n v="17255.04"/>
    <n v="66880"/>
    <n v="42560"/>
    <n v="0.63636363636363635"/>
    <n v="573.57142857142856"/>
    <x v="0"/>
    <n v="68362660"/>
    <n v="0.9031286854136521"/>
    <x v="1"/>
  </r>
  <r>
    <s v="SP-0072"/>
    <s v="Belt"/>
    <s v="Mechanical"/>
    <s v="Rolling Mill"/>
    <s v="Medium"/>
    <n v="18"/>
    <n v="2"/>
    <n v="4"/>
    <n v="92"/>
    <n v="710"/>
    <n v="39"/>
    <n v="0"/>
    <n v="134"/>
    <s v="Supplier F"/>
    <n v="0.24399999999999999"/>
    <n v="15938.08"/>
    <n v="65320"/>
    <n v="2840"/>
    <n v="4.3478260869565216E-2"/>
    <n v="8395"/>
    <x v="2"/>
    <n v="68427980"/>
    <n v="0.90399161798139038"/>
    <x v="1"/>
  </r>
  <r>
    <s v="SP-0149"/>
    <s v="Roller"/>
    <s v="Mechanical"/>
    <s v="Sinter Plant"/>
    <s v="Critical"/>
    <n v="20"/>
    <n v="13"/>
    <n v="9"/>
    <n v="24"/>
    <n v="2700"/>
    <n v="32"/>
    <n v="0"/>
    <n v="19"/>
    <s v="Supplier G"/>
    <n v="0.17199999999999999"/>
    <n v="11145.6"/>
    <n v="64800"/>
    <n v="24300"/>
    <n v="0.375"/>
    <n v="973.33333333333337"/>
    <x v="0"/>
    <n v="68492780"/>
    <n v="0.90484768090835677"/>
    <x v="1"/>
  </r>
  <r>
    <s v="SP-0466"/>
    <s v="Switch"/>
    <s v="Electrical"/>
    <s v="Utilities"/>
    <s v="High"/>
    <n v="15"/>
    <n v="9"/>
    <n v="7"/>
    <n v="17"/>
    <n v="3800"/>
    <n v="30"/>
    <n v="0"/>
    <n v="2"/>
    <s v="Supplier B"/>
    <n v="0.188"/>
    <n v="12144.8"/>
    <n v="64600"/>
    <n v="26600"/>
    <n v="0.41176470588235292"/>
    <n v="886.42857142857144"/>
    <x v="0"/>
    <n v="68557380"/>
    <n v="0.90570110166579543"/>
    <x v="1"/>
  </r>
  <r>
    <s v="SP-0074"/>
    <s v="Fitting"/>
    <s v="Pneumatic"/>
    <s v="Steel Melting Shop"/>
    <s v="Low"/>
    <n v="41"/>
    <n v="145"/>
    <n v="100"/>
    <n v="86"/>
    <n v="750"/>
    <n v="20"/>
    <n v="0"/>
    <n v="11"/>
    <s v="Supplier E"/>
    <n v="0.182"/>
    <n v="11739"/>
    <n v="64500"/>
    <n v="75000"/>
    <n v="1.1627906976744187"/>
    <n v="313.89999999999998"/>
    <x v="0"/>
    <n v="68621880"/>
    <n v="0.90655320133847028"/>
    <x v="1"/>
  </r>
  <r>
    <s v="SP-0475"/>
    <s v="Pressure Sensor"/>
    <s v="Instrumentation"/>
    <s v="Sinter Plant"/>
    <s v="Medium"/>
    <n v="30"/>
    <n v="19"/>
    <n v="15"/>
    <n v="34"/>
    <n v="1890"/>
    <n v="29"/>
    <n v="0"/>
    <n v="33"/>
    <s v="Supplier H"/>
    <n v="0.29099999999999998"/>
    <n v="18699.66"/>
    <n v="64260"/>
    <n v="28350"/>
    <n v="0.44117647058823528"/>
    <n v="827.33333333333337"/>
    <x v="0"/>
    <n v="68686140"/>
    <n v="0.90740213040771189"/>
    <x v="1"/>
  </r>
  <r>
    <s v="SP-0477"/>
    <s v="Gear"/>
    <s v="Mechanical"/>
    <s v="Steel Melting Shop"/>
    <s v="High"/>
    <n v="30"/>
    <n v="19"/>
    <n v="6"/>
    <n v="66"/>
    <n v="970"/>
    <n v="17"/>
    <n v="1"/>
    <n v="331"/>
    <s v="Supplier D"/>
    <n v="0.23"/>
    <n v="14724.6"/>
    <n v="64020"/>
    <n v="5820"/>
    <n v="9.0909090909090912E-2"/>
    <n v="4015"/>
    <x v="2"/>
    <n v="68750160"/>
    <n v="0.90824788887352026"/>
    <x v="1"/>
  </r>
  <r>
    <s v="SP-0411"/>
    <s v="Contactor"/>
    <s v="Electrical"/>
    <s v="Sinter Plant"/>
    <s v="Medium"/>
    <n v="6"/>
    <n v="36"/>
    <n v="24"/>
    <n v="18"/>
    <n v="3540"/>
    <n v="43"/>
    <n v="0"/>
    <n v="42"/>
    <s v="Supplier A"/>
    <n v="0.17699999999999999"/>
    <n v="11278.44"/>
    <n v="63720"/>
    <n v="84960"/>
    <n v="1.3333333333333333"/>
    <n v="273.75"/>
    <x v="0"/>
    <n v="68813880"/>
    <n v="0.90908968408503721"/>
    <x v="1"/>
  </r>
  <r>
    <s v="SP-0470"/>
    <s v="Lubricant"/>
    <s v="Consumable"/>
    <s v="Blast Furnace"/>
    <s v="Medium"/>
    <n v="59"/>
    <n v="78"/>
    <n v="7"/>
    <n v="81"/>
    <n v="780"/>
    <n v="39"/>
    <n v="0"/>
    <n v="274"/>
    <s v="Supplier G"/>
    <n v="0.29399999999999998"/>
    <n v="18574.919999999998"/>
    <n v="63180"/>
    <n v="5460"/>
    <n v="8.6419753086419748E-2"/>
    <n v="4223.5714285714284"/>
    <x v="2"/>
    <n v="68877060"/>
    <n v="0.90992434543882939"/>
    <x v="1"/>
  </r>
  <r>
    <s v="SP-0229"/>
    <s v="Electrode"/>
    <s v="Consumable"/>
    <s v="Blast Furnace"/>
    <s v="Critical"/>
    <n v="56"/>
    <n v="61"/>
    <n v="67"/>
    <n v="50"/>
    <n v="1250"/>
    <n v="3"/>
    <n v="0"/>
    <n v="24"/>
    <s v="Supplier G"/>
    <n v="0.28699999999999998"/>
    <n v="17937.5"/>
    <n v="62500"/>
    <n v="83750"/>
    <n v="1.34"/>
    <n v="272.38805970149252"/>
    <x v="0"/>
    <n v="68939560"/>
    <n v="0.91075002341622746"/>
    <x v="1"/>
  </r>
  <r>
    <s v="SP-0088"/>
    <s v="Controller"/>
    <s v="Instrumentation"/>
    <s v="Maintenance"/>
    <s v="High"/>
    <n v="29"/>
    <n v="20"/>
    <n v="4"/>
    <n v="63"/>
    <n v="990"/>
    <n v="18"/>
    <n v="0"/>
    <n v="247"/>
    <s v="Supplier F"/>
    <n v="0.192"/>
    <n v="11975.04"/>
    <n v="62370"/>
    <n v="3960"/>
    <n v="6.3492063492063489E-2"/>
    <n v="5748.75"/>
    <x v="2"/>
    <n v="69001930"/>
    <n v="0.91157398398343259"/>
    <x v="1"/>
  </r>
  <r>
    <s v="SP-0336"/>
    <s v="Gear"/>
    <s v="Mechanical"/>
    <s v="Sinter Plant"/>
    <s v="High"/>
    <n v="13"/>
    <n v="30"/>
    <n v="3"/>
    <n v="79"/>
    <n v="780"/>
    <n v="25"/>
    <n v="0"/>
    <n v="259"/>
    <s v="Supplier D"/>
    <n v="0.219"/>
    <n v="13494.78"/>
    <n v="61620"/>
    <n v="2340"/>
    <n v="3.7974683544303799E-2"/>
    <n v="9611.6666666666661"/>
    <x v="2"/>
    <n v="69063550"/>
    <n v="0.91238803641490884"/>
    <x v="1"/>
  </r>
  <r>
    <s v="SP-0063"/>
    <s v="Actuator"/>
    <s v="Pneumatic"/>
    <s v="Rolling Mill"/>
    <s v="Low"/>
    <n v="8"/>
    <n v="3"/>
    <n v="0"/>
    <n v="147"/>
    <n v="410"/>
    <n v="28"/>
    <n v="0"/>
    <n v="553"/>
    <s v="Supplier E"/>
    <n v="0.155"/>
    <n v="9341.85"/>
    <n v="60270"/>
    <n v="0"/>
    <n v="0"/>
    <n v="0"/>
    <x v="1"/>
    <n v="69123820"/>
    <n v="0.91318425420207339"/>
    <x v="1"/>
  </r>
  <r>
    <s v="SP-0124"/>
    <s v="Belt"/>
    <s v="Mechanical"/>
    <s v="Sinter Plant"/>
    <s v="Medium"/>
    <n v="18"/>
    <n v="5"/>
    <n v="3"/>
    <n v="20"/>
    <n v="3000"/>
    <n v="19"/>
    <n v="0"/>
    <n v="89"/>
    <s v="Supplier G"/>
    <n v="0.192"/>
    <n v="11520"/>
    <n v="60000"/>
    <n v="9000"/>
    <n v="0.15"/>
    <n v="2433.3333333333335"/>
    <x v="0"/>
    <n v="69183820"/>
    <n v="0.91397690506037554"/>
    <x v="1"/>
  </r>
  <r>
    <s v="SP-0068"/>
    <s v="Pneumatic Valve"/>
    <s v="Pneumatic"/>
    <s v="Utilities"/>
    <s v="Critical"/>
    <n v="17"/>
    <n v="106"/>
    <n v="0"/>
    <n v="88"/>
    <n v="680"/>
    <n v="4"/>
    <n v="1"/>
    <n v="583"/>
    <s v="Supplier C"/>
    <n v="0.255"/>
    <n v="15259.2"/>
    <n v="59840"/>
    <n v="0"/>
    <n v="0"/>
    <n v="0"/>
    <x v="1"/>
    <n v="69243660"/>
    <n v="0.91476744218305561"/>
    <x v="1"/>
  </r>
  <r>
    <s v="SP-0493"/>
    <s v="Seal"/>
    <s v="Mechanical"/>
    <s v="Blast Furnace"/>
    <s v="Medium"/>
    <n v="25"/>
    <n v="10"/>
    <n v="6"/>
    <n v="24"/>
    <n v="2490"/>
    <n v="18"/>
    <n v="0"/>
    <n v="281"/>
    <s v="Supplier D"/>
    <n v="0.22600000000000001"/>
    <n v="13505.76"/>
    <n v="59760"/>
    <n v="14940"/>
    <n v="0.25"/>
    <n v="1460"/>
    <x v="2"/>
    <n v="69303420"/>
    <n v="0.91555692243792453"/>
    <x v="1"/>
  </r>
  <r>
    <s v="SP-0469"/>
    <s v="Seal"/>
    <s v="Mechanical"/>
    <s v="Maintenance"/>
    <s v="Critical"/>
    <n v="26"/>
    <n v="38"/>
    <n v="22"/>
    <n v="42"/>
    <n v="1410"/>
    <n v="33"/>
    <n v="0"/>
    <n v="24"/>
    <s v="Supplier C"/>
    <n v="0.28199999999999997"/>
    <n v="16700.04"/>
    <n v="59220"/>
    <n v="31020"/>
    <n v="0.52380952380952384"/>
    <n v="696.81818181818176"/>
    <x v="0"/>
    <n v="69362640"/>
    <n v="0.91633926883506878"/>
    <x v="1"/>
  </r>
  <r>
    <s v="SP-0311"/>
    <s v="Cable"/>
    <s v="Electrical"/>
    <s v="Rolling Mill"/>
    <s v="Low"/>
    <n v="23"/>
    <n v="13"/>
    <n v="7"/>
    <n v="29"/>
    <n v="2040"/>
    <n v="14"/>
    <n v="0"/>
    <n v="37"/>
    <s v="Supplier A"/>
    <n v="0.26600000000000001"/>
    <n v="15736.56"/>
    <n v="59160"/>
    <n v="14280"/>
    <n v="0.2413793103448276"/>
    <n v="1512.1428571428571"/>
    <x v="0"/>
    <n v="69421800"/>
    <n v="0.91712082258135474"/>
    <x v="1"/>
  </r>
  <r>
    <s v="SP-0227"/>
    <s v="Fastener"/>
    <s v="Consumable"/>
    <s v="Steel Melting Shop"/>
    <s v="Critical"/>
    <n v="29"/>
    <n v="36"/>
    <n v="24"/>
    <n v="41"/>
    <n v="1440"/>
    <n v="41"/>
    <n v="1"/>
    <n v="64"/>
    <s v="Supplier C"/>
    <n v="0.28999999999999998"/>
    <n v="17121.599999999999"/>
    <n v="59040"/>
    <n v="34560"/>
    <n v="0.58536585365853655"/>
    <n v="623.54166666666674"/>
    <x v="0"/>
    <n v="69480840"/>
    <n v="0.91790079102592403"/>
    <x v="1"/>
  </r>
  <r>
    <s v="SP-0327"/>
    <s v="Controller"/>
    <s v="Instrumentation"/>
    <s v="Blast Furnace"/>
    <s v="Critical"/>
    <n v="8"/>
    <n v="25"/>
    <n v="20"/>
    <n v="13"/>
    <n v="4530"/>
    <n v="25"/>
    <n v="0"/>
    <n v="122"/>
    <s v="Supplier E"/>
    <n v="0.26400000000000001"/>
    <n v="15546.96"/>
    <n v="58890"/>
    <n v="90600"/>
    <n v="1.5384615384615385"/>
    <n v="237.25"/>
    <x v="2"/>
    <n v="69539730"/>
    <n v="0.91867877784334762"/>
    <x v="1"/>
  </r>
  <r>
    <s v="SP-0395"/>
    <s v="Switch"/>
    <s v="Electrical"/>
    <s v="Steel Melting Shop"/>
    <s v="Critical"/>
    <n v="18"/>
    <n v="4"/>
    <n v="4"/>
    <n v="18"/>
    <n v="3250"/>
    <n v="6"/>
    <n v="1"/>
    <n v="11"/>
    <s v="Supplier B"/>
    <n v="0.29899999999999999"/>
    <n v="17491.5"/>
    <n v="58500"/>
    <n v="13000"/>
    <n v="0.22222222222222221"/>
    <n v="1642.5"/>
    <x v="0"/>
    <n v="69598230"/>
    <n v="0.91945161243019224"/>
    <x v="1"/>
  </r>
  <r>
    <s v="SP-0126"/>
    <s v="Relay"/>
    <s v="Electrical"/>
    <s v="Steel Melting Shop"/>
    <s v="Medium"/>
    <n v="16"/>
    <n v="76"/>
    <n v="81"/>
    <n v="11"/>
    <n v="5280"/>
    <n v="34"/>
    <n v="0"/>
    <n v="13"/>
    <s v="Supplier C"/>
    <n v="0.20300000000000001"/>
    <n v="11790.24"/>
    <n v="58080"/>
    <n v="427680"/>
    <n v="7.3636363636363633"/>
    <n v="49.567901234567906"/>
    <x v="0"/>
    <n v="69656310"/>
    <n v="0.92021889846102878"/>
    <x v="1"/>
  </r>
  <r>
    <s v="SP-0094"/>
    <s v="Flow Meter"/>
    <s v="Instrumentation"/>
    <s v="Utilities"/>
    <s v="Medium"/>
    <n v="77"/>
    <n v="68"/>
    <n v="1"/>
    <n v="68"/>
    <n v="850"/>
    <n v="25"/>
    <n v="1"/>
    <n v="134"/>
    <s v="Supplier H"/>
    <n v="0.222"/>
    <n v="12831.6"/>
    <n v="57800"/>
    <n v="850"/>
    <n v="1.4705882352941176E-2"/>
    <n v="24820"/>
    <x v="2"/>
    <n v="69714110"/>
    <n v="0.92098248545452643"/>
    <x v="1"/>
  </r>
  <r>
    <s v="SP-0462"/>
    <s v="Temperature Sensor"/>
    <s v="Instrumentation"/>
    <s v="Sinter Plant"/>
    <s v="Low"/>
    <n v="10"/>
    <n v="8"/>
    <n v="6"/>
    <n v="12"/>
    <n v="4690"/>
    <n v="20"/>
    <n v="1"/>
    <n v="118"/>
    <s v="Supplier C"/>
    <n v="0.23400000000000001"/>
    <n v="13169.52"/>
    <n v="56280"/>
    <n v="28140"/>
    <n v="0.5"/>
    <n v="730"/>
    <x v="2"/>
    <n v="69770390"/>
    <n v="0.92172599195961391"/>
    <x v="1"/>
  </r>
  <r>
    <s v="SP-0143"/>
    <s v="Fuse"/>
    <s v="Electrical"/>
    <s v="Steel Melting Shop"/>
    <s v="High"/>
    <n v="17"/>
    <n v="11"/>
    <n v="9"/>
    <n v="19"/>
    <n v="2950"/>
    <n v="38"/>
    <n v="0"/>
    <n v="13"/>
    <s v="Supplier F"/>
    <n v="0.22500000000000001"/>
    <n v="12611.25"/>
    <n v="56050"/>
    <n v="26550"/>
    <n v="0.47368421052631576"/>
    <n v="770.55555555555554"/>
    <x v="0"/>
    <n v="69826440"/>
    <n v="0.92246645996974452"/>
    <x v="1"/>
  </r>
  <r>
    <s v="SP-0315"/>
    <s v="Air Filter"/>
    <s v="Pneumatic"/>
    <s v="Utilities"/>
    <s v="Medium"/>
    <n v="21"/>
    <n v="55"/>
    <n v="35"/>
    <n v="41"/>
    <n v="1350"/>
    <n v="18"/>
    <n v="1"/>
    <n v="203"/>
    <s v="Supplier A"/>
    <n v="0.214"/>
    <n v="11844.9"/>
    <n v="55350"/>
    <n v="47250"/>
    <n v="0.85365853658536583"/>
    <n v="427.57142857142856"/>
    <x v="2"/>
    <n v="69881790"/>
    <n v="0.92319768038652827"/>
    <x v="1"/>
  </r>
  <r>
    <s v="SP-0139"/>
    <s v="Switch"/>
    <s v="Electrical"/>
    <s v="Rolling Mill"/>
    <s v="Low"/>
    <n v="28"/>
    <n v="34"/>
    <n v="26"/>
    <n v="36"/>
    <n v="1530"/>
    <n v="57"/>
    <n v="0"/>
    <n v="81"/>
    <s v="Supplier H"/>
    <n v="0.24399999999999999"/>
    <n v="13439.52"/>
    <n v="55080"/>
    <n v="39780"/>
    <n v="0.72222222222222221"/>
    <n v="505.38461538461542"/>
    <x v="0"/>
    <n v="69936870"/>
    <n v="0.92392533387444964"/>
    <x v="1"/>
  </r>
  <r>
    <s v="SP-0095"/>
    <s v="Valve"/>
    <s v="Hydraulic"/>
    <s v="Maintenance"/>
    <s v="Low"/>
    <n v="19"/>
    <n v="2"/>
    <n v="2"/>
    <n v="19"/>
    <n v="2860"/>
    <n v="32"/>
    <n v="0"/>
    <n v="159"/>
    <s v="Supplier A"/>
    <n v="0.28999999999999998"/>
    <n v="15758.6"/>
    <n v="54340"/>
    <n v="5720"/>
    <n v="0.10526315789473684"/>
    <n v="3467.5"/>
    <x v="2"/>
    <n v="69991210"/>
    <n v="0.92464321133511862"/>
    <x v="1"/>
  </r>
  <r>
    <s v="SP-0281"/>
    <s v="Electrode"/>
    <s v="Consumable"/>
    <s v="Maintenance"/>
    <s v="Medium"/>
    <n v="121"/>
    <n v="150"/>
    <n v="121"/>
    <n v="150"/>
    <n v="360"/>
    <n v="32"/>
    <n v="0"/>
    <n v="87"/>
    <s v="Supplier D"/>
    <n v="0.17199999999999999"/>
    <n v="9288"/>
    <n v="54000"/>
    <n v="43560"/>
    <n v="0.80666666666666664"/>
    <n v="452.47933884297521"/>
    <x v="0"/>
    <n v="70045210"/>
    <n v="0.92535659710759055"/>
    <x v="1"/>
  </r>
  <r>
    <s v="SP-0318"/>
    <s v="Roller"/>
    <s v="Mechanical"/>
    <s v="Sinter Plant"/>
    <s v="Medium"/>
    <n v="21"/>
    <n v="30"/>
    <n v="19"/>
    <n v="32"/>
    <n v="1670"/>
    <n v="13"/>
    <n v="1"/>
    <n v="61"/>
    <s v="Supplier H"/>
    <n v="0.24099999999999999"/>
    <n v="12879.04"/>
    <n v="53440"/>
    <n v="31730"/>
    <n v="0.59375"/>
    <n v="614.73684210526312"/>
    <x v="0"/>
    <n v="70098650"/>
    <n v="0.92606258480538506"/>
    <x v="1"/>
  </r>
  <r>
    <s v="SP-0474"/>
    <s v="Gasket"/>
    <s v="Consumable"/>
    <s v="Utilities"/>
    <s v="Medium"/>
    <n v="14"/>
    <n v="19"/>
    <n v="16"/>
    <n v="17"/>
    <n v="3140"/>
    <n v="24"/>
    <n v="0"/>
    <n v="16"/>
    <s v="Supplier E"/>
    <n v="0.253"/>
    <n v="13505.14"/>
    <n v="53380"/>
    <n v="50240"/>
    <n v="0.94117647058823528"/>
    <n v="387.8125"/>
    <x v="0"/>
    <n v="70152030"/>
    <n v="0.92676777985232117"/>
    <x v="1"/>
  </r>
  <r>
    <s v="SP-0206"/>
    <s v="Bearing"/>
    <s v="Mechanical"/>
    <s v="Utilities"/>
    <s v="Medium"/>
    <n v="61"/>
    <n v="61"/>
    <n v="71"/>
    <n v="51"/>
    <n v="1040"/>
    <n v="23"/>
    <n v="0"/>
    <n v="34"/>
    <s v="Supplier E"/>
    <n v="0.218"/>
    <n v="11562.72"/>
    <n v="53040"/>
    <n v="73840"/>
    <n v="1.392156862745098"/>
    <n v="262.18309859154931"/>
    <x v="0"/>
    <n v="70205070"/>
    <n v="0.92746848321106035"/>
    <x v="1"/>
  </r>
  <r>
    <s v="SP-0496"/>
    <s v="Cable"/>
    <s v="Electrical"/>
    <s v="Sinter Plant"/>
    <s v="Medium"/>
    <n v="20"/>
    <n v="14"/>
    <n v="8"/>
    <n v="26"/>
    <n v="2030"/>
    <n v="37"/>
    <n v="0"/>
    <n v="160"/>
    <s v="Supplier D"/>
    <n v="0.26800000000000002"/>
    <n v="14145.04"/>
    <n v="52780"/>
    <n v="16240"/>
    <n v="0.30769230769230771"/>
    <n v="1186.25"/>
    <x v="2"/>
    <n v="70257850"/>
    <n v="0.92816575174941351"/>
    <x v="1"/>
  </r>
  <r>
    <s v="SP-0012"/>
    <s v="Fastener"/>
    <s v="Consumable"/>
    <s v="Blast Furnace"/>
    <s v="High"/>
    <n v="28"/>
    <n v="17"/>
    <n v="16"/>
    <n v="29"/>
    <n v="1790"/>
    <n v="31"/>
    <n v="0"/>
    <n v="138"/>
    <s v="Supplier A"/>
    <n v="0.152"/>
    <n v="7890.32"/>
    <n v="51910"/>
    <n v="28640"/>
    <n v="0.55172413793103448"/>
    <n v="661.5625"/>
    <x v="2"/>
    <n v="70309760"/>
    <n v="0.92885152685032124"/>
    <x v="1"/>
  </r>
  <r>
    <s v="SP-0219"/>
    <s v="Flow Meter"/>
    <s v="Instrumentation"/>
    <s v="Sinter Plant"/>
    <s v="Low"/>
    <n v="28"/>
    <n v="17"/>
    <n v="14"/>
    <n v="31"/>
    <n v="1660"/>
    <n v="35"/>
    <n v="0"/>
    <n v="15"/>
    <s v="Supplier G"/>
    <n v="0.16500000000000001"/>
    <n v="8490.9"/>
    <n v="51460"/>
    <n v="23240"/>
    <n v="0.45161290322580644"/>
    <n v="808.21428571428578"/>
    <x v="0"/>
    <n v="70361220"/>
    <n v="0.92953135706979173"/>
    <x v="1"/>
  </r>
  <r>
    <s v="SP-0321"/>
    <s v="Pressure Sensor"/>
    <s v="Instrumentation"/>
    <s v="Steel Melting Shop"/>
    <s v="High"/>
    <n v="18"/>
    <n v="11"/>
    <n v="8"/>
    <n v="21"/>
    <n v="2440"/>
    <n v="22"/>
    <n v="0"/>
    <n v="229"/>
    <s v="Supplier C"/>
    <n v="0.17499999999999999"/>
    <n v="8967"/>
    <n v="51240"/>
    <n v="19520"/>
    <n v="0.38095238095238093"/>
    <n v="958.125"/>
    <x v="2"/>
    <n v="70412460"/>
    <n v="0.93020828090278174"/>
    <x v="1"/>
  </r>
  <r>
    <s v="SP-0488"/>
    <s v="Belt"/>
    <s v="Mechanical"/>
    <s v="Steel Melting Shop"/>
    <s v="Medium"/>
    <n v="13"/>
    <n v="4"/>
    <n v="4"/>
    <n v="13"/>
    <n v="3870"/>
    <n v="13"/>
    <n v="0"/>
    <n v="11"/>
    <s v="Supplier D"/>
    <n v="0.23899999999999999"/>
    <n v="12024.09"/>
    <n v="50310"/>
    <n v="15480"/>
    <n v="0.30769230769230771"/>
    <n v="1186.25"/>
    <x v="0"/>
    <n v="70462770"/>
    <n v="0.93087291864746813"/>
    <x v="1"/>
  </r>
  <r>
    <s v="SP-0371"/>
    <s v="Seal"/>
    <s v="Mechanical"/>
    <s v="Blast Furnace"/>
    <s v="High"/>
    <n v="57"/>
    <n v="69"/>
    <n v="52"/>
    <n v="74"/>
    <n v="670"/>
    <n v="15"/>
    <n v="0"/>
    <n v="38"/>
    <s v="Supplier C"/>
    <n v="0.28100000000000003"/>
    <n v="13931.98"/>
    <n v="49580"/>
    <n v="34840"/>
    <n v="0.70270270270270274"/>
    <n v="519.42307692307691"/>
    <x v="0"/>
    <n v="70512350"/>
    <n v="0.93152791247337852"/>
    <x v="1"/>
  </r>
  <r>
    <s v="SP-0498"/>
    <s v="Gear"/>
    <s v="Mechanical"/>
    <s v="Maintenance"/>
    <s v="Medium"/>
    <n v="15"/>
    <n v="5"/>
    <n v="6"/>
    <n v="14"/>
    <n v="3540"/>
    <n v="15"/>
    <n v="0"/>
    <n v="109"/>
    <s v="Supplier F"/>
    <n v="0.245"/>
    <n v="12142.2"/>
    <n v="49560"/>
    <n v="21240"/>
    <n v="0.42857142857142855"/>
    <n v="851.66666666666674"/>
    <x v="2"/>
    <n v="70561910"/>
    <n v="0.93218264208233603"/>
    <x v="1"/>
  </r>
  <r>
    <s v="SP-0396"/>
    <s v="Lubricant"/>
    <s v="Consumable"/>
    <s v="Utilities"/>
    <s v="Medium"/>
    <n v="14"/>
    <n v="22"/>
    <n v="3"/>
    <n v="43"/>
    <n v="1120"/>
    <n v="31"/>
    <n v="0"/>
    <n v="354"/>
    <s v="Supplier G"/>
    <n v="0.28899999999999998"/>
    <n v="13918.24"/>
    <n v="48160"/>
    <n v="3360"/>
    <n v="6.9767441860465115E-2"/>
    <n v="5231.666666666667"/>
    <x v="2"/>
    <n v="70610070"/>
    <n v="0.93281887650459994"/>
    <x v="1"/>
  </r>
  <r>
    <s v="SP-0317"/>
    <s v="Contactor"/>
    <s v="Electrical"/>
    <s v="Steel Melting Shop"/>
    <s v="Low"/>
    <n v="9"/>
    <n v="17"/>
    <n v="15"/>
    <n v="11"/>
    <n v="4370"/>
    <n v="25"/>
    <n v="0"/>
    <n v="23"/>
    <s v="Supplier A"/>
    <n v="0.252"/>
    <n v="12113.64"/>
    <n v="48070"/>
    <n v="65550"/>
    <n v="1.3636363636363635"/>
    <n v="267.66666666666669"/>
    <x v="0"/>
    <n v="70658140"/>
    <n v="0.93345392195057642"/>
    <x v="1"/>
  </r>
  <r>
    <s v="SP-0174"/>
    <s v="Belt"/>
    <s v="Mechanical"/>
    <s v="Blast Furnace"/>
    <s v="Critical"/>
    <n v="14"/>
    <n v="17"/>
    <n v="14"/>
    <n v="17"/>
    <n v="2820"/>
    <n v="39"/>
    <n v="0"/>
    <n v="113"/>
    <s v="Supplier H"/>
    <n v="0.23"/>
    <n v="11026.2"/>
    <n v="47940"/>
    <n v="39480"/>
    <n v="0.82352941176470584"/>
    <n v="443.21428571428572"/>
    <x v="2"/>
    <n v="70706080"/>
    <n v="0.93408724998635984"/>
    <x v="1"/>
  </r>
  <r>
    <s v="SP-0021"/>
    <s v="Transmitter"/>
    <s v="Instrumentation"/>
    <s v="Maintenance"/>
    <s v="High"/>
    <n v="50"/>
    <n v="87"/>
    <n v="60"/>
    <n v="77"/>
    <n v="620"/>
    <n v="3"/>
    <n v="0"/>
    <n v="28"/>
    <s v="Supplier B"/>
    <n v="0.17599999999999999"/>
    <n v="8402.24"/>
    <n v="47740"/>
    <n v="37200"/>
    <n v="0.77922077922077926"/>
    <n v="468.41666666666663"/>
    <x v="0"/>
    <n v="70753820"/>
    <n v="0.93471793585261553"/>
    <x v="1"/>
  </r>
  <r>
    <s v="SP-0064"/>
    <s v="Contactor"/>
    <s v="Electrical"/>
    <s v="Maintenance"/>
    <s v="Medium"/>
    <n v="8"/>
    <n v="48"/>
    <n v="34"/>
    <n v="22"/>
    <n v="2170"/>
    <n v="28"/>
    <n v="0"/>
    <n v="98"/>
    <s v="Supplier C"/>
    <n v="0.189"/>
    <n v="9022.86"/>
    <n v="47740"/>
    <n v="73780"/>
    <n v="1.5454545454545454"/>
    <n v="236.1764705882353"/>
    <x v="2"/>
    <n v="70801560"/>
    <n v="0.93534862171887134"/>
    <x v="1"/>
  </r>
  <r>
    <s v="SP-0297"/>
    <s v="Cylinder"/>
    <s v="Hydraulic"/>
    <s v="Steel Melting Shop"/>
    <s v="High"/>
    <n v="8"/>
    <n v="28"/>
    <n v="19"/>
    <n v="17"/>
    <n v="2800"/>
    <n v="32"/>
    <n v="0"/>
    <n v="21"/>
    <s v="Supplier A"/>
    <n v="0.21"/>
    <n v="9996"/>
    <n v="47600"/>
    <n v="53200"/>
    <n v="1.1176470588235294"/>
    <n v="326.57894736842104"/>
    <x v="0"/>
    <n v="70849160"/>
    <n v="0.93597745806645771"/>
    <x v="1"/>
  </r>
  <r>
    <s v="SP-0189"/>
    <s v="Transmitter"/>
    <s v="Instrumentation"/>
    <s v="Utilities"/>
    <s v="Low"/>
    <n v="18"/>
    <n v="13"/>
    <n v="0"/>
    <n v="21"/>
    <n v="2260"/>
    <n v="36"/>
    <n v="0"/>
    <n v="472"/>
    <s v="Supplier A"/>
    <n v="0.151"/>
    <n v="7166.46"/>
    <n v="47460"/>
    <n v="0"/>
    <n v="0"/>
    <n v="0"/>
    <x v="1"/>
    <n v="70896620"/>
    <n v="0.93660444489537475"/>
    <x v="1"/>
  </r>
  <r>
    <s v="SP-0473"/>
    <s v="Seal"/>
    <s v="Mechanical"/>
    <s v="Utilities"/>
    <s v="Low"/>
    <n v="18"/>
    <n v="14"/>
    <n v="9"/>
    <n v="23"/>
    <n v="2050"/>
    <n v="19"/>
    <n v="0"/>
    <n v="18"/>
    <s v="Supplier H"/>
    <n v="0.23799999999999999"/>
    <n v="11221.7"/>
    <n v="47150"/>
    <n v="18450"/>
    <n v="0.39130434782608697"/>
    <n v="932.77777777777771"/>
    <x v="0"/>
    <n v="70943770"/>
    <n v="0.93722733636152378"/>
    <x v="1"/>
  </r>
  <r>
    <s v="SP-0290"/>
    <s v="Controller"/>
    <s v="Instrumentation"/>
    <s v="Maintenance"/>
    <s v="Medium"/>
    <n v="10"/>
    <n v="11"/>
    <n v="8"/>
    <n v="13"/>
    <n v="3620"/>
    <n v="10"/>
    <n v="0"/>
    <n v="10"/>
    <s v="Supplier D"/>
    <n v="0.27200000000000002"/>
    <n v="12800.32"/>
    <n v="47060"/>
    <n v="28960"/>
    <n v="0.61538461538461542"/>
    <n v="593.125"/>
    <x v="0"/>
    <n v="70990830"/>
    <n v="0.93784903885138549"/>
    <x v="1"/>
  </r>
  <r>
    <s v="SP-0252"/>
    <s v="Motor"/>
    <s v="Electrical"/>
    <s v="Rolling Mill"/>
    <s v="Low"/>
    <n v="19"/>
    <n v="8"/>
    <n v="8"/>
    <n v="19"/>
    <n v="2440"/>
    <n v="25"/>
    <n v="0"/>
    <n v="92"/>
    <s v="Supplier G"/>
    <n v="0.28100000000000003"/>
    <n v="13027.16"/>
    <n v="46360"/>
    <n v="19520"/>
    <n v="0.42105263157894735"/>
    <n v="866.875"/>
    <x v="2"/>
    <n v="71037190"/>
    <n v="0.93846149374790033"/>
    <x v="1"/>
  </r>
  <r>
    <s v="SP-0052"/>
    <s v="Filter"/>
    <s v="Hydraulic"/>
    <s v="Blast Furnace"/>
    <s v="Medium"/>
    <n v="11"/>
    <n v="6"/>
    <n v="7"/>
    <n v="10"/>
    <n v="4600"/>
    <n v="15"/>
    <n v="0"/>
    <n v="9"/>
    <s v="Supplier G"/>
    <n v="0.28599999999999998"/>
    <n v="13156"/>
    <n v="46000"/>
    <n v="32200"/>
    <n v="0.7"/>
    <n v="521.42857142857144"/>
    <x v="0"/>
    <n v="71083190"/>
    <n v="0.93906919273926526"/>
    <x v="1"/>
  </r>
  <r>
    <s v="SP-0217"/>
    <s v="Switch"/>
    <s v="Electrical"/>
    <s v="Rolling Mill"/>
    <s v="Medium"/>
    <n v="32"/>
    <n v="61"/>
    <n v="41"/>
    <n v="52"/>
    <n v="880"/>
    <n v="16"/>
    <n v="0"/>
    <n v="12"/>
    <s v="Supplier G"/>
    <n v="0.25700000000000001"/>
    <n v="11760.32"/>
    <n v="45760"/>
    <n v="36080"/>
    <n v="0.78846153846153844"/>
    <n v="462.92682926829269"/>
    <x v="0"/>
    <n v="71128950"/>
    <n v="0.93967372112719705"/>
    <x v="1"/>
  </r>
  <r>
    <s v="SP-0098"/>
    <s v="Fuse"/>
    <s v="Electrical"/>
    <s v="Blast Furnace"/>
    <s v="Medium"/>
    <n v="17"/>
    <n v="13"/>
    <n v="8"/>
    <n v="22"/>
    <n v="2070"/>
    <n v="24"/>
    <n v="1"/>
    <n v="138"/>
    <s v="Supplier G"/>
    <n v="0.18"/>
    <n v="8197.1999999999989"/>
    <n v="45540"/>
    <n v="16560"/>
    <n v="0.36363636363636365"/>
    <n v="1003.75"/>
    <x v="2"/>
    <n v="71174490"/>
    <n v="0.94027534312864847"/>
    <x v="1"/>
  </r>
  <r>
    <s v="SP-0136"/>
    <s v="Fuse"/>
    <s v="Electrical"/>
    <s v="Blast Furnace"/>
    <s v="Critical"/>
    <n v="8"/>
    <n v="7"/>
    <n v="4"/>
    <n v="11"/>
    <n v="4090"/>
    <n v="31"/>
    <n v="0"/>
    <n v="44"/>
    <s v="Supplier D"/>
    <n v="0.20100000000000001"/>
    <n v="9042.99"/>
    <n v="44990"/>
    <n v="16360"/>
    <n v="0.36363636363636365"/>
    <n v="1003.75"/>
    <x v="0"/>
    <n v="71219480"/>
    <n v="0.94086969916389862"/>
    <x v="1"/>
  </r>
  <r>
    <s v="SP-0270"/>
    <s v="Belt"/>
    <s v="Mechanical"/>
    <s v="Sinter Plant"/>
    <s v="Critical"/>
    <n v="27"/>
    <n v="18"/>
    <n v="12"/>
    <n v="33"/>
    <n v="1360"/>
    <n v="18"/>
    <n v="0"/>
    <n v="39"/>
    <s v="Supplier D"/>
    <n v="0.22500000000000001"/>
    <n v="10098"/>
    <n v="44880"/>
    <n v="16320"/>
    <n v="0.36363636363636365"/>
    <n v="1003.75"/>
    <x v="0"/>
    <n v="71264360"/>
    <n v="0.9414626020059087"/>
    <x v="1"/>
  </r>
  <r>
    <s v="SP-0220"/>
    <s v="Air Filter"/>
    <s v="Pneumatic"/>
    <s v="Maintenance"/>
    <s v="High"/>
    <n v="17"/>
    <n v="35"/>
    <n v="24"/>
    <n v="28"/>
    <n v="1600"/>
    <n v="23"/>
    <n v="0"/>
    <n v="258"/>
    <s v="Supplier E"/>
    <n v="0.28799999999999998"/>
    <n v="12902.4"/>
    <n v="44800"/>
    <n v="38400"/>
    <n v="0.8571428571428571"/>
    <n v="425.83333333333337"/>
    <x v="2"/>
    <n v="71309160"/>
    <n v="0.94205444798010762"/>
    <x v="1"/>
  </r>
  <r>
    <s v="SP-0452"/>
    <s v="Transmitter"/>
    <s v="Instrumentation"/>
    <s v="Blast Furnace"/>
    <s v="Critical"/>
    <n v="13"/>
    <n v="5"/>
    <n v="3"/>
    <n v="15"/>
    <n v="2980"/>
    <n v="9"/>
    <n v="0"/>
    <n v="71"/>
    <s v="Supplier G"/>
    <n v="0.28999999999999998"/>
    <n v="12963"/>
    <n v="44700"/>
    <n v="8940"/>
    <n v="0.2"/>
    <n v="1825"/>
    <x v="0"/>
    <n v="71353860"/>
    <n v="0.94264497286954274"/>
    <x v="1"/>
  </r>
  <r>
    <s v="SP-0419"/>
    <s v="Hose"/>
    <s v="Hydraulic"/>
    <s v="Utilities"/>
    <s v="Medium"/>
    <n v="31"/>
    <n v="43"/>
    <n v="32"/>
    <n v="42"/>
    <n v="1060"/>
    <n v="19"/>
    <n v="0"/>
    <n v="307"/>
    <s v="Supplier C"/>
    <n v="0.16600000000000001"/>
    <n v="7390.3200000000006"/>
    <n v="44520"/>
    <n v="33920"/>
    <n v="0.76190476190476186"/>
    <n v="479.0625"/>
    <x v="2"/>
    <n v="71398380"/>
    <n v="0.94323311980640301"/>
    <x v="1"/>
  </r>
  <r>
    <s v="SP-0258"/>
    <s v="Filter"/>
    <s v="Hydraulic"/>
    <s v="Steel Melting Shop"/>
    <s v="Medium"/>
    <n v="43"/>
    <n v="39"/>
    <n v="26"/>
    <n v="56"/>
    <n v="790"/>
    <n v="21"/>
    <n v="0"/>
    <n v="159"/>
    <s v="Supplier A"/>
    <n v="0.154"/>
    <n v="6812.96"/>
    <n v="44240"/>
    <n v="20540"/>
    <n v="0.4642857142857143"/>
    <n v="786.15384615384608"/>
    <x v="2"/>
    <n v="71442620"/>
    <n v="0.9438175677059244"/>
    <x v="1"/>
  </r>
  <r>
    <s v="SP-0061"/>
    <s v="Cable"/>
    <s v="Electrical"/>
    <s v="Utilities"/>
    <s v="Medium"/>
    <n v="31"/>
    <n v="16"/>
    <n v="1"/>
    <n v="42"/>
    <n v="1050"/>
    <n v="42"/>
    <n v="0"/>
    <n v="169"/>
    <s v="Supplier D"/>
    <n v="0.27700000000000002"/>
    <n v="12215.7"/>
    <n v="44100"/>
    <n v="1050"/>
    <n v="2.3809523809523808E-2"/>
    <n v="15330"/>
    <x v="2"/>
    <n v="71486720"/>
    <n v="0.94440016608677646"/>
    <x v="1"/>
  </r>
  <r>
    <s v="SP-0377"/>
    <s v="Actuator"/>
    <s v="Pneumatic"/>
    <s v="Rolling Mill"/>
    <s v="High"/>
    <n v="29"/>
    <n v="31"/>
    <n v="24"/>
    <n v="36"/>
    <n v="1220"/>
    <n v="21"/>
    <n v="0"/>
    <n v="14"/>
    <s v="Supplier H"/>
    <n v="0.192"/>
    <n v="8432.64"/>
    <n v="43920"/>
    <n v="29280"/>
    <n v="0.66666666666666663"/>
    <n v="547.5"/>
    <x v="0"/>
    <n v="71530640"/>
    <n v="0.94498038651505367"/>
    <x v="1"/>
  </r>
  <r>
    <s v="SP-0376"/>
    <s v="Relay"/>
    <s v="Electrical"/>
    <s v="Rolling Mill"/>
    <s v="Low"/>
    <n v="31"/>
    <n v="47"/>
    <n v="6"/>
    <n v="35"/>
    <n v="1250"/>
    <n v="24"/>
    <n v="0"/>
    <n v="111"/>
    <s v="Supplier D"/>
    <n v="0.156"/>
    <n v="6825"/>
    <n v="43750"/>
    <n v="7500"/>
    <n v="0.17142857142857143"/>
    <n v="2129.1666666666665"/>
    <x v="2"/>
    <n v="71574390"/>
    <n v="0.9455583610992323"/>
    <x v="1"/>
  </r>
  <r>
    <s v="SP-0414"/>
    <s v="Transmitter"/>
    <s v="Instrumentation"/>
    <s v="Maintenance"/>
    <s v="Critical"/>
    <n v="69"/>
    <n v="148"/>
    <n v="4"/>
    <n v="64"/>
    <n v="680"/>
    <n v="25"/>
    <n v="1"/>
    <n v="130"/>
    <s v="Supplier E"/>
    <n v="0.28999999999999998"/>
    <n v="12620.8"/>
    <n v="43520"/>
    <n v="2720"/>
    <n v="6.25E-2"/>
    <n v="5840"/>
    <x v="2"/>
    <n v="71617910"/>
    <n v="0.94613329718845418"/>
    <x v="1"/>
  </r>
  <r>
    <s v="SP-0046"/>
    <s v="Transmitter"/>
    <s v="Instrumentation"/>
    <s v="Maintenance"/>
    <s v="Medium"/>
    <n v="28"/>
    <n v="31"/>
    <n v="35"/>
    <n v="24"/>
    <n v="1810"/>
    <n v="3"/>
    <n v="0"/>
    <n v="83"/>
    <s v="Supplier E"/>
    <n v="0.219"/>
    <n v="9513.36"/>
    <n v="43440"/>
    <n v="63350"/>
    <n v="1.4583333333333333"/>
    <n v="250.28571428571431"/>
    <x v="0"/>
    <n v="71661350"/>
    <n v="0.94670717640986501"/>
    <x v="1"/>
  </r>
  <r>
    <s v="SP-0360"/>
    <s v="Pressure Sensor"/>
    <s v="Instrumentation"/>
    <s v="Blast Furnace"/>
    <s v="Medium"/>
    <n v="25"/>
    <n v="68"/>
    <n v="61"/>
    <n v="32"/>
    <n v="1350"/>
    <n v="18"/>
    <n v="0"/>
    <n v="33"/>
    <s v="Supplier A"/>
    <n v="0.28699999999999998"/>
    <n v="12398.4"/>
    <n v="43200"/>
    <n v="82350"/>
    <n v="1.90625"/>
    <n v="191.47540983606558"/>
    <x v="0"/>
    <n v="71704550"/>
    <n v="0.94727788502784249"/>
    <x v="1"/>
  </r>
  <r>
    <s v="SP-0271"/>
    <s v="Air Filter"/>
    <s v="Pneumatic"/>
    <s v="Steel Melting Shop"/>
    <s v="Low"/>
    <n v="23"/>
    <n v="5"/>
    <n v="6"/>
    <n v="22"/>
    <n v="1930"/>
    <n v="3"/>
    <n v="0"/>
    <n v="4"/>
    <s v="Supplier A"/>
    <n v="0.25800000000000001"/>
    <n v="10954.68"/>
    <n v="42460"/>
    <n v="11580"/>
    <n v="0.27272727272727271"/>
    <n v="1338.3333333333335"/>
    <x v="0"/>
    <n v="71747010"/>
    <n v="0.9478388176185677"/>
    <x v="1"/>
  </r>
  <r>
    <s v="SP-0424"/>
    <s v="Switch"/>
    <s v="Electrical"/>
    <s v="Utilities"/>
    <s v="Medium"/>
    <n v="32"/>
    <n v="24"/>
    <n v="20"/>
    <n v="36"/>
    <n v="1170"/>
    <n v="22"/>
    <n v="0"/>
    <n v="23"/>
    <s v="Supplier D"/>
    <n v="0.157"/>
    <n v="6612.84"/>
    <n v="42120"/>
    <n v="23400"/>
    <n v="0.55555555555555558"/>
    <n v="657"/>
    <x v="0"/>
    <n v="71789130"/>
    <n v="0.94839525852109585"/>
    <x v="1"/>
  </r>
  <r>
    <s v="SP-0392"/>
    <s v="Switch"/>
    <s v="Electrical"/>
    <s v="Steel Melting Shop"/>
    <s v="Critical"/>
    <n v="18"/>
    <n v="4"/>
    <n v="3"/>
    <n v="19"/>
    <n v="2210"/>
    <n v="22"/>
    <n v="0"/>
    <n v="34"/>
    <s v="Supplier B"/>
    <n v="0.223"/>
    <n v="9363.77"/>
    <n v="41990"/>
    <n v="6630"/>
    <n v="0.15789473684210525"/>
    <n v="2311.666666666667"/>
    <x v="0"/>
    <n v="71831120"/>
    <n v="0.94894998201343095"/>
    <x v="1"/>
  </r>
  <r>
    <s v="SP-0005"/>
    <s v="Belt"/>
    <s v="Mechanical"/>
    <s v="Utilities"/>
    <s v="Low"/>
    <n v="51"/>
    <n v="73"/>
    <n v="1"/>
    <n v="45"/>
    <n v="930"/>
    <n v="48"/>
    <n v="0"/>
    <n v="201"/>
    <s v="Supplier E"/>
    <n v="0.29299999999999998"/>
    <n v="12262.05"/>
    <n v="41850"/>
    <n v="930"/>
    <n v="2.2222222222222223E-2"/>
    <n v="16425"/>
    <x v="2"/>
    <n v="71872970"/>
    <n v="0.94950285598709672"/>
    <x v="1"/>
  </r>
  <r>
    <s v="SP-0155"/>
    <s v="Gasket"/>
    <s v="Consumable"/>
    <s v="Utilities"/>
    <s v="Medium"/>
    <n v="16"/>
    <n v="7"/>
    <n v="6"/>
    <n v="17"/>
    <n v="2460"/>
    <n v="4"/>
    <n v="0"/>
    <n v="48"/>
    <s v="Supplier D"/>
    <n v="0.17299999999999999"/>
    <n v="7234.86"/>
    <n v="41820"/>
    <n v="14760"/>
    <n v="0.35294117647058826"/>
    <n v="1034.1666666666665"/>
    <x v="0"/>
    <n v="71914790"/>
    <n v="0.95005533363533334"/>
    <x v="2"/>
  </r>
  <r>
    <s v="SP-0040"/>
    <s v="Contactor"/>
    <s v="Electrical"/>
    <s v="Rolling Mill"/>
    <s v="Critical"/>
    <n v="36"/>
    <n v="35"/>
    <n v="39"/>
    <n v="32"/>
    <n v="1290"/>
    <n v="29"/>
    <n v="1"/>
    <n v="225"/>
    <s v="Supplier C"/>
    <n v="0.19400000000000001"/>
    <n v="8008.3200000000006"/>
    <n v="41280"/>
    <n v="50310"/>
    <n v="1.21875"/>
    <n v="299.4871794871795"/>
    <x v="2"/>
    <n v="71956070"/>
    <n v="0.9506006774258452"/>
    <x v="2"/>
  </r>
  <r>
    <s v="SP-0447"/>
    <s v="Electrode"/>
    <s v="Consumable"/>
    <s v="Maintenance"/>
    <s v="Medium"/>
    <n v="13"/>
    <n v="24"/>
    <n v="16"/>
    <n v="21"/>
    <n v="1940"/>
    <n v="49"/>
    <n v="0"/>
    <n v="2"/>
    <s v="Supplier B"/>
    <n v="0.22800000000000001"/>
    <n v="9288.7200000000012"/>
    <n v="40740"/>
    <n v="31040"/>
    <n v="0.76190476190476186"/>
    <n v="479.0625"/>
    <x v="0"/>
    <n v="71996810"/>
    <n v="0.95113888735863239"/>
    <x v="2"/>
  </r>
  <r>
    <s v="SP-0015"/>
    <s v="Coupling"/>
    <s v="Mechanical"/>
    <s v="Sinter Plant"/>
    <s v="Medium"/>
    <n v="19"/>
    <n v="15"/>
    <n v="11"/>
    <n v="23"/>
    <n v="1760"/>
    <n v="19"/>
    <n v="0"/>
    <n v="54"/>
    <s v="Supplier D"/>
    <n v="0.154"/>
    <n v="6233.92"/>
    <n v="40480"/>
    <n v="19360"/>
    <n v="0.47826086956521741"/>
    <n v="763.18181818181813"/>
    <x v="0"/>
    <n v="72037290"/>
    <n v="0.95167366247103358"/>
    <x v="2"/>
  </r>
  <r>
    <s v="SP-0431"/>
    <s v="Coupling"/>
    <s v="Mechanical"/>
    <s v="Sinter Plant"/>
    <s v="Critical"/>
    <n v="10"/>
    <n v="100"/>
    <n v="72"/>
    <n v="38"/>
    <n v="1060"/>
    <n v="42"/>
    <n v="0"/>
    <n v="2"/>
    <s v="Supplier E"/>
    <n v="0.26"/>
    <n v="10472.799999999999"/>
    <n v="40280"/>
    <n v="76320"/>
    <n v="1.8947368421052631"/>
    <n v="192.63888888888889"/>
    <x v="0"/>
    <n v="72077570"/>
    <n v="0.95220579541390704"/>
    <x v="2"/>
  </r>
  <r>
    <s v="SP-0099"/>
    <s v="Gear"/>
    <s v="Mechanical"/>
    <s v="Maintenance"/>
    <s v="Medium"/>
    <n v="23"/>
    <n v="23"/>
    <n v="14"/>
    <n v="32"/>
    <n v="1250"/>
    <n v="24"/>
    <n v="0"/>
    <n v="117"/>
    <s v="Supplier E"/>
    <n v="0.26700000000000002"/>
    <n v="10680"/>
    <n v="40000"/>
    <n v="17500"/>
    <n v="0.4375"/>
    <n v="834.28571428571433"/>
    <x v="2"/>
    <n v="72117570"/>
    <n v="0.95273422931944185"/>
    <x v="2"/>
  </r>
  <r>
    <s v="SP-0295"/>
    <s v="Coupling"/>
    <s v="Mechanical"/>
    <s v="Steel Melting Shop"/>
    <s v="Low"/>
    <n v="57"/>
    <n v="86"/>
    <n v="79"/>
    <n v="64"/>
    <n v="620"/>
    <n v="29"/>
    <n v="1"/>
    <n v="217"/>
    <s v="Supplier C"/>
    <n v="0.23400000000000001"/>
    <n v="9285.1200000000008"/>
    <n v="39680"/>
    <n v="48980"/>
    <n v="1.234375"/>
    <n v="295.69620253164555"/>
    <x v="2"/>
    <n v="72157250"/>
    <n v="0.95325843575373237"/>
    <x v="2"/>
  </r>
  <r>
    <s v="SP-0208"/>
    <s v="Controller"/>
    <s v="Instrumentation"/>
    <s v="Sinter Plant"/>
    <s v="Low"/>
    <n v="20"/>
    <n v="10"/>
    <n v="8"/>
    <n v="22"/>
    <n v="1800"/>
    <n v="21"/>
    <n v="0"/>
    <n v="312"/>
    <s v="Supplier F"/>
    <n v="0.27500000000000002"/>
    <n v="10890"/>
    <n v="39600"/>
    <n v="14400"/>
    <n v="0.36363636363636365"/>
    <n v="1003.75"/>
    <x v="2"/>
    <n v="72196850"/>
    <n v="0.95378158532021184"/>
    <x v="2"/>
  </r>
  <r>
    <s v="SP-0413"/>
    <s v="Grinding Wheel"/>
    <s v="Consumable"/>
    <s v="Maintenance"/>
    <s v="High"/>
    <n v="19"/>
    <n v="18"/>
    <n v="12"/>
    <n v="25"/>
    <n v="1580"/>
    <n v="21"/>
    <n v="1"/>
    <n v="89"/>
    <s v="Supplier G"/>
    <n v="0.191"/>
    <n v="7544.5"/>
    <n v="39500"/>
    <n v="18960"/>
    <n v="0.48"/>
    <n v="760.41666666666674"/>
    <x v="0"/>
    <n v="72236350"/>
    <n v="0.9543034138019274"/>
    <x v="2"/>
  </r>
  <r>
    <s v="SP-0355"/>
    <s v="Seal"/>
    <s v="Mechanical"/>
    <s v="Blast Furnace"/>
    <s v="High"/>
    <n v="8"/>
    <n v="9"/>
    <n v="5"/>
    <n v="12"/>
    <n v="3230"/>
    <n v="23"/>
    <n v="0"/>
    <n v="220"/>
    <s v="Supplier C"/>
    <n v="0.16800000000000001"/>
    <n v="6511.68"/>
    <n v="38760"/>
    <n v="16150"/>
    <n v="0.41666666666666669"/>
    <n v="876"/>
    <x v="2"/>
    <n v="72275110"/>
    <n v="0.95481546625639058"/>
    <x v="2"/>
  </r>
  <r>
    <s v="SP-0415"/>
    <s v="Flow Meter"/>
    <s v="Instrumentation"/>
    <s v="Utilities"/>
    <s v="Critical"/>
    <n v="7"/>
    <n v="6"/>
    <n v="6"/>
    <n v="7"/>
    <n v="5470"/>
    <n v="10"/>
    <n v="1"/>
    <n v="71"/>
    <s v="Supplier E"/>
    <n v="0.20499999999999999"/>
    <n v="7849.45"/>
    <n v="38290"/>
    <n v="32820"/>
    <n v="0.8571428571428571"/>
    <n v="425.83333333333337"/>
    <x v="0"/>
    <n v="72313400"/>
    <n v="0.95532130961246375"/>
    <x v="2"/>
  </r>
  <r>
    <s v="SP-0043"/>
    <s v="Roller"/>
    <s v="Mechanical"/>
    <s v="Blast Furnace"/>
    <s v="Medium"/>
    <n v="31"/>
    <n v="17"/>
    <n v="17"/>
    <n v="31"/>
    <n v="1230"/>
    <n v="25"/>
    <n v="0"/>
    <n v="63"/>
    <s v="Supplier H"/>
    <n v="0.159"/>
    <n v="6062.67"/>
    <n v="38130"/>
    <n v="20910"/>
    <n v="0.54838709677419351"/>
    <n v="665.58823529411768"/>
    <x v="0"/>
    <n v="72351530"/>
    <n v="0.95582503923291473"/>
    <x v="2"/>
  </r>
  <r>
    <s v="SP-0055"/>
    <s v="Controller"/>
    <s v="Instrumentation"/>
    <s v="Utilities"/>
    <s v="Medium"/>
    <n v="36"/>
    <n v="96"/>
    <n v="64"/>
    <n v="68"/>
    <n v="560"/>
    <n v="17"/>
    <n v="0"/>
    <n v="40"/>
    <s v="Supplier E"/>
    <n v="0.182"/>
    <n v="6930.5599999999986"/>
    <n v="38080"/>
    <n v="35840"/>
    <n v="0.94117647058823528"/>
    <n v="387.8125"/>
    <x v="0"/>
    <n v="72389610"/>
    <n v="0.95632810831098392"/>
    <x v="2"/>
  </r>
  <r>
    <s v="SP-0165"/>
    <s v="Roller"/>
    <s v="Mechanical"/>
    <s v="Rolling Mill"/>
    <s v="Low"/>
    <n v="21"/>
    <n v="23"/>
    <n v="20"/>
    <n v="24"/>
    <n v="1570"/>
    <n v="24"/>
    <n v="0"/>
    <n v="49"/>
    <s v="Supplier H"/>
    <n v="0.219"/>
    <n v="8251.92"/>
    <n v="37680"/>
    <n v="31400"/>
    <n v="0.83333333333333337"/>
    <n v="438"/>
    <x v="0"/>
    <n v="72427290"/>
    <n v="0.95682589304999766"/>
    <x v="2"/>
  </r>
  <r>
    <s v="SP-0054"/>
    <s v="Fastener"/>
    <s v="Consumable"/>
    <s v="Utilities"/>
    <s v="High"/>
    <n v="23"/>
    <n v="14"/>
    <n v="11"/>
    <n v="26"/>
    <n v="1440"/>
    <n v="30"/>
    <n v="1"/>
    <n v="19"/>
    <s v="Supplier C"/>
    <n v="0.251"/>
    <n v="9397.44"/>
    <n v="37440"/>
    <n v="15840"/>
    <n v="0.42307692307692307"/>
    <n v="862.72727272727275"/>
    <x v="0"/>
    <n v="72464730"/>
    <n v="0.95732050718557815"/>
    <x v="2"/>
  </r>
  <r>
    <s v="SP-0239"/>
    <s v="Pressure Sensor"/>
    <s v="Instrumentation"/>
    <s v="Sinter Plant"/>
    <s v="Medium"/>
    <n v="25"/>
    <n v="18"/>
    <n v="10"/>
    <n v="33"/>
    <n v="1130"/>
    <n v="38"/>
    <n v="0"/>
    <n v="43"/>
    <s v="Supplier G"/>
    <n v="0.27700000000000002"/>
    <n v="10329.33"/>
    <n v="37290"/>
    <n v="11300"/>
    <n v="0.30303030303030304"/>
    <n v="1204.5"/>
    <x v="0"/>
    <n v="72502020"/>
    <n v="0.95781313969401294"/>
    <x v="2"/>
  </r>
  <r>
    <s v="SP-0481"/>
    <s v="Pressure Sensor"/>
    <s v="Instrumentation"/>
    <s v="Maintenance"/>
    <s v="Medium"/>
    <n v="26"/>
    <n v="15"/>
    <n v="4"/>
    <n v="38"/>
    <n v="980"/>
    <n v="33"/>
    <n v="0"/>
    <n v="113"/>
    <s v="Supplier A"/>
    <n v="0.23799999999999999"/>
    <n v="8863.119999999999"/>
    <n v="37240"/>
    <n v="3920"/>
    <n v="0.10526315789473684"/>
    <n v="3467.5"/>
    <x v="2"/>
    <n v="72539260"/>
    <n v="0.95830511166006582"/>
    <x v="2"/>
  </r>
  <r>
    <s v="SP-0108"/>
    <s v="Hydraulic Pump"/>
    <s v="Hydraulic"/>
    <s v="Blast Furnace"/>
    <s v="Medium"/>
    <n v="7"/>
    <n v="14"/>
    <n v="11"/>
    <n v="10"/>
    <n v="3710"/>
    <n v="29"/>
    <n v="1"/>
    <n v="36"/>
    <s v="Supplier A"/>
    <n v="0.27100000000000002"/>
    <n v="10054.1"/>
    <n v="37100"/>
    <n v="40810"/>
    <n v="1.1000000000000001"/>
    <n v="331.81818181818181"/>
    <x v="0"/>
    <n v="72576360"/>
    <n v="0.95879523410744938"/>
    <x v="2"/>
  </r>
  <r>
    <s v="SP-0323"/>
    <s v="Controller"/>
    <s v="Instrumentation"/>
    <s v="Utilities"/>
    <s v="Critical"/>
    <n v="23"/>
    <n v="38"/>
    <n v="30"/>
    <n v="31"/>
    <n v="1180"/>
    <n v="3"/>
    <n v="0"/>
    <n v="16"/>
    <s v="Supplier E"/>
    <n v="0.247"/>
    <n v="9035.26"/>
    <n v="36580"/>
    <n v="35400"/>
    <n v="0.967741935483871"/>
    <n v="377.16666666666663"/>
    <x v="0"/>
    <n v="72612940"/>
    <n v="0.95927848691406092"/>
    <x v="2"/>
  </r>
  <r>
    <s v="SP-0241"/>
    <s v="Electrode"/>
    <s v="Consumable"/>
    <s v="Utilities"/>
    <s v="Medium"/>
    <n v="21"/>
    <n v="62"/>
    <n v="71"/>
    <n v="12"/>
    <n v="3020"/>
    <n v="30"/>
    <n v="1"/>
    <n v="93"/>
    <s v="Supplier B"/>
    <n v="0.24"/>
    <n v="8697.6"/>
    <n v="36240"/>
    <n v="214420"/>
    <n v="5.916666666666667"/>
    <n v="61.690140845070417"/>
    <x v="2"/>
    <n v="72649180"/>
    <n v="0.95975724803247542"/>
    <x v="2"/>
  </r>
  <r>
    <s v="SP-0255"/>
    <s v="Gear"/>
    <s v="Mechanical"/>
    <s v="Utilities"/>
    <s v="Medium"/>
    <n v="21"/>
    <n v="4"/>
    <n v="3"/>
    <n v="22"/>
    <n v="1640"/>
    <n v="35"/>
    <n v="0"/>
    <n v="105"/>
    <s v="Supplier C"/>
    <n v="0.17199999999999999"/>
    <n v="6205.7599999999993"/>
    <n v="36080"/>
    <n v="4920"/>
    <n v="0.13636363636363635"/>
    <n v="2676.666666666667"/>
    <x v="2"/>
    <n v="72685260"/>
    <n v="0.96023389541526782"/>
    <x v="2"/>
  </r>
  <r>
    <s v="SP-0442"/>
    <s v="Gasket"/>
    <s v="Consumable"/>
    <s v="Maintenance"/>
    <s v="Medium"/>
    <n v="43"/>
    <n v="45"/>
    <n v="31"/>
    <n v="57"/>
    <n v="620"/>
    <n v="14"/>
    <n v="0"/>
    <n v="59"/>
    <s v="Supplier B"/>
    <n v="0.218"/>
    <n v="7704.12"/>
    <n v="35340"/>
    <n v="19220"/>
    <n v="0.54385964912280704"/>
    <n v="671.12903225806451"/>
    <x v="0"/>
    <n v="72720600"/>
    <n v="0.96070076677080773"/>
    <x v="2"/>
  </r>
  <r>
    <s v="SP-0166"/>
    <s v="Fitting"/>
    <s v="Pneumatic"/>
    <s v="Steel Melting Shop"/>
    <s v="Critical"/>
    <n v="49"/>
    <n v="70"/>
    <n v="53"/>
    <n v="66"/>
    <n v="530"/>
    <n v="28"/>
    <n v="0"/>
    <n v="191"/>
    <s v="Supplier E"/>
    <n v="0.186"/>
    <n v="6506.28"/>
    <n v="34980"/>
    <n v="28090"/>
    <n v="0.80303030303030298"/>
    <n v="454.52830188679246"/>
    <x v="2"/>
    <n v="72755580"/>
    <n v="0.96116288222119795"/>
    <x v="2"/>
  </r>
  <r>
    <s v="SP-0426"/>
    <s v="Temperature Sensor"/>
    <s v="Instrumentation"/>
    <s v="Blast Furnace"/>
    <s v="Medium"/>
    <n v="22"/>
    <n v="13"/>
    <n v="10"/>
    <n v="25"/>
    <n v="1390"/>
    <n v="17"/>
    <n v="0"/>
    <n v="76"/>
    <s v="Supplier C"/>
    <n v="0.25600000000000001"/>
    <n v="8896"/>
    <n v="34750"/>
    <n v="13900"/>
    <n v="0.4"/>
    <n v="912.5"/>
    <x v="0"/>
    <n v="72790330"/>
    <n v="0.96162195917663129"/>
    <x v="2"/>
  </r>
  <r>
    <s v="SP-0029"/>
    <s v="Transmitter"/>
    <s v="Instrumentation"/>
    <s v="Sinter Plant"/>
    <s v="Medium"/>
    <n v="13"/>
    <n v="25"/>
    <n v="20"/>
    <n v="18"/>
    <n v="1930"/>
    <n v="27"/>
    <n v="0"/>
    <n v="18"/>
    <s v="Supplier A"/>
    <n v="0.28199999999999997"/>
    <n v="9796.6799999999985"/>
    <n v="34740"/>
    <n v="38600"/>
    <n v="1.1111111111111112"/>
    <n v="328.5"/>
    <x v="0"/>
    <n v="72825070"/>
    <n v="0.96208090402358826"/>
    <x v="2"/>
  </r>
  <r>
    <s v="SP-0032"/>
    <s v="Belt"/>
    <s v="Mechanical"/>
    <s v="Utilities"/>
    <s v="Medium"/>
    <n v="20"/>
    <n v="13"/>
    <n v="11"/>
    <n v="22"/>
    <n v="1570"/>
    <n v="42"/>
    <n v="1"/>
    <n v="30"/>
    <s v="Supplier E"/>
    <n v="0.21199999999999999"/>
    <n v="7322.48"/>
    <n v="34540"/>
    <n v="17270"/>
    <n v="0.5"/>
    <n v="730"/>
    <x v="0"/>
    <n v="72859610"/>
    <n v="0.9625372067010175"/>
    <x v="2"/>
  </r>
  <r>
    <s v="SP-0151"/>
    <s v="Gasket"/>
    <s v="Consumable"/>
    <s v="Sinter Plant"/>
    <s v="Low"/>
    <n v="30"/>
    <n v="31"/>
    <n v="29"/>
    <n v="32"/>
    <n v="1070"/>
    <n v="30"/>
    <n v="0"/>
    <n v="20"/>
    <s v="Supplier E"/>
    <n v="0.26300000000000001"/>
    <n v="9005.1200000000008"/>
    <n v="34240"/>
    <n v="31030"/>
    <n v="0.90625"/>
    <n v="402.75862068965517"/>
    <x v="0"/>
    <n v="72893850"/>
    <n v="0.96298954612415533"/>
    <x v="2"/>
  </r>
  <r>
    <s v="SP-0348"/>
    <s v="Bearing"/>
    <s v="Mechanical"/>
    <s v="Utilities"/>
    <s v="Critical"/>
    <n v="10"/>
    <n v="10"/>
    <n v="8"/>
    <n v="12"/>
    <n v="2840"/>
    <n v="28"/>
    <n v="0"/>
    <n v="1"/>
    <s v="Supplier E"/>
    <n v="0.188"/>
    <n v="6407.04"/>
    <n v="34080"/>
    <n v="22720"/>
    <n v="0.66666666666666663"/>
    <n v="547.5"/>
    <x v="0"/>
    <n v="72927930"/>
    <n v="0.96343977181167095"/>
    <x v="2"/>
  </r>
  <r>
    <s v="SP-0141"/>
    <s v="Grinding Wheel"/>
    <s v="Consumable"/>
    <s v="Maintenance"/>
    <s v="Medium"/>
    <n v="13"/>
    <n v="25"/>
    <n v="14"/>
    <n v="24"/>
    <n v="1410"/>
    <n v="28"/>
    <n v="0"/>
    <n v="189"/>
    <s v="Supplier C"/>
    <n v="0.19900000000000001"/>
    <n v="6734.1600000000008"/>
    <n v="33840"/>
    <n v="19740"/>
    <n v="0.58333333333333337"/>
    <n v="625.71428571428567"/>
    <x v="2"/>
    <n v="72961770"/>
    <n v="0.96388682689575333"/>
    <x v="2"/>
  </r>
  <r>
    <s v="SP-0337"/>
    <s v="Fitting"/>
    <s v="Pneumatic"/>
    <s v="Maintenance"/>
    <s v="Low"/>
    <n v="26"/>
    <n v="33"/>
    <n v="24"/>
    <n v="35"/>
    <n v="950"/>
    <n v="33"/>
    <n v="0"/>
    <n v="17"/>
    <s v="Supplier G"/>
    <n v="0.246"/>
    <n v="8179.5"/>
    <n v="33250"/>
    <n v="22800"/>
    <n v="0.68571428571428572"/>
    <n v="532.29166666666663"/>
    <x v="0"/>
    <n v="72995020"/>
    <n v="0.96432608757972915"/>
    <x v="2"/>
  </r>
  <r>
    <s v="SP-0266"/>
    <s v="Filter"/>
    <s v="Hydraulic"/>
    <s v="Blast Furnace"/>
    <s v="Low"/>
    <n v="25"/>
    <n v="32"/>
    <n v="19"/>
    <n v="38"/>
    <n v="860"/>
    <n v="23"/>
    <n v="1"/>
    <n v="46"/>
    <s v="Supplier D"/>
    <n v="0.16700000000000001"/>
    <n v="5457.56"/>
    <n v="32680"/>
    <n v="16340"/>
    <n v="0.5"/>
    <n v="730"/>
    <x v="0"/>
    <n v="73027700"/>
    <n v="0.96475781808055106"/>
    <x v="2"/>
  </r>
  <r>
    <s v="SP-0497"/>
    <s v="Pressure Sensor"/>
    <s v="Instrumentation"/>
    <s v="Blast Furnace"/>
    <s v="High"/>
    <n v="18"/>
    <n v="15"/>
    <n v="12"/>
    <n v="21"/>
    <n v="1540"/>
    <n v="26"/>
    <n v="0"/>
    <n v="50"/>
    <s v="Supplier D"/>
    <n v="0.17799999999999999"/>
    <n v="5756.52"/>
    <n v="32340"/>
    <n v="18480"/>
    <n v="0.5714285714285714"/>
    <n v="638.75"/>
    <x v="0"/>
    <n v="73060040"/>
    <n v="0.96518505689317591"/>
    <x v="2"/>
  </r>
  <r>
    <s v="SP-0181"/>
    <s v="Contactor"/>
    <s v="Electrical"/>
    <s v="Blast Furnace"/>
    <s v="Low"/>
    <n v="18"/>
    <n v="14"/>
    <n v="12"/>
    <n v="20"/>
    <n v="1600"/>
    <n v="38"/>
    <n v="0"/>
    <n v="20"/>
    <s v="Supplier A"/>
    <n v="0.25"/>
    <n v="8000"/>
    <n v="32000"/>
    <n v="19200"/>
    <n v="0.6"/>
    <n v="608.33333333333337"/>
    <x v="0"/>
    <n v="73092040"/>
    <n v="0.96560780401760371"/>
    <x v="2"/>
  </r>
  <r>
    <s v="SP-0090"/>
    <s v="Motor"/>
    <s v="Electrical"/>
    <s v="Blast Furnace"/>
    <s v="High"/>
    <n v="14"/>
    <n v="6"/>
    <n v="7"/>
    <n v="13"/>
    <n v="2440"/>
    <n v="28"/>
    <n v="0"/>
    <n v="16"/>
    <s v="Supplier H"/>
    <n v="0.26"/>
    <n v="8247.2000000000007"/>
    <n v="31720"/>
    <n v="17080"/>
    <n v="0.53846153846153844"/>
    <n v="677.85714285714289"/>
    <x v="0"/>
    <n v="73123760"/>
    <n v="0.96602685210469275"/>
    <x v="2"/>
  </r>
  <r>
    <s v="SP-0401"/>
    <s v="Coupling"/>
    <s v="Mechanical"/>
    <s v="Utilities"/>
    <s v="High"/>
    <n v="33"/>
    <n v="97"/>
    <n v="82"/>
    <n v="48"/>
    <n v="660"/>
    <n v="30"/>
    <n v="0"/>
    <n v="71"/>
    <s v="Supplier A"/>
    <n v="0.19400000000000001"/>
    <n v="6145.92"/>
    <n v="31680"/>
    <n v="54120"/>
    <n v="1.7083333333333333"/>
    <n v="213.65853658536585"/>
    <x v="0"/>
    <n v="73155440"/>
    <n v="0.96644537175787637"/>
    <x v="2"/>
  </r>
  <r>
    <s v="SP-0008"/>
    <s v="Air Filter"/>
    <s v="Pneumatic"/>
    <s v="Steel Melting Shop"/>
    <s v="Critical"/>
    <n v="30"/>
    <n v="35"/>
    <n v="0"/>
    <n v="37"/>
    <n v="850"/>
    <n v="7"/>
    <n v="0"/>
    <n v="599"/>
    <s v="Supplier G"/>
    <n v="0.151"/>
    <n v="4748.95"/>
    <n v="31450"/>
    <n v="0"/>
    <n v="0"/>
    <n v="0"/>
    <x v="1"/>
    <n v="73186890"/>
    <n v="0.96686085291610302"/>
    <x v="2"/>
  </r>
  <r>
    <s v="SP-0420"/>
    <s v="Cylinder"/>
    <s v="Hydraulic"/>
    <s v="Utilities"/>
    <s v="High"/>
    <n v="15"/>
    <n v="1"/>
    <n v="0"/>
    <n v="19"/>
    <n v="1650"/>
    <n v="28"/>
    <n v="0"/>
    <n v="498"/>
    <s v="Supplier F"/>
    <n v="0.249"/>
    <n v="7806.15"/>
    <n v="31350"/>
    <n v="0"/>
    <n v="0"/>
    <n v="0"/>
    <x v="1"/>
    <n v="73218240"/>
    <n v="0.96727501298956597"/>
    <x v="2"/>
  </r>
  <r>
    <s v="SP-0022"/>
    <s v="Bearing"/>
    <s v="Mechanical"/>
    <s v="Sinter Plant"/>
    <s v="High"/>
    <n v="25"/>
    <n v="7"/>
    <n v="9"/>
    <n v="23"/>
    <n v="1330"/>
    <n v="16"/>
    <n v="0"/>
    <n v="55"/>
    <s v="Supplier D"/>
    <n v="0.22500000000000001"/>
    <n v="6882.75"/>
    <n v="30590"/>
    <n v="11970"/>
    <n v="0.39130434782608697"/>
    <n v="932.77777777777771"/>
    <x v="0"/>
    <n v="73248830"/>
    <n v="0.96767913281882367"/>
    <x v="2"/>
  </r>
  <r>
    <s v="SP-0326"/>
    <s v="Filter"/>
    <s v="Hydraulic"/>
    <s v="Rolling Mill"/>
    <s v="Low"/>
    <n v="52"/>
    <n v="75"/>
    <n v="56"/>
    <n v="71"/>
    <n v="430"/>
    <n v="34"/>
    <n v="1"/>
    <n v="41"/>
    <s v="Supplier E"/>
    <n v="0.189"/>
    <n v="5770.17"/>
    <n v="30530"/>
    <n v="24080"/>
    <n v="0.78873239436619713"/>
    <n v="462.76785714285717"/>
    <x v="0"/>
    <n v="73279360"/>
    <n v="0.96808245999722309"/>
    <x v="2"/>
  </r>
  <r>
    <s v="SP-0075"/>
    <s v="Filter"/>
    <s v="Hydraulic"/>
    <s v="Sinter Plant"/>
    <s v="Critical"/>
    <n v="7"/>
    <n v="13"/>
    <n v="16"/>
    <n v="20"/>
    <n v="1520"/>
    <n v="12"/>
    <n v="0"/>
    <n v="127"/>
    <s v="Supplier E"/>
    <n v="0.249"/>
    <n v="7569.6"/>
    <n v="30400"/>
    <n v="24320"/>
    <n v="0.8"/>
    <n v="456.25"/>
    <x v="2"/>
    <n v="73309760"/>
    <n v="0.96848406976542956"/>
    <x v="2"/>
  </r>
  <r>
    <s v="SP-0150"/>
    <s v="Seal"/>
    <s v="Mechanical"/>
    <s v="Utilities"/>
    <s v="Low"/>
    <n v="30"/>
    <n v="24"/>
    <n v="4"/>
    <n v="32"/>
    <n v="940"/>
    <n v="21"/>
    <n v="0"/>
    <n v="108"/>
    <s v="Supplier G"/>
    <n v="0.23300000000000001"/>
    <n v="7008.64"/>
    <n v="30080"/>
    <n v="3760"/>
    <n v="0.125"/>
    <n v="2920"/>
    <x v="2"/>
    <n v="73339840"/>
    <n v="0.96888145206239162"/>
    <x v="2"/>
  </r>
  <r>
    <s v="SP-0024"/>
    <s v="Fuse"/>
    <s v="Electrical"/>
    <s v="Utilities"/>
    <s v="High"/>
    <n v="17"/>
    <n v="7"/>
    <n v="4"/>
    <n v="20"/>
    <n v="1500"/>
    <n v="13"/>
    <n v="0"/>
    <n v="42"/>
    <s v="Supplier D"/>
    <n v="0.17199999999999999"/>
    <n v="5160"/>
    <n v="30000"/>
    <n v="6000"/>
    <n v="0.2"/>
    <n v="1825"/>
    <x v="0"/>
    <n v="73369840"/>
    <n v="0.96927777749154276"/>
    <x v="2"/>
  </r>
  <r>
    <s v="SP-0316"/>
    <s v="Filter"/>
    <s v="Hydraulic"/>
    <s v="Sinter Plant"/>
    <s v="Medium"/>
    <n v="9"/>
    <n v="6"/>
    <n v="6"/>
    <n v="78"/>
    <n v="380"/>
    <n v="23"/>
    <n v="0"/>
    <n v="340"/>
    <s v="Supplier E"/>
    <n v="0.23200000000000001"/>
    <n v="6876.48"/>
    <n v="29640"/>
    <n v="2280"/>
    <n v="7.6923076923076927E-2"/>
    <n v="4745"/>
    <x v="2"/>
    <n v="73399480"/>
    <n v="0.96966934701554397"/>
    <x v="2"/>
  </r>
  <r>
    <s v="SP-0418"/>
    <s v="Contactor"/>
    <s v="Electrical"/>
    <s v="Steel Melting Shop"/>
    <s v="Critical"/>
    <n v="7"/>
    <n v="3"/>
    <n v="3"/>
    <n v="7"/>
    <n v="4220"/>
    <n v="20"/>
    <n v="0"/>
    <n v="204"/>
    <s v="Supplier B"/>
    <n v="0.22700000000000001"/>
    <n v="6705.58"/>
    <n v="29540"/>
    <n v="12660"/>
    <n v="0.42857142857142855"/>
    <n v="851.66666666666674"/>
    <x v="2"/>
    <n v="73429020"/>
    <n v="0.97005959545478149"/>
    <x v="2"/>
  </r>
  <r>
    <s v="SP-0491"/>
    <s v="Switch"/>
    <s v="Electrical"/>
    <s v="Sinter Plant"/>
    <s v="High"/>
    <n v="20"/>
    <n v="8"/>
    <n v="6"/>
    <n v="22"/>
    <n v="1330"/>
    <n v="34"/>
    <n v="0"/>
    <n v="47"/>
    <s v="Supplier E"/>
    <n v="0.245"/>
    <n v="7168.7"/>
    <n v="29260"/>
    <n v="7980"/>
    <n v="0.27272727272727271"/>
    <n v="1338.3333333333335"/>
    <x v="0"/>
    <n v="73458280"/>
    <n v="0.97044614485668013"/>
    <x v="2"/>
  </r>
  <r>
    <s v="SP-0446"/>
    <s v="Lubricant"/>
    <s v="Consumable"/>
    <s v="Utilities"/>
    <s v="Low"/>
    <n v="17"/>
    <n v="37"/>
    <n v="35"/>
    <n v="19"/>
    <n v="1530"/>
    <n v="32"/>
    <n v="0"/>
    <n v="41"/>
    <s v="Supplier D"/>
    <n v="0.26600000000000001"/>
    <n v="7732.6200000000008"/>
    <n v="29070"/>
    <n v="53550"/>
    <n v="1.8421052631578947"/>
    <n v="198.14285714285714"/>
    <x v="0"/>
    <n v="73487350"/>
    <n v="0.97083018419752753"/>
    <x v="2"/>
  </r>
  <r>
    <s v="SP-0478"/>
    <s v="Flow Meter"/>
    <s v="Instrumentation"/>
    <s v="Maintenance"/>
    <s v="Low"/>
    <n v="14"/>
    <n v="2"/>
    <n v="3"/>
    <n v="13"/>
    <n v="2200"/>
    <n v="25"/>
    <n v="0"/>
    <n v="52"/>
    <s v="Supplier E"/>
    <n v="0.253"/>
    <n v="7235.8"/>
    <n v="28600"/>
    <n v="6600"/>
    <n v="0.23076923076923078"/>
    <n v="1581.6666666666665"/>
    <x v="0"/>
    <n v="73515950"/>
    <n v="0.97120801443998495"/>
    <x v="2"/>
  </r>
  <r>
    <s v="SP-0310"/>
    <s v="Coupling"/>
    <s v="Mechanical"/>
    <s v="Blast Furnace"/>
    <s v="Critical"/>
    <n v="28"/>
    <n v="24"/>
    <n v="12"/>
    <n v="40"/>
    <n v="700"/>
    <n v="45"/>
    <n v="0"/>
    <n v="83"/>
    <s v="Supplier E"/>
    <n v="0.29299999999999998"/>
    <n v="8204"/>
    <n v="28000"/>
    <n v="8400"/>
    <n v="0.3"/>
    <n v="1216.6666666666667"/>
    <x v="0"/>
    <n v="73543950"/>
    <n v="0.9715779181738593"/>
    <x v="2"/>
  </r>
  <r>
    <s v="SP-0160"/>
    <s v="Hose"/>
    <s v="Hydraulic"/>
    <s v="Maintenance"/>
    <s v="Medium"/>
    <n v="47"/>
    <n v="153"/>
    <n v="5"/>
    <n v="90"/>
    <n v="310"/>
    <n v="41"/>
    <n v="1"/>
    <n v="166"/>
    <s v="Supplier E"/>
    <n v="0.24299999999999999"/>
    <n v="6779.7"/>
    <n v="27900"/>
    <n v="1550"/>
    <n v="5.5555555555555552E-2"/>
    <n v="6570"/>
    <x v="2"/>
    <n v="73571850"/>
    <n v="0.97194650082296974"/>
    <x v="2"/>
  </r>
  <r>
    <s v="SP-0041"/>
    <s v="Seal"/>
    <s v="Mechanical"/>
    <s v="Sinter Plant"/>
    <s v="High"/>
    <n v="20"/>
    <n v="47"/>
    <n v="39"/>
    <n v="28"/>
    <n v="980"/>
    <n v="11"/>
    <n v="0"/>
    <n v="178"/>
    <s v="Supplier B"/>
    <n v="0.151"/>
    <n v="4143.4399999999996"/>
    <n v="27440"/>
    <n v="38220"/>
    <n v="1.3928571428571428"/>
    <n v="262.05128205128204"/>
    <x v="2"/>
    <n v="73599290"/>
    <n v="0.97230900648216656"/>
    <x v="2"/>
  </r>
  <r>
    <s v="SP-0007"/>
    <s v="Coupling"/>
    <s v="Mechanical"/>
    <s v="Utilities"/>
    <s v="Medium"/>
    <n v="12"/>
    <n v="13"/>
    <n v="12"/>
    <n v="18"/>
    <n v="1520"/>
    <n v="16"/>
    <n v="0"/>
    <n v="163"/>
    <s v="Supplier B"/>
    <n v="0.29599999999999999"/>
    <n v="8098.5599999999986"/>
    <n v="27360"/>
    <n v="18240"/>
    <n v="0.66666666666666663"/>
    <n v="547.5"/>
    <x v="2"/>
    <n v="73626650"/>
    <n v="0.97267045527355245"/>
    <x v="2"/>
  </r>
  <r>
    <s v="SP-0128"/>
    <s v="Fitting"/>
    <s v="Pneumatic"/>
    <s v="Utilities"/>
    <s v="High"/>
    <n v="24"/>
    <n v="26"/>
    <n v="15"/>
    <n v="35"/>
    <n v="780"/>
    <n v="28"/>
    <n v="0"/>
    <n v="169"/>
    <s v="Supplier H"/>
    <n v="0.19800000000000001"/>
    <n v="5405.4000000000005"/>
    <n v="27300"/>
    <n v="11700"/>
    <n v="0.42857142857142855"/>
    <n v="851.66666666666674"/>
    <x v="2"/>
    <n v="73653950"/>
    <n v="0.97303111141407983"/>
    <x v="2"/>
  </r>
  <r>
    <s v="SP-0222"/>
    <s v="Temperature Sensor"/>
    <s v="Instrumentation"/>
    <s v="Rolling Mill"/>
    <s v="Low"/>
    <n v="8"/>
    <n v="1"/>
    <n v="1"/>
    <n v="8"/>
    <n v="3400"/>
    <n v="3"/>
    <n v="0"/>
    <n v="129"/>
    <s v="Supplier H"/>
    <n v="0.17299999999999999"/>
    <n v="4705.5999999999995"/>
    <n v="27200"/>
    <n v="3400"/>
    <n v="0.125"/>
    <n v="2920"/>
    <x v="2"/>
    <n v="73681150"/>
    <n v="0.97339044646984352"/>
    <x v="2"/>
  </r>
  <r>
    <s v="SP-0483"/>
    <s v="Relay"/>
    <s v="Electrical"/>
    <s v="Utilities"/>
    <s v="Medium"/>
    <n v="20"/>
    <n v="22"/>
    <n v="19"/>
    <n v="23"/>
    <n v="1180"/>
    <n v="33"/>
    <n v="0"/>
    <n v="28"/>
    <s v="Supplier H"/>
    <n v="0.221"/>
    <n v="5997.94"/>
    <n v="27140"/>
    <n v="22420"/>
    <n v="0.82608695652173914"/>
    <n v="441.84210526315792"/>
    <x v="0"/>
    <n v="73708290"/>
    <n v="0.97374898887474892"/>
    <x v="2"/>
  </r>
  <r>
    <s v="SP-0179"/>
    <s v="Gasket"/>
    <s v="Consumable"/>
    <s v="Maintenance"/>
    <s v="Medium"/>
    <n v="22"/>
    <n v="36"/>
    <n v="25"/>
    <n v="33"/>
    <n v="820"/>
    <n v="25"/>
    <n v="0"/>
    <n v="48"/>
    <s v="Supplier F"/>
    <n v="0.151"/>
    <n v="4086.06"/>
    <n v="27060"/>
    <n v="20500"/>
    <n v="0.75757575757575757"/>
    <n v="481.8"/>
    <x v="0"/>
    <n v="73735350"/>
    <n v="0.97410647441184317"/>
    <x v="2"/>
  </r>
  <r>
    <s v="SP-0261"/>
    <s v="Pressure Sensor"/>
    <s v="Instrumentation"/>
    <s v="Maintenance"/>
    <s v="Medium"/>
    <n v="6"/>
    <n v="1"/>
    <n v="1"/>
    <n v="6"/>
    <n v="4510"/>
    <n v="19"/>
    <n v="0"/>
    <n v="299"/>
    <s v="Supplier B"/>
    <n v="0.27500000000000002"/>
    <n v="7441.5000000000009"/>
    <n v="27060"/>
    <n v="4510"/>
    <n v="0.16666666666666666"/>
    <n v="2190"/>
    <x v="2"/>
    <n v="73762410"/>
    <n v="0.97446395994893742"/>
    <x v="2"/>
  </r>
  <r>
    <s v="SP-0081"/>
    <s v="Actuator"/>
    <s v="Pneumatic"/>
    <s v="Blast Furnace"/>
    <s v="High"/>
    <n v="24"/>
    <n v="14"/>
    <n v="6"/>
    <n v="29"/>
    <n v="930"/>
    <n v="18"/>
    <n v="0"/>
    <n v="257"/>
    <s v="Supplier D"/>
    <n v="0.192"/>
    <n v="5178.24"/>
    <n v="26970"/>
    <n v="5580"/>
    <n v="0.20689655172413793"/>
    <n v="1764.1666666666667"/>
    <x v="2"/>
    <n v="73789380"/>
    <n v="0.97482025650974424"/>
    <x v="2"/>
  </r>
  <r>
    <s v="SP-0216"/>
    <s v="Seal"/>
    <s v="Mechanical"/>
    <s v="Rolling Mill"/>
    <s v="Medium"/>
    <n v="18"/>
    <n v="34"/>
    <n v="34"/>
    <n v="18"/>
    <n v="1490"/>
    <n v="16"/>
    <n v="0"/>
    <n v="163"/>
    <s v="Supplier H"/>
    <n v="0.246"/>
    <n v="6597.72"/>
    <n v="26820"/>
    <n v="50660"/>
    <n v="1.8888888888888888"/>
    <n v="193.23529411764707"/>
    <x v="2"/>
    <n v="73816200"/>
    <n v="0.97517457144340536"/>
    <x v="2"/>
  </r>
  <r>
    <s v="SP-0427"/>
    <s v="Cable"/>
    <s v="Electrical"/>
    <s v="Blast Furnace"/>
    <s v="Medium"/>
    <n v="7"/>
    <n v="4"/>
    <n v="4"/>
    <n v="7"/>
    <n v="3790"/>
    <n v="34"/>
    <n v="1"/>
    <n v="126"/>
    <s v="Supplier E"/>
    <n v="0.26200000000000001"/>
    <n v="6950.8600000000006"/>
    <n v="26530"/>
    <n v="15160"/>
    <n v="0.5714285714285714"/>
    <n v="638.75"/>
    <x v="2"/>
    <n v="73842730"/>
    <n v="0.97552505523125121"/>
    <x v="2"/>
  </r>
  <r>
    <s v="SP-0033"/>
    <s v="Roller"/>
    <s v="Mechanical"/>
    <s v="Sinter Plant"/>
    <s v="High"/>
    <n v="44"/>
    <n v="43"/>
    <n v="38"/>
    <n v="49"/>
    <n v="540"/>
    <n v="24"/>
    <n v="0"/>
    <n v="289"/>
    <s v="Supplier D"/>
    <n v="0.247"/>
    <n v="6535.62"/>
    <n v="26460"/>
    <n v="20520"/>
    <n v="0.77551020408163263"/>
    <n v="470.65789473684214"/>
    <x v="2"/>
    <n v="73869190"/>
    <n v="0.97587461425976252"/>
    <x v="2"/>
  </r>
  <r>
    <s v="SP-0305"/>
    <s v="Filter"/>
    <s v="Hydraulic"/>
    <s v="Maintenance"/>
    <s v="Medium"/>
    <n v="17"/>
    <n v="2"/>
    <n v="2"/>
    <n v="17"/>
    <n v="1510"/>
    <n v="30"/>
    <n v="0"/>
    <n v="266"/>
    <s v="Supplier B"/>
    <n v="0.20100000000000001"/>
    <n v="5159.67"/>
    <n v="25670"/>
    <n v="3020"/>
    <n v="0.11764705882352941"/>
    <n v="3102.5"/>
    <x v="2"/>
    <n v="73894860"/>
    <n v="0.97621373671863942"/>
    <x v="2"/>
  </r>
  <r>
    <s v="SP-0194"/>
    <s v="Pressure Sensor"/>
    <s v="Instrumentation"/>
    <s v="Steel Melting Shop"/>
    <s v="Medium"/>
    <n v="4"/>
    <n v="2"/>
    <n v="2"/>
    <n v="4"/>
    <n v="6390"/>
    <n v="30"/>
    <n v="0"/>
    <n v="140"/>
    <s v="Supplier G"/>
    <n v="0.29899999999999999"/>
    <n v="7642.44"/>
    <n v="25560"/>
    <n v="12780"/>
    <n v="0.5"/>
    <n v="730"/>
    <x v="2"/>
    <n v="73920420"/>
    <n v="0.97655140598427614"/>
    <x v="2"/>
  </r>
  <r>
    <s v="SP-0073"/>
    <s v="Belt"/>
    <s v="Mechanical"/>
    <s v="Sinter Plant"/>
    <s v="Medium"/>
    <n v="21"/>
    <n v="5"/>
    <n v="4"/>
    <n v="22"/>
    <n v="1160"/>
    <n v="12"/>
    <n v="0"/>
    <n v="387"/>
    <s v="Supplier C"/>
    <n v="0.25"/>
    <n v="6380"/>
    <n v="25520"/>
    <n v="4640"/>
    <n v="0.18181818181818182"/>
    <n v="2007.5"/>
    <x v="2"/>
    <n v="73945940"/>
    <n v="0.97688854681600734"/>
    <x v="2"/>
  </r>
  <r>
    <s v="SP-0215"/>
    <s v="Valve"/>
    <s v="Hydraulic"/>
    <s v="Sinter Plant"/>
    <s v="Medium"/>
    <n v="37"/>
    <n v="45"/>
    <n v="38"/>
    <n v="44"/>
    <n v="580"/>
    <n v="6"/>
    <n v="2"/>
    <n v="3"/>
    <s v="Supplier C"/>
    <n v="0.254"/>
    <n v="6482.08"/>
    <n v="25520"/>
    <n v="22040"/>
    <n v="0.86363636363636365"/>
    <n v="422.63157894736844"/>
    <x v="0"/>
    <n v="73971460"/>
    <n v="0.97722568764773854"/>
    <x v="2"/>
  </r>
  <r>
    <s v="SP-0138"/>
    <s v="Hose"/>
    <s v="Hydraulic"/>
    <s v="Blast Furnace"/>
    <s v="High"/>
    <n v="18"/>
    <n v="23"/>
    <n v="16"/>
    <n v="25"/>
    <n v="1010"/>
    <n v="24"/>
    <n v="0"/>
    <n v="324"/>
    <s v="Supplier E"/>
    <n v="0.22600000000000001"/>
    <n v="5706.5"/>
    <n v="25250"/>
    <n v="16160"/>
    <n v="0.64"/>
    <n v="570.3125"/>
    <x v="2"/>
    <n v="73996710"/>
    <n v="0.97755926155060735"/>
    <x v="2"/>
  </r>
  <r>
    <s v="SP-0127"/>
    <s v="Pneumatic Valve"/>
    <s v="Pneumatic"/>
    <s v="Steel Melting Shop"/>
    <s v="Low"/>
    <n v="18"/>
    <n v="17"/>
    <n v="15"/>
    <n v="20"/>
    <n v="1260"/>
    <n v="12"/>
    <n v="0"/>
    <n v="3"/>
    <s v="Supplier G"/>
    <n v="0.27200000000000002"/>
    <n v="6854.4000000000005"/>
    <n v="25200"/>
    <n v="18900"/>
    <n v="0.75"/>
    <n v="486.66666666666669"/>
    <x v="0"/>
    <n v="74021910"/>
    <n v="0.97789217491109426"/>
    <x v="2"/>
  </r>
  <r>
    <s v="SP-0262"/>
    <s v="Lubricant"/>
    <s v="Consumable"/>
    <s v="Maintenance"/>
    <s v="Critical"/>
    <n v="20"/>
    <n v="29"/>
    <n v="18"/>
    <n v="31"/>
    <n v="810"/>
    <n v="35"/>
    <n v="1"/>
    <n v="61"/>
    <s v="Supplier G"/>
    <n v="0.17199999999999999"/>
    <n v="4318.92"/>
    <n v="25110"/>
    <n v="14580"/>
    <n v="0.58064516129032262"/>
    <n v="628.61111111111109"/>
    <x v="0"/>
    <n v="74047020"/>
    <n v="0.97822389929529374"/>
    <x v="2"/>
  </r>
  <r>
    <s v="SP-0391"/>
    <s v="Gasket"/>
    <s v="Consumable"/>
    <s v="Rolling Mill"/>
    <s v="High"/>
    <n v="23"/>
    <n v="30"/>
    <n v="31"/>
    <n v="22"/>
    <n v="1140"/>
    <n v="8"/>
    <n v="1"/>
    <n v="182"/>
    <s v="Supplier G"/>
    <n v="0.25"/>
    <n v="6270"/>
    <n v="25080"/>
    <n v="35340"/>
    <n v="1.4090909090909092"/>
    <n v="259.0322580645161"/>
    <x v="2"/>
    <n v="74072100"/>
    <n v="0.97855522735406408"/>
    <x v="2"/>
  </r>
  <r>
    <s v="SP-0347"/>
    <s v="Temperature Sensor"/>
    <s v="Instrumentation"/>
    <s v="Steel Melting Shop"/>
    <s v="High"/>
    <n v="13"/>
    <n v="9"/>
    <n v="7"/>
    <n v="15"/>
    <n v="1670"/>
    <n v="27"/>
    <n v="0"/>
    <n v="8"/>
    <s v="Supplier D"/>
    <n v="0.156"/>
    <n v="3907.8"/>
    <n v="25050"/>
    <n v="11690"/>
    <n v="0.46666666666666667"/>
    <n v="782.14285714285711"/>
    <x v="0"/>
    <n v="74097150"/>
    <n v="0.97888615908740517"/>
    <x v="2"/>
  </r>
  <r>
    <s v="SP-0292"/>
    <s v="Seal"/>
    <s v="Mechanical"/>
    <s v="Maintenance"/>
    <s v="High"/>
    <n v="16"/>
    <n v="12"/>
    <n v="15"/>
    <n v="20"/>
    <n v="1250"/>
    <n v="23"/>
    <n v="0"/>
    <n v="27"/>
    <s v="Supplier G"/>
    <n v="0.182"/>
    <n v="4550"/>
    <n v="25000"/>
    <n v="18750"/>
    <n v="0.75"/>
    <n v="486.66666666666669"/>
    <x v="0"/>
    <n v="74122150"/>
    <n v="0.97921643027836447"/>
    <x v="2"/>
  </r>
  <r>
    <s v="SP-0193"/>
    <s v="Electrode"/>
    <s v="Consumable"/>
    <s v="Sinter Plant"/>
    <s v="Critical"/>
    <n v="34"/>
    <n v="31"/>
    <n v="0"/>
    <n v="62"/>
    <n v="390"/>
    <n v="17"/>
    <n v="0"/>
    <n v="421"/>
    <s v="Supplier C"/>
    <n v="0.22700000000000001"/>
    <n v="5488.8600000000006"/>
    <n v="24180"/>
    <n v="0"/>
    <n v="0"/>
    <n v="0"/>
    <x v="1"/>
    <n v="74146330"/>
    <n v="0.97953586857426023"/>
    <x v="2"/>
  </r>
  <r>
    <s v="SP-0210"/>
    <s v="Seal"/>
    <s v="Mechanical"/>
    <s v="Blast Furnace"/>
    <s v="High"/>
    <n v="19"/>
    <n v="8"/>
    <n v="6"/>
    <n v="21"/>
    <n v="1150"/>
    <n v="28"/>
    <n v="0"/>
    <n v="3"/>
    <s v="Supplier E"/>
    <n v="0.27400000000000002"/>
    <n v="6617.1"/>
    <n v="24150"/>
    <n v="6900"/>
    <n v="0.2857142857142857"/>
    <n v="1277.5"/>
    <x v="0"/>
    <n v="74170480"/>
    <n v="0.97985491054472684"/>
    <x v="2"/>
  </r>
  <r>
    <s v="SP-0154"/>
    <s v="Switch"/>
    <s v="Electrical"/>
    <s v="Utilities"/>
    <s v="Medium"/>
    <n v="8"/>
    <n v="12"/>
    <n v="7"/>
    <n v="13"/>
    <n v="1850"/>
    <n v="24"/>
    <n v="0"/>
    <n v="123"/>
    <s v="Supplier E"/>
    <n v="0.22800000000000001"/>
    <n v="5483.4000000000005"/>
    <n v="24050"/>
    <n v="12950"/>
    <n v="0.53846153846153844"/>
    <n v="677.85714285714289"/>
    <x v="2"/>
    <n v="74194530"/>
    <n v="0.98017263143042965"/>
    <x v="2"/>
  </r>
  <r>
    <s v="SP-0147"/>
    <s v="Transmitter"/>
    <s v="Instrumentation"/>
    <s v="Blast Furnace"/>
    <s v="High"/>
    <n v="11"/>
    <n v="4"/>
    <n v="4"/>
    <n v="11"/>
    <n v="2170"/>
    <n v="28"/>
    <n v="0"/>
    <n v="99"/>
    <s v="Supplier B"/>
    <n v="0.224"/>
    <n v="5346.88"/>
    <n v="23870"/>
    <n v="8680"/>
    <n v="0.36363636363636365"/>
    <n v="1003.75"/>
    <x v="2"/>
    <n v="74218400"/>
    <n v="0.9804879743635575"/>
    <x v="2"/>
  </r>
  <r>
    <s v="SP-0274"/>
    <s v="Fastener"/>
    <s v="Consumable"/>
    <s v="Steel Melting Shop"/>
    <s v="Medium"/>
    <n v="12"/>
    <n v="15"/>
    <n v="14"/>
    <n v="22"/>
    <n v="1070"/>
    <n v="36"/>
    <n v="0"/>
    <n v="18"/>
    <s v="Supplier E"/>
    <n v="0.27700000000000002"/>
    <n v="6520.5800000000008"/>
    <n v="23540"/>
    <n v="14980"/>
    <n v="0.63636363636363635"/>
    <n v="573.57142857142856"/>
    <x v="0"/>
    <n v="74241940"/>
    <n v="0.98079895771696468"/>
    <x v="2"/>
  </r>
  <r>
    <s v="SP-0283"/>
    <s v="Relay"/>
    <s v="Electrical"/>
    <s v="Sinter Plant"/>
    <s v="Low"/>
    <n v="28"/>
    <n v="28"/>
    <n v="29"/>
    <n v="27"/>
    <n v="870"/>
    <n v="23"/>
    <n v="1"/>
    <n v="26"/>
    <s v="Supplier H"/>
    <n v="0.159"/>
    <n v="3734.91"/>
    <n v="23490"/>
    <n v="25230"/>
    <n v="1.0740740740740742"/>
    <n v="339.82758620689651"/>
    <x v="0"/>
    <n v="74265430"/>
    <n v="0.98110928052799007"/>
    <x v="2"/>
  </r>
  <r>
    <s v="SP-0037"/>
    <s v="Relay"/>
    <s v="Electrical"/>
    <s v="Blast Furnace"/>
    <s v="Medium"/>
    <n v="16"/>
    <n v="3"/>
    <n v="3"/>
    <n v="16"/>
    <n v="1460"/>
    <n v="36"/>
    <n v="0"/>
    <n v="1"/>
    <s v="Supplier B"/>
    <n v="0.154"/>
    <n v="3597.44"/>
    <n v="23360"/>
    <n v="4380"/>
    <n v="0.1875"/>
    <n v="1946.6666666666667"/>
    <x v="0"/>
    <n v="74288790"/>
    <n v="0.98141788592882229"/>
    <x v="2"/>
  </r>
  <r>
    <s v="SP-0333"/>
    <s v="Gear"/>
    <s v="Mechanical"/>
    <s v="Maintenance"/>
    <s v="Low"/>
    <n v="10"/>
    <n v="11"/>
    <n v="9"/>
    <n v="12"/>
    <n v="1930"/>
    <n v="34"/>
    <n v="0"/>
    <n v="36"/>
    <s v="Supplier A"/>
    <n v="0.27500000000000002"/>
    <n v="6369.0000000000009"/>
    <n v="23160"/>
    <n v="17370"/>
    <n v="0.75"/>
    <n v="486.66666666666669"/>
    <x v="0"/>
    <n v="74311950"/>
    <n v="0.981723849160127"/>
    <x v="2"/>
  </r>
  <r>
    <s v="SP-0065"/>
    <s v="Roller"/>
    <s v="Mechanical"/>
    <s v="Rolling Mill"/>
    <s v="Low"/>
    <n v="12"/>
    <n v="6"/>
    <n v="5"/>
    <n v="13"/>
    <n v="1780"/>
    <n v="23"/>
    <n v="1"/>
    <n v="54"/>
    <s v="Supplier D"/>
    <n v="0.28499999999999998"/>
    <n v="6594.9"/>
    <n v="23140"/>
    <n v="8900"/>
    <n v="0.38461538461538464"/>
    <n v="949"/>
    <x v="0"/>
    <n v="74335090"/>
    <n v="0.98202954817447885"/>
    <x v="2"/>
  </r>
  <r>
    <s v="SP-0235"/>
    <s v="Seal"/>
    <s v="Mechanical"/>
    <s v="Sinter Plant"/>
    <s v="High"/>
    <n v="14"/>
    <n v="34"/>
    <n v="37"/>
    <n v="11"/>
    <n v="2080"/>
    <n v="35"/>
    <n v="0"/>
    <n v="32"/>
    <s v="Supplier G"/>
    <n v="0.21"/>
    <n v="4804.8"/>
    <n v="22880"/>
    <n v="76960"/>
    <n v="3.3636363636363638"/>
    <n v="108.51351351351352"/>
    <x v="0"/>
    <n v="74357970"/>
    <n v="0.98233181236844469"/>
    <x v="2"/>
  </r>
  <r>
    <s v="SP-0485"/>
    <s v="Temperature Sensor"/>
    <s v="Instrumentation"/>
    <s v="Utilities"/>
    <s v="Medium"/>
    <n v="19"/>
    <n v="81"/>
    <n v="0"/>
    <n v="52"/>
    <n v="440"/>
    <n v="4"/>
    <n v="0"/>
    <n v="636"/>
    <s v="Supplier H"/>
    <n v="0.20399999999999999"/>
    <n v="4667.5200000000004"/>
    <n v="22880"/>
    <n v="0"/>
    <n v="0"/>
    <n v="0"/>
    <x v="1"/>
    <n v="74380850"/>
    <n v="0.98263407656241064"/>
    <x v="2"/>
  </r>
  <r>
    <s v="SP-0148"/>
    <s v="Contactor"/>
    <s v="Electrical"/>
    <s v="Utilities"/>
    <s v="Medium"/>
    <n v="22"/>
    <n v="67"/>
    <n v="43"/>
    <n v="46"/>
    <n v="490"/>
    <n v="21"/>
    <n v="0"/>
    <n v="18"/>
    <s v="Supplier E"/>
    <n v="0.20100000000000001"/>
    <n v="4530.54"/>
    <n v="22540"/>
    <n v="21070"/>
    <n v="0.93478260869565222"/>
    <n v="390.46511627906978"/>
    <x v="0"/>
    <n v="74403390"/>
    <n v="0.98293184906817943"/>
    <x v="2"/>
  </r>
  <r>
    <s v="SP-0086"/>
    <s v="Relay"/>
    <s v="Electrical"/>
    <s v="Steel Melting Shop"/>
    <s v="High"/>
    <n v="20"/>
    <n v="5"/>
    <n v="5"/>
    <n v="20"/>
    <n v="1110"/>
    <n v="44"/>
    <n v="0"/>
    <n v="10"/>
    <s v="Supplier H"/>
    <n v="0.193"/>
    <n v="4284.6000000000004"/>
    <n v="22200"/>
    <n v="5550"/>
    <n v="0.25"/>
    <n v="1460"/>
    <x v="0"/>
    <n v="74425590"/>
    <n v="0.98322512988575128"/>
    <x v="2"/>
  </r>
  <r>
    <s v="SP-0129"/>
    <s v="Gear"/>
    <s v="Mechanical"/>
    <s v="Sinter Plant"/>
    <s v="Medium"/>
    <n v="2"/>
    <n v="4"/>
    <n v="2"/>
    <n v="34"/>
    <n v="640"/>
    <n v="50"/>
    <n v="0"/>
    <n v="253"/>
    <s v="Supplier C"/>
    <n v="0.17499999999999999"/>
    <n v="3808"/>
    <n v="21760"/>
    <n v="1280"/>
    <n v="5.8823529411764705E-2"/>
    <n v="6205"/>
    <x v="2"/>
    <n v="74447350"/>
    <n v="0.98351259793036216"/>
    <x v="2"/>
  </r>
  <r>
    <s v="SP-0104"/>
    <s v="Fuse"/>
    <s v="Electrical"/>
    <s v="Sinter Plant"/>
    <s v="Medium"/>
    <n v="24"/>
    <n v="21"/>
    <n v="22"/>
    <n v="23"/>
    <n v="940"/>
    <n v="21"/>
    <n v="0"/>
    <n v="57"/>
    <s v="Supplier A"/>
    <n v="0.26100000000000001"/>
    <n v="5642.8200000000006"/>
    <n v="21620"/>
    <n v="20680"/>
    <n v="0.95652173913043481"/>
    <n v="381.59090909090907"/>
    <x v="0"/>
    <n v="74468970"/>
    <n v="0.98379821645630372"/>
    <x v="2"/>
  </r>
  <r>
    <s v="SP-0207"/>
    <s v="Bearing"/>
    <s v="Mechanical"/>
    <s v="Sinter Plant"/>
    <s v="Medium"/>
    <n v="22"/>
    <n v="18"/>
    <n v="13"/>
    <n v="27"/>
    <n v="800"/>
    <n v="15"/>
    <n v="1"/>
    <n v="289"/>
    <s v="Supplier D"/>
    <n v="0.186"/>
    <n v="4017.6"/>
    <n v="21600"/>
    <n v="10400"/>
    <n v="0.48148148148148145"/>
    <n v="758.07692307692309"/>
    <x v="2"/>
    <n v="74490570"/>
    <n v="0.98408357076529251"/>
    <x v="2"/>
  </r>
  <r>
    <s v="SP-0368"/>
    <s v="Gasket"/>
    <s v="Consumable"/>
    <s v="Rolling Mill"/>
    <s v="Low"/>
    <n v="21"/>
    <n v="6"/>
    <n v="5"/>
    <n v="22"/>
    <n v="980"/>
    <n v="39"/>
    <n v="1"/>
    <n v="17"/>
    <s v="Supplier E"/>
    <n v="0.16700000000000001"/>
    <n v="3600.52"/>
    <n v="21560"/>
    <n v="4900"/>
    <n v="0.22727272727272727"/>
    <n v="1606"/>
    <x v="0"/>
    <n v="74512130"/>
    <n v="0.98436839664037579"/>
    <x v="2"/>
  </r>
  <r>
    <s v="SP-0192"/>
    <s v="Lubricant"/>
    <s v="Consumable"/>
    <s v="Maintenance"/>
    <s v="High"/>
    <n v="24"/>
    <n v="20"/>
    <n v="7"/>
    <n v="69"/>
    <n v="310"/>
    <n v="31"/>
    <n v="0"/>
    <n v="302"/>
    <s v="Supplier D"/>
    <n v="0.17799999999999999"/>
    <n v="3807.42"/>
    <n v="21390"/>
    <n v="2170"/>
    <n v="0.10144927536231885"/>
    <n v="3597.8571428571427"/>
    <x v="2"/>
    <n v="74533520"/>
    <n v="0.98465097667136048"/>
    <x v="2"/>
  </r>
  <r>
    <s v="SP-0293"/>
    <s v="Fitting"/>
    <s v="Pneumatic"/>
    <s v="Steel Melting Shop"/>
    <s v="Medium"/>
    <n v="23"/>
    <n v="10"/>
    <n v="6"/>
    <n v="27"/>
    <n v="790"/>
    <n v="20"/>
    <n v="0"/>
    <n v="1"/>
    <s v="Supplier E"/>
    <n v="0.27400000000000002"/>
    <n v="5844.42"/>
    <n v="21330"/>
    <n v="4740"/>
    <n v="0.22222222222222221"/>
    <n v="1642.5"/>
    <x v="0"/>
    <n v="74554850"/>
    <n v="0.98493276405148689"/>
    <x v="2"/>
  </r>
  <r>
    <s v="SP-0050"/>
    <s v="Coupling"/>
    <s v="Mechanical"/>
    <s v="Utilities"/>
    <s v="Low"/>
    <n v="53"/>
    <n v="83"/>
    <n v="84"/>
    <n v="52"/>
    <n v="410"/>
    <n v="13"/>
    <n v="1"/>
    <n v="64"/>
    <s v="Supplier A"/>
    <n v="0.247"/>
    <n v="5266.04"/>
    <n v="21320"/>
    <n v="34440"/>
    <n v="1.6153846153846154"/>
    <n v="225.95238095238093"/>
    <x v="0"/>
    <n v="74576170"/>
    <n v="0.98521441932313691"/>
    <x v="2"/>
  </r>
  <r>
    <s v="SP-0114"/>
    <s v="Actuator"/>
    <s v="Pneumatic"/>
    <s v="Steel Melting Shop"/>
    <s v="Critical"/>
    <n v="15"/>
    <n v="4"/>
    <n v="4"/>
    <n v="15"/>
    <n v="1410"/>
    <n v="27"/>
    <n v="0"/>
    <n v="78"/>
    <s v="Supplier G"/>
    <n v="0.189"/>
    <n v="3997.35"/>
    <n v="21150"/>
    <n v="5640"/>
    <n v="0.26666666666666666"/>
    <n v="1368.75"/>
    <x v="0"/>
    <n v="74597320"/>
    <n v="0.98549382875068847"/>
    <x v="2"/>
  </r>
  <r>
    <s v="SP-0307"/>
    <s v="Contactor"/>
    <s v="Electrical"/>
    <s v="Steel Melting Shop"/>
    <s v="Critical"/>
    <n v="19"/>
    <n v="11"/>
    <n v="8"/>
    <n v="22"/>
    <n v="950"/>
    <n v="15"/>
    <n v="1"/>
    <n v="27"/>
    <s v="Supplier D"/>
    <n v="0.17899999999999999"/>
    <n v="3741.1"/>
    <n v="20900"/>
    <n v="7600"/>
    <n v="0.36363636363636365"/>
    <n v="1003.75"/>
    <x v="0"/>
    <n v="74618220"/>
    <n v="0.9857699354663304"/>
    <x v="2"/>
  </r>
  <r>
    <s v="SP-0195"/>
    <s v="Relay"/>
    <s v="Electrical"/>
    <s v="Maintenance"/>
    <s v="High"/>
    <n v="17"/>
    <n v="23"/>
    <n v="20"/>
    <n v="20"/>
    <n v="1040"/>
    <n v="35"/>
    <n v="0"/>
    <n v="21"/>
    <s v="Supplier G"/>
    <n v="0.248"/>
    <n v="5158.3999999999996"/>
    <n v="20800"/>
    <n v="20800"/>
    <n v="1"/>
    <n v="365"/>
    <x v="0"/>
    <n v="74639020"/>
    <n v="0.98604472109720842"/>
    <x v="2"/>
  </r>
  <r>
    <s v="SP-0457"/>
    <s v="Bearing"/>
    <s v="Mechanical"/>
    <s v="Utilities"/>
    <s v="Low"/>
    <n v="20"/>
    <n v="11"/>
    <n v="9"/>
    <n v="22"/>
    <n v="940"/>
    <n v="8"/>
    <n v="0"/>
    <n v="57"/>
    <s v="Supplier F"/>
    <n v="0.25600000000000001"/>
    <n v="5294.08"/>
    <n v="20680"/>
    <n v="8460"/>
    <n v="0.40909090909090912"/>
    <n v="892.22222222222217"/>
    <x v="0"/>
    <n v="74659700"/>
    <n v="0.98631792142636998"/>
    <x v="2"/>
  </r>
  <r>
    <s v="SP-0228"/>
    <s v="Motor"/>
    <s v="Electrical"/>
    <s v="Sinter Plant"/>
    <s v="Critical"/>
    <n v="29"/>
    <n v="12"/>
    <n v="12"/>
    <n v="29"/>
    <n v="690"/>
    <n v="9"/>
    <n v="1"/>
    <n v="80"/>
    <s v="Supplier D"/>
    <n v="0.29099999999999998"/>
    <n v="5822.91"/>
    <n v="20010"/>
    <n v="8280"/>
    <n v="0.41379310344827586"/>
    <n v="882.08333333333337"/>
    <x v="0"/>
    <n v="74679710"/>
    <n v="0.98658227048761371"/>
    <x v="2"/>
  </r>
  <r>
    <s v="SP-0173"/>
    <s v="Fuse"/>
    <s v="Electrical"/>
    <s v="Utilities"/>
    <s v="Medium"/>
    <n v="26"/>
    <n v="49"/>
    <n v="39"/>
    <n v="36"/>
    <n v="550"/>
    <n v="23"/>
    <n v="1"/>
    <n v="36"/>
    <s v="Supplier E"/>
    <n v="0.20799999999999999"/>
    <n v="4118.3999999999996"/>
    <n v="19800"/>
    <n v="21450"/>
    <n v="1.0833333333333333"/>
    <n v="336.92307692307696"/>
    <x v="0"/>
    <n v="74699510"/>
    <n v="0.98684384527085345"/>
    <x v="2"/>
  </r>
  <r>
    <s v="SP-0484"/>
    <s v="Transmitter"/>
    <s v="Instrumentation"/>
    <s v="Rolling Mill"/>
    <s v="Medium"/>
    <n v="22"/>
    <n v="33"/>
    <n v="33"/>
    <n v="22"/>
    <n v="900"/>
    <n v="31"/>
    <n v="0"/>
    <n v="161"/>
    <s v="Supplier E"/>
    <n v="0.26900000000000002"/>
    <n v="5326.2000000000007"/>
    <n v="19800"/>
    <n v="29700"/>
    <n v="1.5"/>
    <n v="243.33333333333334"/>
    <x v="2"/>
    <n v="74719310"/>
    <n v="0.98710542005409319"/>
    <x v="2"/>
  </r>
  <r>
    <s v="SP-0077"/>
    <s v="Cylinder"/>
    <s v="Hydraulic"/>
    <s v="Sinter Plant"/>
    <s v="Medium"/>
    <n v="26"/>
    <n v="36"/>
    <n v="19"/>
    <n v="43"/>
    <n v="460"/>
    <n v="21"/>
    <n v="0"/>
    <n v="54"/>
    <s v="Supplier D"/>
    <n v="0.17299999999999999"/>
    <n v="3421.94"/>
    <n v="19780"/>
    <n v="8740"/>
    <n v="0.44186046511627908"/>
    <n v="826.0526315789474"/>
    <x v="0"/>
    <n v="74739090"/>
    <n v="0.98736673062038005"/>
    <x v="2"/>
  </r>
  <r>
    <s v="SP-0287"/>
    <s v="Fuse"/>
    <s v="Electrical"/>
    <s v="Utilities"/>
    <s v="Critical"/>
    <n v="21"/>
    <n v="28"/>
    <n v="19"/>
    <n v="30"/>
    <n v="650"/>
    <n v="8"/>
    <n v="1"/>
    <n v="60"/>
    <s v="Supplier G"/>
    <n v="0.29499999999999998"/>
    <n v="5752.5"/>
    <n v="19500"/>
    <n v="12350"/>
    <n v="0.6333333333333333"/>
    <n v="576.31578947368428"/>
    <x v="0"/>
    <n v="74758590"/>
    <n v="0.98762434214932826"/>
    <x v="2"/>
  </r>
  <r>
    <s v="SP-0455"/>
    <s v="Roller"/>
    <s v="Mechanical"/>
    <s v="Steel Melting Shop"/>
    <s v="High"/>
    <n v="169"/>
    <n v="190"/>
    <n v="0"/>
    <n v="162"/>
    <n v="120"/>
    <n v="23"/>
    <n v="0"/>
    <n v="534"/>
    <s v="Supplier E"/>
    <n v="0.224"/>
    <n v="4354.5600000000004"/>
    <n v="19440"/>
    <n v="0"/>
    <n v="0"/>
    <n v="0"/>
    <x v="1"/>
    <n v="74778030"/>
    <n v="0.98788116102741819"/>
    <x v="2"/>
  </r>
  <r>
    <s v="SP-0066"/>
    <s v="Temperature Sensor"/>
    <s v="Instrumentation"/>
    <s v="Blast Furnace"/>
    <s v="Low"/>
    <n v="5"/>
    <n v="4"/>
    <n v="3"/>
    <n v="6"/>
    <n v="3230"/>
    <n v="35"/>
    <n v="0"/>
    <n v="24"/>
    <s v="Supplier H"/>
    <n v="0.27400000000000002"/>
    <n v="5310.1200000000008"/>
    <n v="19380"/>
    <n v="9690"/>
    <n v="0.5"/>
    <n v="730"/>
    <x v="0"/>
    <n v="74797410"/>
    <n v="0.98813718725464983"/>
    <x v="2"/>
  </r>
  <r>
    <s v="SP-0386"/>
    <s v="Actuator"/>
    <s v="Pneumatic"/>
    <s v="Blast Furnace"/>
    <s v="Medium"/>
    <n v="13"/>
    <n v="12"/>
    <n v="14"/>
    <n v="11"/>
    <n v="1760"/>
    <n v="21"/>
    <n v="0"/>
    <n v="28"/>
    <s v="Supplier A"/>
    <n v="0.29799999999999999"/>
    <n v="5769.28"/>
    <n v="19360"/>
    <n v="24640"/>
    <n v="1.2727272727272727"/>
    <n v="286.78571428571428"/>
    <x v="0"/>
    <n v="74816770"/>
    <n v="0.9883929492649286"/>
    <x v="2"/>
  </r>
  <r>
    <s v="SP-0132"/>
    <s v="Bearing"/>
    <s v="Mechanical"/>
    <s v="Sinter Plant"/>
    <s v="Low"/>
    <n v="21"/>
    <n v="27"/>
    <n v="0"/>
    <n v="32"/>
    <n v="600"/>
    <n v="22"/>
    <n v="1"/>
    <n v="537"/>
    <s v="Supplier A"/>
    <n v="0.152"/>
    <n v="2918.4"/>
    <n v="19200"/>
    <n v="0"/>
    <n v="0"/>
    <n v="0"/>
    <x v="1"/>
    <n v="74835970"/>
    <n v="0.98864659753958528"/>
    <x v="2"/>
  </r>
  <r>
    <s v="SP-0134"/>
    <s v="Cable"/>
    <s v="Electrical"/>
    <s v="Maintenance"/>
    <s v="Critical"/>
    <n v="8"/>
    <n v="18"/>
    <n v="12"/>
    <n v="14"/>
    <n v="1370"/>
    <n v="49"/>
    <n v="0"/>
    <n v="26"/>
    <s v="Supplier B"/>
    <n v="0.17799999999999999"/>
    <n v="3414.04"/>
    <n v="19180"/>
    <n v="16440"/>
    <n v="0.8571428571428571"/>
    <n v="425.83333333333337"/>
    <x v="0"/>
    <n v="74855150"/>
    <n v="0.9888999815972892"/>
    <x v="2"/>
  </r>
  <r>
    <s v="SP-0363"/>
    <s v="Switch"/>
    <s v="Electrical"/>
    <s v="Maintenance"/>
    <s v="Medium"/>
    <n v="20"/>
    <n v="32"/>
    <n v="23"/>
    <n v="29"/>
    <n v="660"/>
    <n v="40"/>
    <n v="0"/>
    <n v="30"/>
    <s v="Supplier G"/>
    <n v="0.24299999999999999"/>
    <n v="4651.0200000000004"/>
    <n v="19140"/>
    <n v="15180"/>
    <n v="0.7931034482758621"/>
    <n v="460.21739130434781"/>
    <x v="0"/>
    <n v="74874290"/>
    <n v="0.9891528372210876"/>
    <x v="2"/>
  </r>
  <r>
    <s v="SP-0492"/>
    <s v="Transmitter"/>
    <s v="Instrumentation"/>
    <s v="Rolling Mill"/>
    <s v="Medium"/>
    <n v="21"/>
    <n v="5"/>
    <n v="4"/>
    <n v="22"/>
    <n v="850"/>
    <n v="22"/>
    <n v="0"/>
    <n v="5"/>
    <s v="Supplier C"/>
    <n v="0.21299999999999999"/>
    <n v="3983.1"/>
    <n v="18700"/>
    <n v="3400"/>
    <n v="0.18181818181818182"/>
    <n v="2007.5"/>
    <x v="0"/>
    <n v="74892990"/>
    <n v="0.98939988007192514"/>
    <x v="2"/>
  </r>
  <r>
    <s v="SP-0031"/>
    <s v="Transmitter"/>
    <s v="Instrumentation"/>
    <s v="Blast Furnace"/>
    <s v="Low"/>
    <n v="24"/>
    <n v="6"/>
    <n v="5"/>
    <n v="25"/>
    <n v="710"/>
    <n v="12"/>
    <n v="3"/>
    <n v="79"/>
    <s v="Supplier H"/>
    <n v="0.253"/>
    <n v="4490.75"/>
    <n v="17750"/>
    <n v="3550"/>
    <n v="0.2"/>
    <n v="1825"/>
    <x v="0"/>
    <n v="74910740"/>
    <n v="0.9896343726175062"/>
    <x v="2"/>
  </r>
  <r>
    <s v="SP-0111"/>
    <s v="Roller"/>
    <s v="Mechanical"/>
    <s v="Rolling Mill"/>
    <s v="Medium"/>
    <n v="7"/>
    <n v="5"/>
    <n v="0"/>
    <n v="40"/>
    <n v="440"/>
    <n v="6"/>
    <n v="2"/>
    <n v="611"/>
    <s v="Supplier E"/>
    <n v="0.23899999999999999"/>
    <n v="4206.3999999999996"/>
    <n v="17600"/>
    <n v="0"/>
    <n v="0"/>
    <n v="0"/>
    <x v="1"/>
    <n v="74928340"/>
    <n v="0.98986688353594154"/>
    <x v="2"/>
  </r>
  <r>
    <s v="SP-0438"/>
    <s v="Pneumatic Valve"/>
    <s v="Pneumatic"/>
    <s v="Sinter Plant"/>
    <s v="Medium"/>
    <n v="9"/>
    <n v="9"/>
    <n v="5"/>
    <n v="13"/>
    <n v="1340"/>
    <n v="36"/>
    <n v="0"/>
    <n v="34"/>
    <s v="Supplier C"/>
    <n v="0.16500000000000001"/>
    <n v="2874.3"/>
    <n v="17420"/>
    <n v="6700"/>
    <n v="0.38461538461538464"/>
    <n v="949"/>
    <x v="0"/>
    <n v="74945760"/>
    <n v="0.99009701650180193"/>
    <x v="2"/>
  </r>
  <r>
    <s v="SP-0100"/>
    <s v="Roller"/>
    <s v="Mechanical"/>
    <s v="Steel Melting Shop"/>
    <s v="Medium"/>
    <n v="7"/>
    <n v="4"/>
    <n v="3"/>
    <n v="8"/>
    <n v="2170"/>
    <n v="21"/>
    <n v="0"/>
    <n v="73"/>
    <s v="Supplier A"/>
    <n v="0.27500000000000002"/>
    <n v="4774"/>
    <n v="17360"/>
    <n v="6510"/>
    <n v="0.375"/>
    <n v="973.33333333333337"/>
    <x v="0"/>
    <n v="74963120"/>
    <n v="0.99032635681680403"/>
    <x v="2"/>
  </r>
  <r>
    <s v="SP-0344"/>
    <s v="Relay"/>
    <s v="Electrical"/>
    <s v="Blast Furnace"/>
    <s v="High"/>
    <n v="20"/>
    <n v="41"/>
    <n v="33"/>
    <n v="28"/>
    <n v="620"/>
    <n v="7"/>
    <n v="1"/>
    <n v="22"/>
    <s v="Supplier C"/>
    <n v="0.20599999999999999"/>
    <n v="3576.16"/>
    <n v="17360"/>
    <n v="20460"/>
    <n v="1.1785714285714286"/>
    <n v="309.69696969696969"/>
    <x v="0"/>
    <n v="74980480"/>
    <n v="0.99055569713180613"/>
    <x v="2"/>
  </r>
  <r>
    <s v="SP-0238"/>
    <s v="Seal"/>
    <s v="Mechanical"/>
    <s v="Blast Furnace"/>
    <s v="Medium"/>
    <n v="9"/>
    <n v="8"/>
    <n v="6"/>
    <n v="11"/>
    <n v="1560"/>
    <n v="31"/>
    <n v="0"/>
    <n v="46"/>
    <s v="Supplier F"/>
    <n v="0.17599999999999999"/>
    <n v="3020.16"/>
    <n v="17160"/>
    <n v="9360"/>
    <n v="0.54545454545454541"/>
    <n v="669.16666666666674"/>
    <x v="0"/>
    <n v="74997640"/>
    <n v="0.99078239527728051"/>
    <x v="2"/>
  </r>
  <r>
    <s v="SP-0248"/>
    <s v="Fastener"/>
    <s v="Consumable"/>
    <s v="Utilities"/>
    <s v="Critical"/>
    <n v="16"/>
    <n v="12"/>
    <n v="13"/>
    <n v="15"/>
    <n v="1140"/>
    <n v="27"/>
    <n v="1"/>
    <n v="30"/>
    <s v="Supplier G"/>
    <n v="0.20100000000000001"/>
    <n v="3437.1"/>
    <n v="17100"/>
    <n v="14820"/>
    <n v="0.8666666666666667"/>
    <n v="421.15384615384613"/>
    <x v="0"/>
    <n v="75014740"/>
    <n v="0.99100830077189661"/>
    <x v="2"/>
  </r>
  <r>
    <s v="SP-0389"/>
    <s v="Hose"/>
    <s v="Hydraulic"/>
    <s v="Steel Melting Shop"/>
    <s v="Low"/>
    <n v="32"/>
    <n v="29"/>
    <n v="31"/>
    <n v="30"/>
    <n v="560"/>
    <n v="3"/>
    <n v="0"/>
    <n v="17"/>
    <s v="Supplier A"/>
    <n v="0.214"/>
    <n v="3595.2"/>
    <n v="16800"/>
    <n v="17360"/>
    <n v="1.0333333333333334"/>
    <n v="353.22580645161287"/>
    <x v="0"/>
    <n v="75031540"/>
    <n v="0.99123024301222118"/>
    <x v="2"/>
  </r>
  <r>
    <s v="SP-0402"/>
    <s v="Electrode"/>
    <s v="Consumable"/>
    <s v="Blast Furnace"/>
    <s v="High"/>
    <n v="18"/>
    <n v="4"/>
    <n v="4"/>
    <n v="18"/>
    <n v="920"/>
    <n v="25"/>
    <n v="2"/>
    <n v="8"/>
    <s v="Supplier H"/>
    <n v="0.20399999999999999"/>
    <n v="3378.24"/>
    <n v="16560"/>
    <n v="3680"/>
    <n v="0.22222222222222221"/>
    <n v="1642.5"/>
    <x v="0"/>
    <n v="75048100"/>
    <n v="0.99144901464911261"/>
    <x v="2"/>
  </r>
  <r>
    <s v="SP-0367"/>
    <s v="Fastener"/>
    <s v="Consumable"/>
    <s v="Sinter Plant"/>
    <s v="Critical"/>
    <n v="46"/>
    <n v="37"/>
    <n v="1"/>
    <n v="74"/>
    <n v="220"/>
    <n v="31"/>
    <n v="0"/>
    <n v="316"/>
    <s v="Supplier A"/>
    <n v="0.26900000000000002"/>
    <n v="4379.3200000000006"/>
    <n v="16280"/>
    <n v="220"/>
    <n v="1.3513513513513514E-2"/>
    <n v="27010"/>
    <x v="2"/>
    <n v="75064380"/>
    <n v="0.99166408724866528"/>
    <x v="2"/>
  </r>
  <r>
    <s v="SP-0341"/>
    <s v="Fuse"/>
    <s v="Electrical"/>
    <s v="Sinter Plant"/>
    <s v="High"/>
    <n v="18"/>
    <n v="31"/>
    <n v="26"/>
    <n v="23"/>
    <n v="700"/>
    <n v="26"/>
    <n v="0"/>
    <n v="28"/>
    <s v="Supplier B"/>
    <n v="0.16400000000000001"/>
    <n v="2640.4"/>
    <n v="16100"/>
    <n v="18200"/>
    <n v="1.1304347826086956"/>
    <n v="322.88461538461542"/>
    <x v="0"/>
    <n v="75080480"/>
    <n v="0.99187678189564299"/>
    <x v="2"/>
  </r>
  <r>
    <s v="SP-0370"/>
    <s v="Belt"/>
    <s v="Mechanical"/>
    <s v="Maintenance"/>
    <s v="Medium"/>
    <n v="9"/>
    <n v="3"/>
    <n v="3"/>
    <n v="9"/>
    <n v="1770"/>
    <n v="13"/>
    <n v="0"/>
    <n v="221"/>
    <s v="Supplier G"/>
    <n v="0.16500000000000001"/>
    <n v="2628.45"/>
    <n v="15930"/>
    <n v="5310"/>
    <n v="0.33333333333333331"/>
    <n v="1095"/>
    <x v="2"/>
    <n v="75096410"/>
    <n v="0.99208723069852223"/>
    <x v="2"/>
  </r>
  <r>
    <s v="SP-0177"/>
    <s v="Valve"/>
    <s v="Hydraulic"/>
    <s v="Rolling Mill"/>
    <s v="Medium"/>
    <n v="8"/>
    <n v="8"/>
    <n v="6"/>
    <n v="10"/>
    <n v="1580"/>
    <n v="33"/>
    <n v="0"/>
    <n v="3"/>
    <s v="Supplier E"/>
    <n v="0.159"/>
    <n v="2512.1999999999998"/>
    <n v="15800"/>
    <n v="9480"/>
    <n v="0.6"/>
    <n v="608.33333333333337"/>
    <x v="0"/>
    <n v="75112210"/>
    <n v="0.99229596209120852"/>
    <x v="2"/>
  </r>
  <r>
    <s v="SP-0023"/>
    <s v="Belt"/>
    <s v="Mechanical"/>
    <s v="Blast Furnace"/>
    <s v="High"/>
    <n v="14"/>
    <n v="12"/>
    <n v="10"/>
    <n v="16"/>
    <n v="980"/>
    <n v="22"/>
    <n v="0"/>
    <n v="44"/>
    <s v="Supplier G"/>
    <n v="0.23899999999999999"/>
    <n v="3747.52"/>
    <n v="15680"/>
    <n v="9800"/>
    <n v="0.625"/>
    <n v="584"/>
    <x v="0"/>
    <n v="75127890"/>
    <n v="0.99250310818217813"/>
    <x v="2"/>
  </r>
  <r>
    <s v="SP-0291"/>
    <s v="Roller"/>
    <s v="Mechanical"/>
    <s v="Sinter Plant"/>
    <s v="High"/>
    <n v="5"/>
    <n v="6"/>
    <n v="4"/>
    <n v="7"/>
    <n v="2160"/>
    <n v="19"/>
    <n v="0"/>
    <n v="85"/>
    <s v="Supplier H"/>
    <n v="0.19"/>
    <n v="2872.8"/>
    <n v="15120"/>
    <n v="8640"/>
    <n v="0.5714285714285714"/>
    <n v="638.75"/>
    <x v="0"/>
    <n v="75143010"/>
    <n v="0.99270285619847032"/>
    <x v="2"/>
  </r>
  <r>
    <s v="SP-0351"/>
    <s v="Cable"/>
    <s v="Electrical"/>
    <s v="Utilities"/>
    <s v="High"/>
    <n v="9"/>
    <n v="13"/>
    <n v="12"/>
    <n v="10"/>
    <n v="1500"/>
    <n v="6"/>
    <n v="0"/>
    <n v="438"/>
    <s v="Supplier D"/>
    <n v="0.23400000000000001"/>
    <n v="3510"/>
    <n v="15000"/>
    <n v="18000"/>
    <n v="1.2"/>
    <n v="304.16666666666669"/>
    <x v="2"/>
    <n v="75158010"/>
    <n v="0.99290101891304583"/>
    <x v="2"/>
  </r>
  <r>
    <s v="SP-0020"/>
    <s v="Bearing"/>
    <s v="Mechanical"/>
    <s v="Sinter Plant"/>
    <s v="Medium"/>
    <n v="29"/>
    <n v="36"/>
    <n v="35"/>
    <n v="30"/>
    <n v="490"/>
    <n v="14"/>
    <n v="1"/>
    <n v="125"/>
    <s v="Supplier D"/>
    <n v="0.155"/>
    <n v="2278.5"/>
    <n v="14700"/>
    <n v="17150"/>
    <n v="1.1666666666666667"/>
    <n v="312.85714285714283"/>
    <x v="2"/>
    <n v="75172710"/>
    <n v="0.99309521837332981"/>
    <x v="2"/>
  </r>
  <r>
    <s v="SP-0490"/>
    <s v="Fastener"/>
    <s v="Consumable"/>
    <s v="Utilities"/>
    <s v="Critical"/>
    <n v="30"/>
    <n v="18"/>
    <n v="13"/>
    <n v="35"/>
    <n v="420"/>
    <n v="31"/>
    <n v="2"/>
    <n v="18"/>
    <s v="Supplier D"/>
    <n v="0.17599999999999999"/>
    <n v="2587.1999999999998"/>
    <n v="14700"/>
    <n v="5460"/>
    <n v="0.37142857142857144"/>
    <n v="982.69230769230762"/>
    <x v="0"/>
    <n v="75187410"/>
    <n v="0.99328941783361391"/>
    <x v="2"/>
  </r>
  <r>
    <s v="SP-0366"/>
    <s v="Cable"/>
    <s v="Electrical"/>
    <s v="Utilities"/>
    <s v="Critical"/>
    <n v="10"/>
    <n v="5"/>
    <n v="6"/>
    <n v="9"/>
    <n v="1610"/>
    <n v="28"/>
    <n v="0"/>
    <n v="69"/>
    <s v="Supplier A"/>
    <n v="0.253"/>
    <n v="3665.97"/>
    <n v="14490"/>
    <n v="9660"/>
    <n v="0.66666666666666663"/>
    <n v="547.5"/>
    <x v="0"/>
    <n v="75201900"/>
    <n v="0.99348084301589379"/>
    <x v="2"/>
  </r>
  <r>
    <s v="SP-0441"/>
    <s v="Bearing"/>
    <s v="Mechanical"/>
    <s v="Sinter Plant"/>
    <s v="Low"/>
    <n v="20"/>
    <n v="16"/>
    <n v="13"/>
    <n v="23"/>
    <n v="630"/>
    <n v="25"/>
    <n v="0"/>
    <n v="71"/>
    <s v="Supplier D"/>
    <n v="0.16800000000000001"/>
    <n v="2434.3200000000002"/>
    <n v="14490"/>
    <n v="8190"/>
    <n v="0.56521739130434778"/>
    <n v="645.76923076923083"/>
    <x v="0"/>
    <n v="75216390"/>
    <n v="0.99367226819817378"/>
    <x v="2"/>
  </r>
  <r>
    <s v="SP-0322"/>
    <s v="Cylinder"/>
    <s v="Hydraulic"/>
    <s v="Rolling Mill"/>
    <s v="Critical"/>
    <n v="19"/>
    <n v="20"/>
    <n v="22"/>
    <n v="17"/>
    <n v="850"/>
    <n v="13"/>
    <n v="1"/>
    <n v="127"/>
    <s v="Supplier G"/>
    <n v="0.254"/>
    <n v="3670.3"/>
    <n v="14450"/>
    <n v="18700"/>
    <n v="1.2941176470588236"/>
    <n v="282.0454545454545"/>
    <x v="2"/>
    <n v="75230840"/>
    <n v="0.99386316494654825"/>
    <x v="2"/>
  </r>
  <r>
    <s v="SP-0067"/>
    <s v="Seal"/>
    <s v="Mechanical"/>
    <s v="Utilities"/>
    <s v="Low"/>
    <n v="7"/>
    <n v="3"/>
    <n v="3"/>
    <n v="7"/>
    <n v="2040"/>
    <n v="35"/>
    <n v="0"/>
    <n v="173"/>
    <s v="Supplier G"/>
    <n v="0.252"/>
    <n v="3598.56"/>
    <n v="14280"/>
    <n v="6120"/>
    <n v="0.42857142857142855"/>
    <n v="851.66666666666674"/>
    <x v="2"/>
    <n v="75245120"/>
    <n v="0.99405181585082414"/>
    <x v="2"/>
  </r>
  <r>
    <s v="SP-0387"/>
    <s v="Roller"/>
    <s v="Mechanical"/>
    <s v="Blast Furnace"/>
    <s v="Low"/>
    <n v="15"/>
    <n v="16"/>
    <n v="12"/>
    <n v="19"/>
    <n v="730"/>
    <n v="23"/>
    <n v="1"/>
    <n v="106"/>
    <s v="Supplier A"/>
    <n v="0.17100000000000001"/>
    <n v="2371.77"/>
    <n v="13870"/>
    <n v="8760"/>
    <n v="0.63157894736842102"/>
    <n v="577.91666666666674"/>
    <x v="2"/>
    <n v="75258990"/>
    <n v="0.99423505030756831"/>
    <x v="2"/>
  </r>
  <r>
    <s v="SP-0083"/>
    <s v="Motor"/>
    <s v="Electrical"/>
    <s v="Steel Melting Shop"/>
    <s v="High"/>
    <n v="12"/>
    <n v="14"/>
    <n v="12"/>
    <n v="14"/>
    <n v="990"/>
    <n v="5"/>
    <n v="0"/>
    <n v="22"/>
    <s v="Supplier A"/>
    <n v="0.217"/>
    <n v="3007.62"/>
    <n v="13860"/>
    <n v="11880"/>
    <n v="0.8571428571428571"/>
    <n v="425.83333333333337"/>
    <x v="0"/>
    <n v="75272850"/>
    <n v="0.99441815265583611"/>
    <x v="2"/>
  </r>
  <r>
    <s v="SP-0105"/>
    <s v="Lubricant"/>
    <s v="Consumable"/>
    <s v="Sinter Plant"/>
    <s v="High"/>
    <n v="17"/>
    <n v="11"/>
    <n v="7"/>
    <n v="21"/>
    <n v="630"/>
    <n v="33"/>
    <n v="0"/>
    <n v="70"/>
    <s v="Supplier B"/>
    <n v="0.21299999999999999"/>
    <n v="2817.99"/>
    <n v="13230"/>
    <n v="4410"/>
    <n v="0.33333333333333331"/>
    <n v="1095"/>
    <x v="0"/>
    <n v="75286080"/>
    <n v="0.99459293217009181"/>
    <x v="2"/>
  </r>
  <r>
    <s v="SP-0495"/>
    <s v="Contactor"/>
    <s v="Electrical"/>
    <s v="Rolling Mill"/>
    <s v="Medium"/>
    <n v="26"/>
    <n v="62"/>
    <n v="41"/>
    <n v="47"/>
    <n v="280"/>
    <n v="46"/>
    <n v="2"/>
    <n v="187"/>
    <s v="Supplier B"/>
    <n v="0.27500000000000002"/>
    <n v="3619"/>
    <n v="13160"/>
    <n v="11480"/>
    <n v="0.87234042553191493"/>
    <n v="418.41463414634143"/>
    <x v="2"/>
    <n v="75299240"/>
    <n v="0.99476678692501275"/>
    <x v="2"/>
  </r>
  <r>
    <s v="SP-0299"/>
    <s v="Temperature Sensor"/>
    <s v="Instrumentation"/>
    <s v="Steel Melting Shop"/>
    <s v="Medium"/>
    <n v="79"/>
    <n v="49"/>
    <n v="51"/>
    <n v="77"/>
    <n v="170"/>
    <n v="37"/>
    <n v="2"/>
    <n v="75"/>
    <s v="Supplier G"/>
    <n v="0.26400000000000001"/>
    <n v="3455.76"/>
    <n v="13090"/>
    <n v="8670"/>
    <n v="0.66233766233766234"/>
    <n v="551.07843137254906"/>
    <x v="0"/>
    <n v="75312330"/>
    <n v="0.99493971692059902"/>
    <x v="2"/>
  </r>
  <r>
    <s v="SP-0304"/>
    <s v="Pressure Sensor"/>
    <s v="Instrumentation"/>
    <s v="Utilities"/>
    <s v="Critical"/>
    <n v="10"/>
    <n v="16"/>
    <n v="11"/>
    <n v="15"/>
    <n v="870"/>
    <n v="35"/>
    <n v="1"/>
    <n v="40"/>
    <s v="Supplier G"/>
    <n v="0.182"/>
    <n v="2375.1"/>
    <n v="13050"/>
    <n v="9570"/>
    <n v="0.73333333333333328"/>
    <n v="497.72727272727275"/>
    <x v="0"/>
    <n v="75325380"/>
    <n v="0.99511211848227965"/>
    <x v="2"/>
  </r>
  <r>
    <s v="SP-0044"/>
    <s v="Gasket"/>
    <s v="Consumable"/>
    <s v="Rolling Mill"/>
    <s v="High"/>
    <n v="7"/>
    <n v="8"/>
    <n v="9"/>
    <n v="6"/>
    <n v="2140"/>
    <n v="23"/>
    <n v="0"/>
    <n v="85"/>
    <s v="Supplier C"/>
    <n v="0.28699999999999998"/>
    <n v="3685.08"/>
    <n v="12840"/>
    <n v="19260"/>
    <n v="1.5"/>
    <n v="243.33333333333334"/>
    <x v="0"/>
    <n v="75338220"/>
    <n v="0.9952817457659564"/>
    <x v="2"/>
  </r>
  <r>
    <s v="SP-0078"/>
    <s v="Gear"/>
    <s v="Mechanical"/>
    <s v="Maintenance"/>
    <s v="Medium"/>
    <n v="26"/>
    <n v="48"/>
    <n v="39"/>
    <n v="35"/>
    <n v="360"/>
    <n v="34"/>
    <n v="0"/>
    <n v="170"/>
    <s v="Supplier A"/>
    <n v="0.27100000000000002"/>
    <n v="3414.6"/>
    <n v="12600"/>
    <n v="14040"/>
    <n v="1.1142857142857143"/>
    <n v="327.56410256410254"/>
    <x v="2"/>
    <n v="75350820"/>
    <n v="0.9954482024461998"/>
    <x v="2"/>
  </r>
  <r>
    <s v="SP-0280"/>
    <s v="Fitting"/>
    <s v="Pneumatic"/>
    <s v="Blast Furnace"/>
    <s v="Medium"/>
    <n v="6"/>
    <n v="5"/>
    <n v="4"/>
    <n v="7"/>
    <n v="1740"/>
    <n v="21"/>
    <n v="0"/>
    <n v="291"/>
    <s v="Supplier G"/>
    <n v="0.18099999999999999"/>
    <n v="2204.58"/>
    <n v="12180"/>
    <n v="6960"/>
    <n v="0.5714285714285714"/>
    <n v="638.75"/>
    <x v="2"/>
    <n v="75363000"/>
    <n v="0.99560911057043511"/>
    <x v="2"/>
  </r>
  <r>
    <s v="SP-0372"/>
    <s v="Seal"/>
    <s v="Mechanical"/>
    <s v="Utilities"/>
    <s v="Medium"/>
    <n v="11"/>
    <n v="4"/>
    <n v="4"/>
    <n v="11"/>
    <n v="1090"/>
    <n v="10"/>
    <n v="0"/>
    <n v="87"/>
    <s v="Supplier C"/>
    <n v="0.22600000000000001"/>
    <n v="2709.74"/>
    <n v="11990"/>
    <n v="4360"/>
    <n v="0.36363636363636365"/>
    <n v="1003.75"/>
    <x v="0"/>
    <n v="75374990"/>
    <n v="0.99576750863361918"/>
    <x v="2"/>
  </r>
  <r>
    <s v="SP-0053"/>
    <s v="Lubricant"/>
    <s v="Consumable"/>
    <s v="Utilities"/>
    <s v="High"/>
    <n v="13"/>
    <n v="55"/>
    <n v="42"/>
    <n v="26"/>
    <n v="460"/>
    <n v="37"/>
    <n v="0"/>
    <n v="138"/>
    <s v="Supplier F"/>
    <n v="0.28000000000000003"/>
    <n v="3348.8"/>
    <n v="11960"/>
    <n v="19320"/>
    <n v="1.6153846153846154"/>
    <n v="225.95238095238093"/>
    <x v="2"/>
    <n v="75386950"/>
    <n v="0.99592551037137411"/>
    <x v="2"/>
  </r>
  <r>
    <s v="SP-0500"/>
    <s v="Grinding Wheel"/>
    <s v="Consumable"/>
    <s v="Sinter Plant"/>
    <s v="Low"/>
    <n v="15"/>
    <n v="6"/>
    <n v="7"/>
    <n v="14"/>
    <n v="850"/>
    <n v="31"/>
    <n v="0"/>
    <n v="130"/>
    <s v="Supplier B"/>
    <n v="0.246"/>
    <n v="2927.4"/>
    <n v="11900"/>
    <n v="5950"/>
    <n v="0.5"/>
    <n v="730"/>
    <x v="2"/>
    <n v="75398850"/>
    <n v="0.99608271945827065"/>
    <x v="2"/>
  </r>
  <r>
    <s v="SP-0384"/>
    <s v="Pneumatic Valve"/>
    <s v="Pneumatic"/>
    <s v="Maintenance"/>
    <s v="Critical"/>
    <n v="10"/>
    <n v="12"/>
    <n v="12"/>
    <n v="10"/>
    <n v="1170"/>
    <n v="25"/>
    <n v="0"/>
    <n v="66"/>
    <s v="Supplier E"/>
    <n v="0.255"/>
    <n v="2983.5"/>
    <n v="11700"/>
    <n v="14040"/>
    <n v="1.2"/>
    <n v="304.16666666666669"/>
    <x v="0"/>
    <n v="75410550"/>
    <n v="0.99623728637563957"/>
    <x v="2"/>
  </r>
  <r>
    <s v="SP-0197"/>
    <s v="Filter"/>
    <s v="Hydraulic"/>
    <s v="Utilities"/>
    <s v="High"/>
    <n v="6"/>
    <n v="14"/>
    <n v="9"/>
    <n v="11"/>
    <n v="1030"/>
    <n v="39"/>
    <n v="0"/>
    <n v="131"/>
    <s v="Supplier H"/>
    <n v="0.22900000000000001"/>
    <n v="2594.5700000000002"/>
    <n v="11330"/>
    <n v="9270"/>
    <n v="0.81818181818181823"/>
    <n v="446.11111111111109"/>
    <x v="2"/>
    <n v="75421880"/>
    <n v="0.99638696527938231"/>
    <x v="2"/>
  </r>
  <r>
    <s v="SP-0479"/>
    <s v="Electrode"/>
    <s v="Consumable"/>
    <s v="Rolling Mill"/>
    <s v="Low"/>
    <n v="10"/>
    <n v="14"/>
    <n v="11"/>
    <n v="13"/>
    <n v="860"/>
    <n v="12"/>
    <n v="0"/>
    <n v="25"/>
    <s v="Supplier A"/>
    <n v="0.252"/>
    <n v="2817.36"/>
    <n v="11180"/>
    <n v="9460"/>
    <n v="0.84615384615384615"/>
    <n v="431.36363636363637"/>
    <x v="0"/>
    <n v="75433060"/>
    <n v="0.99653466255597933"/>
    <x v="2"/>
  </r>
  <r>
    <s v="SP-0273"/>
    <s v="Fitting"/>
    <s v="Pneumatic"/>
    <s v="Blast Furnace"/>
    <s v="Low"/>
    <n v="29"/>
    <n v="61"/>
    <n v="61"/>
    <n v="29"/>
    <n v="380"/>
    <n v="42"/>
    <n v="0"/>
    <n v="74"/>
    <s v="Supplier D"/>
    <n v="0.23899999999999999"/>
    <n v="2633.78"/>
    <n v="11020"/>
    <n v="23180"/>
    <n v="2.103448275862069"/>
    <n v="173.52459016393442"/>
    <x v="0"/>
    <n v="75444080"/>
    <n v="0.99668024609695416"/>
    <x v="2"/>
  </r>
  <r>
    <s v="SP-0101"/>
    <s v="Belt"/>
    <s v="Mechanical"/>
    <s v="Sinter Plant"/>
    <s v="Medium"/>
    <n v="22"/>
    <n v="7"/>
    <n v="6"/>
    <n v="23"/>
    <n v="470"/>
    <n v="22"/>
    <n v="1"/>
    <n v="33"/>
    <s v="Supplier H"/>
    <n v="0.20399999999999999"/>
    <n v="2205.2399999999998"/>
    <n v="10810"/>
    <n v="2820"/>
    <n v="0.2608695652173913"/>
    <n v="1399.1666666666667"/>
    <x v="0"/>
    <n v="75454890"/>
    <n v="0.99682305535992488"/>
    <x v="2"/>
  </r>
  <r>
    <s v="SP-0245"/>
    <s v="Belt"/>
    <s v="Mechanical"/>
    <s v="Sinter Plant"/>
    <s v="Medium"/>
    <n v="7"/>
    <n v="7"/>
    <n v="8"/>
    <n v="6"/>
    <n v="1760"/>
    <n v="17"/>
    <n v="0"/>
    <n v="70"/>
    <s v="Supplier C"/>
    <n v="0.22900000000000001"/>
    <n v="2418.2399999999998"/>
    <n v="10560"/>
    <n v="14080"/>
    <n v="1.3333333333333333"/>
    <n v="273.75"/>
    <x v="0"/>
    <n v="75465450"/>
    <n v="0.99696256191098609"/>
    <x v="2"/>
  </r>
  <r>
    <s v="SP-0259"/>
    <s v="Controller"/>
    <s v="Instrumentation"/>
    <s v="Maintenance"/>
    <s v="Low"/>
    <n v="5"/>
    <n v="7"/>
    <n v="5"/>
    <n v="7"/>
    <n v="1440"/>
    <n v="9"/>
    <n v="0"/>
    <n v="47"/>
    <s v="Supplier E"/>
    <n v="0.27100000000000002"/>
    <n v="2731.68"/>
    <n v="10080"/>
    <n v="7200"/>
    <n v="0.7142857142857143"/>
    <n v="511"/>
    <x v="0"/>
    <n v="75475530"/>
    <n v="0.99709572725518092"/>
    <x v="2"/>
  </r>
  <r>
    <s v="SP-0398"/>
    <s v="Fuse"/>
    <s v="Electrical"/>
    <s v="Rolling Mill"/>
    <s v="Low"/>
    <n v="20"/>
    <n v="16"/>
    <n v="15"/>
    <n v="21"/>
    <n v="470"/>
    <n v="9"/>
    <n v="0"/>
    <n v="18"/>
    <s v="Supplier B"/>
    <n v="0.16700000000000001"/>
    <n v="1648.29"/>
    <n v="9870"/>
    <n v="7050"/>
    <n v="0.7142857142857143"/>
    <n v="511"/>
    <x v="0"/>
    <n v="75485400"/>
    <n v="0.99722611832137154"/>
    <x v="2"/>
  </r>
  <r>
    <s v="SP-0417"/>
    <s v="Belt"/>
    <s v="Mechanical"/>
    <s v="Utilities"/>
    <s v="Medium"/>
    <n v="12"/>
    <n v="37"/>
    <n v="0"/>
    <n v="47"/>
    <n v="210"/>
    <n v="36"/>
    <n v="1"/>
    <n v="436"/>
    <s v="Supplier B"/>
    <n v="0.19"/>
    <n v="1875.3"/>
    <n v="9870"/>
    <n v="0"/>
    <n v="0"/>
    <n v="0"/>
    <x v="1"/>
    <n v="75495270"/>
    <n v="0.99735650938756226"/>
    <x v="2"/>
  </r>
  <r>
    <s v="SP-0130"/>
    <s v="Switch"/>
    <s v="Electrical"/>
    <s v="Maintenance"/>
    <s v="High"/>
    <n v="36"/>
    <n v="34"/>
    <n v="32"/>
    <n v="38"/>
    <n v="250"/>
    <n v="14"/>
    <n v="0"/>
    <n v="11"/>
    <s v="Supplier F"/>
    <n v="0.215"/>
    <n v="2042.5"/>
    <n v="9500"/>
    <n v="8000"/>
    <n v="0.84210526315789469"/>
    <n v="433.4375"/>
    <x v="0"/>
    <n v="75504770"/>
    <n v="0.9974820124401268"/>
    <x v="2"/>
  </r>
  <r>
    <s v="SP-0309"/>
    <s v="Air Filter"/>
    <s v="Pneumatic"/>
    <s v="Blast Furnace"/>
    <s v="Low"/>
    <n v="7"/>
    <n v="8"/>
    <n v="7"/>
    <n v="8"/>
    <n v="1120"/>
    <n v="11"/>
    <n v="0"/>
    <n v="97"/>
    <s v="Supplier G"/>
    <n v="0.248"/>
    <n v="2222.08"/>
    <n v="8960"/>
    <n v="7840"/>
    <n v="0.875"/>
    <n v="417.14285714285717"/>
    <x v="2"/>
    <n v="75513730"/>
    <n v="0.99760038163496656"/>
    <x v="2"/>
  </r>
  <r>
    <s v="SP-0240"/>
    <s v="Bearing"/>
    <s v="Mechanical"/>
    <s v="Rolling Mill"/>
    <s v="Critical"/>
    <n v="25"/>
    <n v="12"/>
    <n v="14"/>
    <n v="23"/>
    <n v="370"/>
    <n v="58"/>
    <n v="0"/>
    <n v="106"/>
    <s v="Supplier B"/>
    <n v="0.19500000000000001"/>
    <n v="1659.45"/>
    <n v="8510"/>
    <n v="5180"/>
    <n v="0.60869565217391308"/>
    <n v="599.64285714285711"/>
    <x v="2"/>
    <n v="75522240"/>
    <n v="0.99771280594836909"/>
    <x v="2"/>
  </r>
  <r>
    <s v="SP-0096"/>
    <s v="Relay"/>
    <s v="Electrical"/>
    <s v="Sinter Plant"/>
    <s v="Medium"/>
    <n v="6"/>
    <n v="8"/>
    <n v="5"/>
    <n v="9"/>
    <n v="920"/>
    <n v="25"/>
    <n v="0"/>
    <n v="118"/>
    <s v="Supplier G"/>
    <n v="0.25600000000000001"/>
    <n v="2119.6799999999998"/>
    <n v="8280"/>
    <n v="4600"/>
    <n v="0.55555555555555558"/>
    <n v="657"/>
    <x v="2"/>
    <n v="75530520"/>
    <n v="0.99782219176681475"/>
    <x v="2"/>
  </r>
  <r>
    <s v="SP-0191"/>
    <s v="Bearing"/>
    <s v="Mechanical"/>
    <s v="Maintenance"/>
    <s v="Medium"/>
    <n v="17"/>
    <n v="10"/>
    <n v="9"/>
    <n v="18"/>
    <n v="440"/>
    <n v="34"/>
    <n v="0"/>
    <n v="42"/>
    <s v="Supplier C"/>
    <n v="0.16900000000000001"/>
    <n v="1338.48"/>
    <n v="7920"/>
    <n v="3960"/>
    <n v="0.5"/>
    <n v="730"/>
    <x v="0"/>
    <n v="75538440"/>
    <n v="0.99792682168011071"/>
    <x v="2"/>
  </r>
  <r>
    <s v="SP-0380"/>
    <s v="Coupling"/>
    <s v="Mechanical"/>
    <s v="Maintenance"/>
    <s v="Critical"/>
    <n v="6"/>
    <n v="2"/>
    <n v="2"/>
    <n v="6"/>
    <n v="1310"/>
    <n v="50"/>
    <n v="1"/>
    <n v="1"/>
    <s v="Supplier C"/>
    <n v="0.153"/>
    <n v="1202.58"/>
    <n v="7860"/>
    <n v="2620"/>
    <n v="0.33333333333333331"/>
    <n v="1095"/>
    <x v="0"/>
    <n v="75546300"/>
    <n v="0.99803065894254828"/>
    <x v="2"/>
  </r>
  <r>
    <s v="SP-0168"/>
    <s v="Gear"/>
    <s v="Mechanical"/>
    <s v="Maintenance"/>
    <s v="High"/>
    <n v="8"/>
    <n v="5"/>
    <n v="3"/>
    <n v="10"/>
    <n v="770"/>
    <n v="33"/>
    <n v="0"/>
    <n v="102"/>
    <s v="Supplier F"/>
    <n v="0.19500000000000001"/>
    <n v="1501.5"/>
    <n v="7700"/>
    <n v="2310"/>
    <n v="0.3"/>
    <n v="1216.6666666666667"/>
    <x v="2"/>
    <n v="75554000"/>
    <n v="0.99813238246936375"/>
    <x v="2"/>
  </r>
  <r>
    <s v="SP-0218"/>
    <s v="Cylinder"/>
    <s v="Hydraulic"/>
    <s v="Maintenance"/>
    <s v="High"/>
    <n v="25"/>
    <n v="16"/>
    <n v="14"/>
    <n v="27"/>
    <n v="280"/>
    <n v="14"/>
    <n v="0"/>
    <n v="11"/>
    <s v="Supplier B"/>
    <n v="0.184"/>
    <n v="1391.04"/>
    <n v="7560"/>
    <n v="3920"/>
    <n v="0.51851851851851849"/>
    <n v="703.92857142857144"/>
    <x v="0"/>
    <n v="75561560"/>
    <n v="0.99823225647750979"/>
    <x v="2"/>
  </r>
  <r>
    <s v="SP-0244"/>
    <s v="Cable"/>
    <s v="Electrical"/>
    <s v="Sinter Plant"/>
    <s v="Medium"/>
    <n v="22"/>
    <n v="20"/>
    <n v="0"/>
    <n v="74"/>
    <n v="100"/>
    <n v="4"/>
    <n v="0"/>
    <n v="729"/>
    <s v="Supplier A"/>
    <n v="0.29099999999999998"/>
    <n v="2153.4"/>
    <n v="7400"/>
    <n v="0"/>
    <n v="0"/>
    <n v="0"/>
    <x v="1"/>
    <n v="75568960"/>
    <n v="0.99833001675003374"/>
    <x v="2"/>
  </r>
  <r>
    <s v="SP-0051"/>
    <s v="Gasket"/>
    <s v="Consumable"/>
    <s v="Maintenance"/>
    <s v="High"/>
    <n v="13"/>
    <n v="12"/>
    <n v="1"/>
    <n v="52"/>
    <n v="140"/>
    <n v="40"/>
    <n v="0"/>
    <n v="160"/>
    <s v="Supplier E"/>
    <n v="0.26200000000000001"/>
    <n v="1907.36"/>
    <n v="7280"/>
    <n v="140"/>
    <n v="1.9230769230769232E-2"/>
    <n v="18980"/>
    <x v="2"/>
    <n v="75576240"/>
    <n v="0.99842619172084102"/>
    <x v="2"/>
  </r>
  <r>
    <s v="SP-0440"/>
    <s v="Seal"/>
    <s v="Mechanical"/>
    <s v="Maintenance"/>
    <s v="High"/>
    <n v="17"/>
    <n v="13"/>
    <n v="10"/>
    <n v="20"/>
    <n v="360"/>
    <n v="34"/>
    <n v="0"/>
    <n v="6"/>
    <s v="Supplier D"/>
    <n v="0.28100000000000003"/>
    <n v="2023.2"/>
    <n v="7200"/>
    <n v="3600"/>
    <n v="0.5"/>
    <n v="730"/>
    <x v="0"/>
    <n v="75583440"/>
    <n v="0.99852130982383736"/>
    <x v="2"/>
  </r>
  <r>
    <s v="SP-0265"/>
    <s v="Fitting"/>
    <s v="Pneumatic"/>
    <s v="Blast Furnace"/>
    <s v="High"/>
    <n v="2"/>
    <n v="7"/>
    <n v="5"/>
    <n v="4"/>
    <n v="1770"/>
    <n v="35"/>
    <n v="0"/>
    <n v="17"/>
    <s v="Supplier F"/>
    <n v="0.26"/>
    <n v="1840.8"/>
    <n v="7080"/>
    <n v="8850"/>
    <n v="1.25"/>
    <n v="292"/>
    <x v="0"/>
    <n v="75590520"/>
    <n v="0.99861484262511702"/>
    <x v="2"/>
  </r>
  <r>
    <s v="SP-0056"/>
    <s v="Gasket"/>
    <s v="Consumable"/>
    <s v="Utilities"/>
    <s v="Medium"/>
    <n v="22"/>
    <n v="46"/>
    <n v="45"/>
    <n v="23"/>
    <n v="300"/>
    <n v="46"/>
    <n v="0"/>
    <n v="30"/>
    <s v="Supplier H"/>
    <n v="0.246"/>
    <n v="1697.4"/>
    <n v="6900"/>
    <n v="13500"/>
    <n v="1.9565217391304348"/>
    <n v="186.55555555555554"/>
    <x v="0"/>
    <n v="75597420"/>
    <n v="0.99870599747382172"/>
    <x v="2"/>
  </r>
  <r>
    <s v="SP-0030"/>
    <s v="Roller"/>
    <s v="Mechanical"/>
    <s v="Rolling Mill"/>
    <s v="High"/>
    <n v="29"/>
    <n v="46"/>
    <n v="48"/>
    <n v="27"/>
    <n v="250"/>
    <n v="30"/>
    <n v="0"/>
    <n v="1"/>
    <s v="Supplier C"/>
    <n v="0.20899999999999999"/>
    <n v="1410.75"/>
    <n v="6750"/>
    <n v="12000"/>
    <n v="1.7777777777777777"/>
    <n v="205.3125"/>
    <x v="0"/>
    <n v="75604170"/>
    <n v="0.99879517069538071"/>
    <x v="2"/>
  </r>
  <r>
    <s v="SP-0188"/>
    <s v="Pressure Sensor"/>
    <s v="Instrumentation"/>
    <s v="Blast Furnace"/>
    <s v="Medium"/>
    <n v="6"/>
    <n v="6"/>
    <n v="7"/>
    <n v="5"/>
    <n v="1210"/>
    <n v="35"/>
    <n v="0"/>
    <n v="55"/>
    <s v="Supplier G"/>
    <n v="0.23400000000000001"/>
    <n v="1415.7"/>
    <n v="6050"/>
    <n v="8470"/>
    <n v="1.4"/>
    <n v="260.71428571428572"/>
    <x v="0"/>
    <n v="75610220"/>
    <n v="0.99887509632359284"/>
    <x v="2"/>
  </r>
  <r>
    <s v="SP-0378"/>
    <s v="Seal"/>
    <s v="Mechanical"/>
    <s v="Rolling Mill"/>
    <s v="Low"/>
    <n v="6"/>
    <n v="12"/>
    <n v="10"/>
    <n v="8"/>
    <n v="720"/>
    <n v="27"/>
    <n v="0"/>
    <n v="15"/>
    <s v="Supplier G"/>
    <n v="0.187"/>
    <n v="1077.1199999999999"/>
    <n v="5760"/>
    <n v="7200"/>
    <n v="1.25"/>
    <n v="292"/>
    <x v="0"/>
    <n v="75615980"/>
    <n v="0.99895119080598982"/>
    <x v="2"/>
  </r>
  <r>
    <s v="SP-0278"/>
    <s v="Flow Meter"/>
    <s v="Instrumentation"/>
    <s v="Maintenance"/>
    <s v="Medium"/>
    <n v="6"/>
    <n v="23"/>
    <n v="17"/>
    <n v="12"/>
    <n v="470"/>
    <n v="27"/>
    <n v="0"/>
    <n v="55"/>
    <s v="Supplier C"/>
    <n v="0.25900000000000001"/>
    <n v="1460.76"/>
    <n v="5640"/>
    <n v="7990"/>
    <n v="1.4166666666666667"/>
    <n v="257.64705882352939"/>
    <x v="0"/>
    <n v="75621620"/>
    <n v="0.99902569998667023"/>
    <x v="2"/>
  </r>
  <r>
    <s v="SP-0178"/>
    <s v="Motor"/>
    <s v="Electrical"/>
    <s v="Rolling Mill"/>
    <s v="Medium"/>
    <n v="3"/>
    <n v="3"/>
    <n v="3"/>
    <n v="3"/>
    <n v="1830"/>
    <n v="27"/>
    <n v="1"/>
    <n v="146"/>
    <s v="Supplier E"/>
    <n v="0.248"/>
    <n v="1361.52"/>
    <n v="5490"/>
    <n v="5490"/>
    <n v="1"/>
    <n v="365"/>
    <x v="2"/>
    <n v="75627110"/>
    <n v="0.99909822754020494"/>
    <x v="2"/>
  </r>
  <r>
    <s v="SP-0102"/>
    <s v="Pressure Sensor"/>
    <s v="Instrumentation"/>
    <s v="Maintenance"/>
    <s v="High"/>
    <n v="9"/>
    <n v="4"/>
    <n v="5"/>
    <n v="8"/>
    <n v="680"/>
    <n v="44"/>
    <n v="0"/>
    <n v="24"/>
    <s v="Supplier H"/>
    <n v="0.182"/>
    <n v="990.07999999999993"/>
    <n v="5440"/>
    <n v="3400"/>
    <n v="0.625"/>
    <n v="584"/>
    <x v="0"/>
    <n v="75632550"/>
    <n v="0.99917009455135763"/>
    <x v="2"/>
  </r>
  <r>
    <s v="SP-0223"/>
    <s v="Seal"/>
    <s v="Mechanical"/>
    <s v="Rolling Mill"/>
    <s v="Critical"/>
    <n v="9"/>
    <n v="14"/>
    <n v="15"/>
    <n v="8"/>
    <n v="650"/>
    <n v="33"/>
    <n v="0"/>
    <n v="41"/>
    <s v="Supplier E"/>
    <n v="0.26900000000000002"/>
    <n v="1398.8"/>
    <n v="5200"/>
    <n v="9750"/>
    <n v="1.875"/>
    <n v="194.66666666666666"/>
    <x v="0"/>
    <n v="75637750"/>
    <n v="0.99923879095907719"/>
    <x v="2"/>
  </r>
  <r>
    <s v="SP-0276"/>
    <s v="Fuse"/>
    <s v="Electrical"/>
    <s v="Maintenance"/>
    <s v="Medium"/>
    <n v="9"/>
    <n v="4"/>
    <n v="3"/>
    <n v="10"/>
    <n v="520"/>
    <n v="40"/>
    <n v="1"/>
    <n v="108"/>
    <s v="Supplier F"/>
    <n v="0.16600000000000001"/>
    <n v="863.2"/>
    <n v="5200"/>
    <n v="1560"/>
    <n v="0.3"/>
    <n v="1216.6666666666667"/>
    <x v="2"/>
    <n v="75642950"/>
    <n v="0.99930748736679664"/>
    <x v="2"/>
  </r>
  <r>
    <s v="SP-0004"/>
    <s v="Temperature Sensor"/>
    <s v="Instrumentation"/>
    <s v="Rolling Mill"/>
    <s v="Critical"/>
    <n v="1"/>
    <n v="4"/>
    <n v="3"/>
    <n v="2"/>
    <n v="2490"/>
    <n v="25"/>
    <n v="0"/>
    <n v="74"/>
    <s v="Supplier G"/>
    <n v="0.20899999999999999"/>
    <n v="1040.82"/>
    <n v="4980"/>
    <n v="7470"/>
    <n v="1.5"/>
    <n v="243.33333333333334"/>
    <x v="0"/>
    <n v="75647930"/>
    <n v="0.99937327738803572"/>
    <x v="2"/>
  </r>
  <r>
    <s v="SP-0236"/>
    <s v="Hose"/>
    <s v="Hydraulic"/>
    <s v="Rolling Mill"/>
    <s v="Critical"/>
    <n v="11"/>
    <n v="9"/>
    <n v="5"/>
    <n v="15"/>
    <n v="310"/>
    <n v="13"/>
    <n v="0"/>
    <n v="48"/>
    <s v="Supplier E"/>
    <n v="0.17799999999999999"/>
    <n v="827.69999999999993"/>
    <n v="4650"/>
    <n v="1550"/>
    <n v="0.33333333333333331"/>
    <n v="1095"/>
    <x v="0"/>
    <n v="75652580"/>
    <n v="0.99943470782955413"/>
    <x v="2"/>
  </r>
  <r>
    <s v="SP-0234"/>
    <s v="Contactor"/>
    <s v="Electrical"/>
    <s v="Maintenance"/>
    <s v="High"/>
    <n v="6"/>
    <n v="6"/>
    <n v="5"/>
    <n v="7"/>
    <n v="590"/>
    <n v="19"/>
    <n v="0"/>
    <n v="52"/>
    <s v="Supplier F"/>
    <n v="0.214"/>
    <n v="883.81999999999994"/>
    <n v="4130"/>
    <n v="2950"/>
    <n v="0.7142857142857143"/>
    <n v="511"/>
    <x v="0"/>
    <n v="75656710"/>
    <n v="0.99948926863030063"/>
    <x v="2"/>
  </r>
  <r>
    <s v="SP-0308"/>
    <s v="Motor"/>
    <s v="Electrical"/>
    <s v="Utilities"/>
    <s v="Low"/>
    <n v="5"/>
    <n v="4"/>
    <n v="4"/>
    <n v="5"/>
    <n v="810"/>
    <n v="39"/>
    <n v="1"/>
    <n v="10"/>
    <s v="Supplier C"/>
    <n v="0.246"/>
    <n v="996.3"/>
    <n v="4050"/>
    <n v="3240"/>
    <n v="0.8"/>
    <n v="456.25"/>
    <x v="0"/>
    <n v="75660760"/>
    <n v="0.99954277256323598"/>
    <x v="2"/>
  </r>
  <r>
    <s v="SP-0183"/>
    <s v="Gasket"/>
    <s v="Consumable"/>
    <s v="Rolling Mill"/>
    <s v="Medium"/>
    <n v="4"/>
    <n v="5"/>
    <n v="4"/>
    <n v="5"/>
    <n v="740"/>
    <n v="16"/>
    <n v="1"/>
    <n v="118"/>
    <s v="Supplier B"/>
    <n v="0.19400000000000001"/>
    <n v="717.80000000000007"/>
    <n v="3700"/>
    <n v="2960"/>
    <n v="0.8"/>
    <n v="456.25"/>
    <x v="2"/>
    <n v="75664460"/>
    <n v="0.99959165269949801"/>
    <x v="2"/>
  </r>
  <r>
    <s v="SP-0468"/>
    <s v="Air Filter"/>
    <s v="Pneumatic"/>
    <s v="Rolling Mill"/>
    <s v="Low"/>
    <n v="7"/>
    <n v="12"/>
    <n v="9"/>
    <n v="10"/>
    <n v="360"/>
    <n v="12"/>
    <n v="0"/>
    <n v="124"/>
    <s v="Supplier G"/>
    <n v="0.214"/>
    <n v="770.4"/>
    <n v="3600"/>
    <n v="3240"/>
    <n v="0.9"/>
    <n v="405.55555555555554"/>
    <x v="2"/>
    <n v="75668060"/>
    <n v="0.99963921175099613"/>
    <x v="2"/>
  </r>
  <r>
    <s v="SP-0060"/>
    <s v="Contactor"/>
    <s v="Electrical"/>
    <s v="Rolling Mill"/>
    <s v="Medium"/>
    <n v="13"/>
    <n v="24"/>
    <n v="28"/>
    <n v="25"/>
    <n v="140"/>
    <n v="17"/>
    <n v="0"/>
    <n v="129"/>
    <s v="Supplier H"/>
    <n v="0.26100000000000001"/>
    <n v="913.5"/>
    <n v="3500"/>
    <n v="3920"/>
    <n v="1.1200000000000001"/>
    <n v="325.89285714285711"/>
    <x v="2"/>
    <n v="75671560"/>
    <n v="0.99968544971773043"/>
    <x v="2"/>
  </r>
  <r>
    <s v="SP-0267"/>
    <s v="Cylinder"/>
    <s v="Hydraulic"/>
    <s v="Utilities"/>
    <s v="Critical"/>
    <n v="18"/>
    <n v="7"/>
    <n v="5"/>
    <n v="20"/>
    <n v="160"/>
    <n v="30"/>
    <n v="0"/>
    <n v="70"/>
    <s v="Supplier E"/>
    <n v="0.27900000000000003"/>
    <n v="892.80000000000007"/>
    <n v="3200"/>
    <n v="800"/>
    <n v="0.25"/>
    <n v="1460"/>
    <x v="0"/>
    <n v="75674760"/>
    <n v="0.99972772443017321"/>
    <x v="2"/>
  </r>
  <r>
    <s v="SP-0243"/>
    <s v="Fastener"/>
    <s v="Consumable"/>
    <s v="Steel Melting Shop"/>
    <s v="Low"/>
    <n v="4"/>
    <n v="4"/>
    <n v="3"/>
    <n v="5"/>
    <n v="560"/>
    <n v="25"/>
    <n v="0"/>
    <n v="23"/>
    <s v="Supplier H"/>
    <n v="0.158"/>
    <n v="442.4"/>
    <n v="2800"/>
    <n v="1680"/>
    <n v="0.6"/>
    <n v="608.33333333333337"/>
    <x v="0"/>
    <n v="75677560"/>
    <n v="0.99976471480356066"/>
    <x v="2"/>
  </r>
  <r>
    <s v="SP-0251"/>
    <s v="Belt"/>
    <s v="Mechanical"/>
    <s v="Rolling Mill"/>
    <s v="Critical"/>
    <n v="4"/>
    <n v="3"/>
    <n v="3"/>
    <n v="4"/>
    <n v="670"/>
    <n v="25"/>
    <n v="1"/>
    <n v="9"/>
    <s v="Supplier A"/>
    <n v="0.23"/>
    <n v="616.4"/>
    <n v="2680"/>
    <n v="2010"/>
    <n v="0.75"/>
    <n v="486.66666666666669"/>
    <x v="0"/>
    <n v="75680240"/>
    <n v="0.99980011987523143"/>
    <x v="2"/>
  </r>
  <r>
    <s v="SP-0300"/>
    <s v="Roller"/>
    <s v="Mechanical"/>
    <s v="Rolling Mill"/>
    <s v="High"/>
    <n v="4"/>
    <n v="1"/>
    <n v="1"/>
    <n v="4"/>
    <n v="660"/>
    <n v="24"/>
    <n v="1"/>
    <n v="283"/>
    <s v="Supplier F"/>
    <n v="0.26600000000000001"/>
    <n v="702.24"/>
    <n v="2640"/>
    <n v="660"/>
    <n v="0.25"/>
    <n v="1460"/>
    <x v="2"/>
    <n v="75682880"/>
    <n v="0.99983499651299679"/>
    <x v="2"/>
  </r>
  <r>
    <s v="SP-0480"/>
    <s v="Pressure Sensor"/>
    <s v="Instrumentation"/>
    <s v="Rolling Mill"/>
    <s v="Medium"/>
    <n v="4"/>
    <n v="12"/>
    <n v="11"/>
    <n v="5"/>
    <n v="480"/>
    <n v="12"/>
    <n v="1"/>
    <n v="2"/>
    <s v="Supplier A"/>
    <n v="0.188"/>
    <n v="451.2"/>
    <n v="2400"/>
    <n v="5280"/>
    <n v="2.2000000000000002"/>
    <n v="165.90909090909091"/>
    <x v="0"/>
    <n v="75685280"/>
    <n v="0.9998667025473289"/>
    <x v="2"/>
  </r>
  <r>
    <s v="SP-0449"/>
    <s v="Cable"/>
    <s v="Electrical"/>
    <s v="Rolling Mill"/>
    <s v="Critical"/>
    <n v="3"/>
    <n v="1"/>
    <n v="1"/>
    <n v="3"/>
    <n v="720"/>
    <n v="44"/>
    <n v="0"/>
    <n v="298"/>
    <s v="Supplier H"/>
    <n v="0.16900000000000001"/>
    <n v="365.04"/>
    <n v="2160"/>
    <n v="720"/>
    <n v="0.33333333333333331"/>
    <n v="1095"/>
    <x v="2"/>
    <n v="75687440"/>
    <n v="0.99989523797822777"/>
    <x v="2"/>
  </r>
  <r>
    <s v="SP-0487"/>
    <s v="Gear"/>
    <s v="Mechanical"/>
    <s v="Sinter Plant"/>
    <s v="Medium"/>
    <n v="5"/>
    <n v="4"/>
    <n v="4"/>
    <n v="5"/>
    <n v="400"/>
    <n v="39"/>
    <n v="0"/>
    <n v="55"/>
    <s v="Supplier A"/>
    <n v="0.23"/>
    <n v="460"/>
    <n v="2000"/>
    <n v="1600"/>
    <n v="0.8"/>
    <n v="456.25"/>
    <x v="0"/>
    <n v="75689440"/>
    <n v="0.99992165967350444"/>
    <x v="2"/>
  </r>
  <r>
    <s v="SP-0349"/>
    <s v="Contactor"/>
    <s v="Electrical"/>
    <s v="Blast Furnace"/>
    <s v="Low"/>
    <n v="4"/>
    <n v="4"/>
    <n v="5"/>
    <n v="3"/>
    <n v="620"/>
    <n v="22"/>
    <n v="1"/>
    <n v="13"/>
    <s v="Supplier A"/>
    <n v="0.253"/>
    <n v="470.58"/>
    <n v="1860"/>
    <n v="3100"/>
    <n v="1.6666666666666667"/>
    <n v="219"/>
    <x v="0"/>
    <n v="75691300"/>
    <n v="0.99994623185011189"/>
    <x v="2"/>
  </r>
  <r>
    <s v="SP-0458"/>
    <s v="Motor"/>
    <s v="Electrical"/>
    <s v="Utilities"/>
    <s v="Critical"/>
    <n v="7"/>
    <n v="16"/>
    <n v="17"/>
    <n v="6"/>
    <n v="290"/>
    <n v="25"/>
    <n v="0"/>
    <n v="279"/>
    <s v="Supplier H"/>
    <n v="0.27"/>
    <n v="469.8"/>
    <n v="1740"/>
    <n v="4930"/>
    <n v="2.8333333333333335"/>
    <n v="128.8235294117647"/>
    <x v="2"/>
    <n v="75693040"/>
    <n v="0.99996921872500255"/>
    <x v="2"/>
  </r>
  <r>
    <s v="SP-0209"/>
    <s v="Bearing"/>
    <s v="Mechanical"/>
    <s v="Maintenance"/>
    <s v="Medium"/>
    <n v="2"/>
    <n v="4"/>
    <n v="5"/>
    <n v="1"/>
    <n v="1530"/>
    <n v="3"/>
    <n v="0"/>
    <n v="25"/>
    <s v="Supplier H"/>
    <n v="0.26800000000000002"/>
    <n v="410.04"/>
    <n v="1530"/>
    <n v="7650"/>
    <n v="5"/>
    <n v="73"/>
    <x v="0"/>
    <n v="75694570"/>
    <n v="0.99998943132188933"/>
    <x v="2"/>
  </r>
  <r>
    <s v="SP-0296"/>
    <s v="Controller"/>
    <s v="Instrumentation"/>
    <s v="Rolling Mill"/>
    <s v="Critical"/>
    <n v="6"/>
    <n v="10"/>
    <n v="8"/>
    <n v="8"/>
    <n v="100"/>
    <n v="29"/>
    <n v="0"/>
    <n v="162"/>
    <s v="Supplier F"/>
    <n v="0.192"/>
    <n v="153.6"/>
    <n v="800"/>
    <n v="800"/>
    <n v="1"/>
    <n v="365"/>
    <x v="2"/>
    <n v="75695370"/>
    <n v="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6B8583-DB2B-4EA4-9257-45FC1E816614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S16:AT21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Inventory_Value_INR" fld="1" baseField="0" baseItem="0"/>
  </dataField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IL_Project_9_Industrial_Spares_Inventory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C872DA-C6B5-4DAA-9730-3544684127A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S7:AW12" firstHeaderRow="1" firstDataRow="2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axis="axisRow" showAll="0">
      <items count="4">
        <item x="0"/>
        <item x="1"/>
        <item x="2"/>
        <item t="default"/>
      </items>
    </pivotField>
  </pivotFields>
  <rowFields count="1">
    <field x="23"/>
  </rowFields>
  <rowItems count="4">
    <i>
      <x/>
    </i>
    <i>
      <x v="1"/>
    </i>
    <i>
      <x v="2"/>
    </i>
    <i t="grand">
      <x/>
    </i>
  </rowItems>
  <colFields count="1">
    <field x="20"/>
  </colFields>
  <colItems count="4">
    <i>
      <x/>
    </i>
    <i>
      <x v="1"/>
    </i>
    <i>
      <x v="2"/>
    </i>
    <i t="grand">
      <x/>
    </i>
  </colItems>
  <dataFields count="1">
    <dataField name="Sum of Inventory_Value_INR" fld="16" baseField="0" baseItem="0"/>
  </dataFields>
  <formats count="1">
    <format dxfId="25">
      <pivotArea type="origin" dataOnly="0" labelOnly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22A4B4-BD65-4FF7-B3AC-430DA9F7178F}" name="Table1" displayName="Table1" ref="A1:AK501" totalsRowShown="0" headerRowDxfId="24" headerRowBorderDxfId="23" tableBorderDxfId="22">
  <autoFilter ref="A1:AK501" xr:uid="{6322A4B4-BD65-4FF7-B3AC-430DA9F7178F}"/>
  <sortState xmlns:xlrd2="http://schemas.microsoft.com/office/spreadsheetml/2017/richdata2" ref="A2:U501">
    <sortCondition descending="1" ref="Q1:Q501"/>
  </sortState>
  <tableColumns count="37">
    <tableColumn id="1" xr3:uid="{2D35629A-3BAB-43A1-96AC-C6B96F7E793B}" name="Material_ID"/>
    <tableColumn id="2" xr3:uid="{1A73518E-320A-42AC-B0D1-5747433EBCB7}" name="Material_Description"/>
    <tableColumn id="3" xr3:uid="{F8E92FB0-40FD-4478-B874-D141C61783CB}" name="Category"/>
    <tableColumn id="4" xr3:uid="{82A3FAC2-00BA-4564-8C57-2C8C1B19BB42}" name="Department"/>
    <tableColumn id="5" xr3:uid="{6A86E3AB-0627-4E4A-AB5F-E14BC3F06E06}" name="Criticality"/>
    <tableColumn id="6" xr3:uid="{726F083C-3317-44BB-AC26-D0314C93F047}" name="Opening_Stock"/>
    <tableColumn id="7" xr3:uid="{7055CEF8-4F8D-4AB7-AE15-DFCE96AA3DDC}" name="Receipts"/>
    <tableColumn id="8" xr3:uid="{61B66040-E412-4229-9DF1-9F583B80F3DE}" name="Consumption"/>
    <tableColumn id="9" xr3:uid="{5AEF40F5-D775-4922-B716-7983F0CEC05D}" name="Closing_Stock"/>
    <tableColumn id="10" xr3:uid="{D8DE86EA-43A1-441A-BE0D-4A6037F333B7}" name="Unit_Cost_INR"/>
    <tableColumn id="11" xr3:uid="{F5AF78A2-69B2-455C-A0B2-E259E2723211}" name="Lead_Time_Days"/>
    <tableColumn id="12" xr3:uid="{54E1FF07-5D52-470C-9023-CFE5E52E9086}" name="Stockout_Events"/>
    <tableColumn id="13" xr3:uid="{7F91CF4B-A6D0-4188-AD09-EBACC0E55542}" name="Days_Since_Last_Movement"/>
    <tableColumn id="14" xr3:uid="{FAEF6E93-F365-4A3A-9F71-E9E69B0E3522}" name="Supplier"/>
    <tableColumn id="15" xr3:uid="{EF0140EF-506D-4FAC-8753-98CD9EF72528}" name="Annual_Carrying_Cost_Rate"/>
    <tableColumn id="18" xr3:uid="{C0E864C8-AE2C-44EC-B8D2-8B013B400D1E}" name="Estimated_Annual_Carrying_Cost_INR"/>
    <tableColumn id="19" xr3:uid="{009F1AE0-2AC7-4F21-B2EB-088E967D8643}" name="Inventory_Value_INR" dataDxfId="21">
      <calculatedColumnFormula>(Table1[[#This Row],[Closing_Stock]]*Table1[[#This Row],[Unit_Cost_INR]])</calculatedColumnFormula>
    </tableColumn>
    <tableColumn id="20" xr3:uid="{9179757C-EB20-4ABB-8DAB-EF67CD63FBF4}" name="Annual_Consumption_Value_INR" dataDxfId="20">
      <calculatedColumnFormula>(Table1[[#This Row],[Unit_Cost_INR]]*Table1[[#This Row],[Consumption]])</calculatedColumnFormula>
    </tableColumn>
    <tableColumn id="21" xr3:uid="{4FED46AB-5EE6-4154-86C5-311D8ECADF79}" name="Inventory_Turnover" dataDxfId="19">
      <calculatedColumnFormula>IFERROR(Table1[[#This Row],[Annual_Consumption_Value_INR]]/Table1[[#This Row],[Inventory_Value_INR]],0)</calculatedColumnFormula>
    </tableColumn>
    <tableColumn id="22" xr3:uid="{EA2FB466-547C-450A-8397-D0DD873AF1E0}" name="Days_of_Inventory" dataDxfId="18">
      <calculatedColumnFormula>IFERROR(365/Table1[[#This Row],[Inventory_Turnover]],0)</calculatedColumnFormula>
    </tableColumn>
    <tableColumn id="23" xr3:uid="{F475996F-CCEA-4EFC-8272-C2401AC61027}" name="Movement_Class" dataDxfId="17">
      <calculatedColumnFormula>IF(Table1[[#This Row],[Consumption]]=0,"Non-Moving", IF(Table1[[#This Row],[Days_Since_Last_Movement]]&gt;90,"Slow-Moving","Active"))</calculatedColumnFormula>
    </tableColumn>
    <tableColumn id="24" xr3:uid="{EB3F9007-0435-468C-9E89-A25C89254A26}" name="Cumulative_Inventory_Value" dataDxfId="16">
      <calculatedColumnFormula>SUM($Q$2:Q2)</calculatedColumnFormula>
    </tableColumn>
    <tableColumn id="25" xr3:uid="{30D7C460-B414-4A67-A393-11D922196AB6}" name="Cumulative_Value_%" dataDxfId="15">
      <calculatedColumnFormula>Table1[[#This Row],[Cumulative_Inventory_Value]]/$AP$3</calculatedColumnFormula>
    </tableColumn>
    <tableColumn id="16" xr3:uid="{773FF58D-FE7B-4017-B6B5-F4A289D28964}" name="ABC_Class" dataDxfId="14">
      <calculatedColumnFormula>IF(Table1[[#This Row],[Cumulative_Value_%]]&lt;80%,"A", IF(Table1[[#This Row],[Cumulative_Value_%]]&lt;=95%,"B","C"))</calculatedColumnFormula>
    </tableColumn>
    <tableColumn id="17" xr3:uid="{0CCC1FB7-C688-485A-8AF3-8ABE1809E9EB}" name="Priority" dataDxfId="13">
      <calculatedColumnFormula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calculatedColumnFormula>
    </tableColumn>
    <tableColumn id="26" xr3:uid="{3A89736F-2809-49AC-9602-C2017FB918F8}" name="Avg_Daily_Consumption" dataDxfId="12">
      <calculatedColumnFormula>Table1[[#This Row],[Consumption]]/365</calculatedColumnFormula>
    </tableColumn>
    <tableColumn id="27" xr3:uid="{7F414F56-486B-4743-9EDB-89440BC58156}" name="Reorder_Point" dataDxfId="11">
      <calculatedColumnFormula>Table1[[#This Row],[Avg_Daily_Consumption]]*Table1[[#This Row],[Lead_Time_Days]]+Table1[[#This Row],[Safety_Stock]]</calculatedColumnFormula>
    </tableColumn>
    <tableColumn id="28" xr3:uid="{114B0B82-F164-48DF-A109-7319FCC95365}" name="Stock_Cover_Days" dataDxfId="10">
      <calculatedColumnFormula>IFERROR(Table1[[#This Row],[Closing_Stock]]/Table1[[#This Row],[Avg_Daily_Consumption]],9999)</calculatedColumnFormula>
    </tableColumn>
    <tableColumn id="30" xr3:uid="{1C2D1500-D5E7-45E3-83CA-FA9B01623C9F}" name="Safety_Stock" dataDxfId="9">
      <calculatedColumnFormula>MAX(1,ROUNDUP(Table1[[#This Row],[Avg_Daily_Consumption]]*Table1[[#This Row],[Lead_Time_Days]]*0.8,0))</calculatedColumnFormula>
    </tableColumn>
    <tableColumn id="29" xr3:uid="{E4298D79-FC00-4567-96E5-97E156098522}" name="Stock_Risk" dataDxfId="8">
      <calculatedColumnFormula>IF(Table1[[#This Row],[Closing_Stock]]&lt;Table1[[#This Row],[Reorder_Point]],"Stock-out Risk","Adequate")</calculatedColumnFormula>
    </tableColumn>
    <tableColumn id="31" xr3:uid="{E5F0F545-4D0B-4B47-A056-5417DD3849CC}" name="Risk_Priority" dataDxfId="7">
      <calculatedColumnFormula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calculatedColumnFormula>
    </tableColumn>
    <tableColumn id="32" xr3:uid="{E116B787-05CD-4EFC-8606-FAD557F24A80}" name="Action_Recommendation" dataDxfId="6">
      <calculatedColumnFormula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calculatedColumnFormula>
    </tableColumn>
    <tableColumn id="33" xr3:uid="{1462DF13-C413-4C3A-837B-7F7017D204E4}" name="Potential_Release_INR" dataDxfId="5">
      <calculatedColumnFormula>IF(Table1[[#This Row],[Action_Recommendation]]="Review for Disposal/De-procurement",Table1[[#This Row],[Inventory_Value_INR]]*70%,IF(Table1[[#This Row],[Action_Recommendation]]="Review Safety Stock",Table1[[#This Row],[Inventory_Value_INR]]*20%,0))</calculatedColumnFormula>
    </tableColumn>
    <tableColumn id="34" xr3:uid="{CD625420-6596-4A01-B57B-3DA18FCE3B48}" name="Excess_Stock_Units" dataDxfId="3">
      <calculatedColumnFormula>MAX(0,Table1[[#This Row],[Closing_Stock]]-Table1[[#This Row],[Reorder_Point]])</calculatedColumnFormula>
    </tableColumn>
    <tableColumn id="35" xr3:uid="{308DDD62-245F-4086-AE31-5F09AB66F387}" name="Excess_Inventory_Value_INR" dataDxfId="2">
      <calculatedColumnFormula>Table1[[#This Row],[Excess_Stock_Units]]*Table1[[#This Row],[Unit_Cost_INR]]</calculatedColumnFormula>
    </tableColumn>
    <tableColumn id="36" xr3:uid="{3D5A868D-A598-430A-8BB3-09E30E690CB1}" name="Reviewable_Excess_Value_INR" dataDxfId="1">
      <calculatedColumnFormula>IF(Table1[[#This Row],[Criticality]]="Critical",0,Table1[[#This Row],[Excess_Inventory_Value_INR]])</calculatedColumnFormula>
    </tableColumn>
    <tableColumn id="37" xr3:uid="{E3898422-0C7D-43C7-BB08-77E018874AB6}" name="Actionable_Excess_Value_INR" dataDxfId="0">
      <calculatedColumnFormula>IF(AND(Table1[[#This Row],[Criticality]]&lt;&gt;"Critical",OR(Table1[[#This Row],[Movement_Class]]="Slow-Moving",Table1[[#This Row],[Movement_Class]]="Non-Moving")),Table1[[#This Row],[Excess_Inventory_Value_INR]],0)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1"/>
  <sheetViews>
    <sheetView tabSelected="1" topLeftCell="AJ1" zoomScale="81" zoomScaleNormal="130" workbookViewId="0">
      <pane ySplit="1" topLeftCell="A2" activePane="bottomLeft" state="frozen"/>
      <selection activeCell="E1" sqref="E1"/>
      <selection pane="bottomLeft" activeCell="AP14" sqref="AP14"/>
    </sheetView>
  </sheetViews>
  <sheetFormatPr defaultRowHeight="15" x14ac:dyDescent="0.25"/>
  <cols>
    <col min="1" max="1" width="13.5703125" customWidth="1"/>
    <col min="2" max="2" width="21.85546875" customWidth="1"/>
    <col min="3" max="3" width="15.5703125" bestFit="1" customWidth="1"/>
    <col min="4" max="4" width="18" bestFit="1" customWidth="1"/>
    <col min="5" max="5" width="11.5703125" customWidth="1"/>
    <col min="6" max="6" width="16.42578125" customWidth="1"/>
    <col min="7" max="7" width="10.7109375" customWidth="1"/>
    <col min="8" max="8" width="15" customWidth="1"/>
    <col min="9" max="9" width="15.28515625" customWidth="1"/>
    <col min="10" max="10" width="16" customWidth="1"/>
    <col min="11" max="11" width="17.85546875" customWidth="1"/>
    <col min="12" max="13" width="17.7109375" customWidth="1"/>
    <col min="14" max="14" width="10.5703125" customWidth="1"/>
    <col min="15" max="15" width="17.42578125" customWidth="1"/>
    <col min="16" max="16" width="26.140625" customWidth="1"/>
    <col min="17" max="17" width="25.7109375" bestFit="1" customWidth="1"/>
    <col min="18" max="18" width="27.28515625" customWidth="1"/>
    <col min="19" max="19" width="24.85546875" bestFit="1" customWidth="1"/>
    <col min="20" max="20" width="23.85546875" bestFit="1" customWidth="1"/>
    <col min="21" max="21" width="18.85546875" customWidth="1"/>
    <col min="22" max="22" width="21.85546875" customWidth="1"/>
    <col min="23" max="23" width="14.7109375" customWidth="1"/>
    <col min="24" max="24" width="9.140625" customWidth="1"/>
    <col min="25" max="25" width="14.7109375" customWidth="1"/>
    <col min="26" max="26" width="14.28515625" customWidth="1"/>
    <col min="27" max="27" width="9.5703125" customWidth="1"/>
    <col min="28" max="28" width="14" customWidth="1"/>
    <col min="29" max="29" width="7.85546875" customWidth="1"/>
    <col min="30" max="30" width="11.7109375" customWidth="1"/>
    <col min="31" max="31" width="12" bestFit="1" customWidth="1"/>
    <col min="32" max="32" width="37" customWidth="1"/>
    <col min="33" max="33" width="14.42578125" customWidth="1"/>
    <col min="34" max="34" width="14.28515625" customWidth="1"/>
    <col min="35" max="35" width="15.28515625" customWidth="1"/>
    <col min="36" max="36" width="17.140625" customWidth="1"/>
    <col min="37" max="37" width="23.28515625" bestFit="1" customWidth="1"/>
    <col min="38" max="38" width="37.85546875" bestFit="1" customWidth="1"/>
    <col min="39" max="39" width="27" bestFit="1" customWidth="1"/>
    <col min="40" max="40" width="11.85546875" bestFit="1" customWidth="1"/>
    <col min="41" max="41" width="21.140625" bestFit="1" customWidth="1"/>
    <col min="42" max="42" width="22" bestFit="1" customWidth="1"/>
    <col min="43" max="43" width="24.28515625" bestFit="1" customWidth="1"/>
    <col min="44" max="44" width="20" customWidth="1"/>
    <col min="45" max="45" width="37.85546875" bestFit="1" customWidth="1"/>
    <col min="46" max="46" width="27" bestFit="1" customWidth="1"/>
    <col min="47" max="47" width="11.85546875" bestFit="1" customWidth="1"/>
    <col min="48" max="48" width="21.140625" bestFit="1" customWidth="1"/>
    <col min="49" max="49" width="11.42578125" bestFit="1" customWidth="1"/>
    <col min="50" max="50" width="28.7109375" bestFit="1" customWidth="1"/>
  </cols>
  <sheetData>
    <row r="1" spans="1:50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5" t="s">
        <v>12</v>
      </c>
      <c r="N1" s="2" t="s">
        <v>13</v>
      </c>
      <c r="O1" s="5" t="s">
        <v>14</v>
      </c>
      <c r="P1" s="5" t="s">
        <v>17</v>
      </c>
      <c r="Q1" s="3" t="s">
        <v>15</v>
      </c>
      <c r="R1" s="5" t="s">
        <v>16</v>
      </c>
      <c r="S1" s="2" t="s">
        <v>591</v>
      </c>
      <c r="T1" s="3" t="s">
        <v>592</v>
      </c>
      <c r="U1" s="3" t="s">
        <v>593</v>
      </c>
      <c r="V1" s="4" t="s">
        <v>595</v>
      </c>
      <c r="W1" s="4" t="s">
        <v>596</v>
      </c>
      <c r="X1" s="4" t="s">
        <v>597</v>
      </c>
      <c r="Y1" s="2" t="s">
        <v>608</v>
      </c>
      <c r="Z1" s="4" t="s">
        <v>609</v>
      </c>
      <c r="AA1" s="4" t="s">
        <v>610</v>
      </c>
      <c r="AB1" s="4" t="s">
        <v>611</v>
      </c>
      <c r="AC1" s="5" t="s">
        <v>613</v>
      </c>
      <c r="AD1" s="2" t="s">
        <v>612</v>
      </c>
      <c r="AE1" s="2" t="s">
        <v>614</v>
      </c>
      <c r="AF1" s="4" t="s">
        <v>615</v>
      </c>
      <c r="AG1" s="4" t="s">
        <v>624</v>
      </c>
      <c r="AH1" s="4" t="s">
        <v>627</v>
      </c>
      <c r="AI1" s="4" t="s">
        <v>628</v>
      </c>
      <c r="AJ1" s="4" t="s">
        <v>629</v>
      </c>
      <c r="AK1" s="2" t="s">
        <v>631</v>
      </c>
    </row>
    <row r="2" spans="1:50" ht="30" x14ac:dyDescent="0.25">
      <c r="A2" t="s">
        <v>298</v>
      </c>
      <c r="B2" t="s">
        <v>104</v>
      </c>
      <c r="C2" t="s">
        <v>41</v>
      </c>
      <c r="D2" t="s">
        <v>27</v>
      </c>
      <c r="E2" t="s">
        <v>28</v>
      </c>
      <c r="F2">
        <v>463</v>
      </c>
      <c r="G2">
        <v>808</v>
      </c>
      <c r="H2">
        <v>600</v>
      </c>
      <c r="I2">
        <v>896</v>
      </c>
      <c r="J2">
        <v>3240</v>
      </c>
      <c r="K2">
        <v>28</v>
      </c>
      <c r="L2">
        <v>0</v>
      </c>
      <c r="M2">
        <v>52</v>
      </c>
      <c r="N2" t="s">
        <v>49</v>
      </c>
      <c r="O2">
        <v>0.27300000000000002</v>
      </c>
      <c r="P2">
        <v>792529.92000000004</v>
      </c>
      <c r="Q2">
        <f>(Table1[[#This Row],[Closing_Stock]]*Table1[[#This Row],[Unit_Cost_INR]])</f>
        <v>2903040</v>
      </c>
      <c r="R2">
        <f>(Table1[[#This Row],[Unit_Cost_INR]]*Table1[[#This Row],[Consumption]])</f>
        <v>1944000</v>
      </c>
      <c r="S2">
        <f>IFERROR(Table1[[#This Row],[Annual_Consumption_Value_INR]]/Table1[[#This Row],[Inventory_Value_INR]],0)</f>
        <v>0.6696428571428571</v>
      </c>
      <c r="T2">
        <f>IFERROR(365/Table1[[#This Row],[Inventory_Turnover]],0)</f>
        <v>545.06666666666672</v>
      </c>
      <c r="U2" t="str">
        <f>IF(Table1[[#This Row],[Consumption]]=0,"Non-Moving", IF(Table1[[#This Row],[Days_Since_Last_Movement]]&gt;90,"Slow-Moving","Active"))</f>
        <v>Active</v>
      </c>
      <c r="V2">
        <f>SUM($Q$2:Q2)</f>
        <v>2903040</v>
      </c>
      <c r="W2">
        <f>Table1[[#This Row],[Cumulative_Inventory_Value]]/$AP$3</f>
        <v>3.8351619128091985E-2</v>
      </c>
      <c r="X2" t="str">
        <f>IF(Table1[[#This Row],[Cumulative_Value_%]]&lt;80%,"A", IF(Table1[[#This Row],[Cumulative_Value_%]]&lt;=95%,"B","C"))</f>
        <v>A</v>
      </c>
      <c r="Y2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2">
        <f>Table1[[#This Row],[Consumption]]/365</f>
        <v>1.6438356164383561</v>
      </c>
      <c r="AA2">
        <f>Table1[[#This Row],[Avg_Daily_Consumption]]*Table1[[#This Row],[Lead_Time_Days]]+Table1[[#This Row],[Safety_Stock]]</f>
        <v>83.027397260273972</v>
      </c>
      <c r="AB2">
        <f>IFERROR(Table1[[#This Row],[Closing_Stock]]/Table1[[#This Row],[Avg_Daily_Consumption]],9999)</f>
        <v>545.06666666666672</v>
      </c>
      <c r="AC2">
        <f>MAX(1,ROUNDUP(Table1[[#This Row],[Avg_Daily_Consumption]]*Table1[[#This Row],[Lead_Time_Days]]*0.8,0))</f>
        <v>37</v>
      </c>
      <c r="AD2" t="str">
        <f>IF(Table1[[#This Row],[Closing_Stock]]&lt;Table1[[#This Row],[Reorder_Point]],"Stock-out Risk","Adequate")</f>
        <v>Adequate</v>
      </c>
      <c r="AE2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2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2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2" s="11">
        <f>MAX(0,Table1[[#This Row],[Closing_Stock]]-Table1[[#This Row],[Reorder_Point]])</f>
        <v>812.97260273972597</v>
      </c>
      <c r="AI2" s="11">
        <f>Table1[[#This Row],[Excess_Stock_Units]]*Table1[[#This Row],[Unit_Cost_INR]]</f>
        <v>2634031.232876712</v>
      </c>
      <c r="AJ2" s="11">
        <f>IF(Table1[[#This Row],[Criticality]]="Critical",0,Table1[[#This Row],[Excess_Inventory_Value_INR]])</f>
        <v>2634031.232876712</v>
      </c>
      <c r="AK2" s="11">
        <f>IF(AND(Table1[[#This Row],[Criticality]]&lt;&gt;"Critical",OR(Table1[[#This Row],[Movement_Class]]="Slow-Moving",Table1[[#This Row],[Movement_Class]]="Non-Moving")),Table1[[#This Row],[Excess_Inventory_Value_INR]],0)</f>
        <v>0</v>
      </c>
      <c r="AP2" t="s">
        <v>594</v>
      </c>
      <c r="AR2" s="8" t="s">
        <v>617</v>
      </c>
      <c r="AT2" t="s">
        <v>616</v>
      </c>
      <c r="AV2" t="s">
        <v>618</v>
      </c>
      <c r="AX2" t="s">
        <v>619</v>
      </c>
    </row>
    <row r="3" spans="1:50" x14ac:dyDescent="0.25">
      <c r="A3" t="s">
        <v>392</v>
      </c>
      <c r="B3" t="s">
        <v>85</v>
      </c>
      <c r="C3" t="s">
        <v>41</v>
      </c>
      <c r="D3" t="s">
        <v>66</v>
      </c>
      <c r="E3" t="s">
        <v>28</v>
      </c>
      <c r="F3">
        <v>37</v>
      </c>
      <c r="G3">
        <v>51</v>
      </c>
      <c r="H3">
        <v>40</v>
      </c>
      <c r="I3">
        <v>52</v>
      </c>
      <c r="J3">
        <v>44050</v>
      </c>
      <c r="K3">
        <v>19</v>
      </c>
      <c r="L3">
        <v>1</v>
      </c>
      <c r="M3">
        <v>9</v>
      </c>
      <c r="N3" t="s">
        <v>58</v>
      </c>
      <c r="O3">
        <v>0.19</v>
      </c>
      <c r="P3">
        <v>435214</v>
      </c>
      <c r="Q3">
        <f>(Table1[[#This Row],[Closing_Stock]]*Table1[[#This Row],[Unit_Cost_INR]])</f>
        <v>2290600</v>
      </c>
      <c r="R3">
        <f>(Table1[[#This Row],[Unit_Cost_INR]]*Table1[[#This Row],[Consumption]])</f>
        <v>1762000</v>
      </c>
      <c r="S3">
        <f>IFERROR(Table1[[#This Row],[Annual_Consumption_Value_INR]]/Table1[[#This Row],[Inventory_Value_INR]],0)</f>
        <v>0.76923076923076927</v>
      </c>
      <c r="T3">
        <f>IFERROR(365/Table1[[#This Row],[Inventory_Turnover]],0)</f>
        <v>474.5</v>
      </c>
      <c r="U3" t="str">
        <f>IF(Table1[[#This Row],[Consumption]]=0,"Non-Moving", IF(Table1[[#This Row],[Days_Since_Last_Movement]]&gt;90,"Slow-Moving","Active"))</f>
        <v>Active</v>
      </c>
      <c r="V3">
        <f>SUM($Q$2:Q3)</f>
        <v>5193640</v>
      </c>
      <c r="W3">
        <f>Table1[[#This Row],[Cumulative_Inventory_Value]]/$AP$3</f>
        <v>6.8612386728540989E-2</v>
      </c>
      <c r="X3" t="str">
        <f>IF(Table1[[#This Row],[Cumulative_Value_%]]&lt;80%,"A", IF(Table1[[#This Row],[Cumulative_Value_%]]&lt;=95%,"B","C"))</f>
        <v>A</v>
      </c>
      <c r="Y3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3">
        <f>Table1[[#This Row],[Consumption]]/365</f>
        <v>0.1095890410958904</v>
      </c>
      <c r="AA3">
        <f>Table1[[#This Row],[Avg_Daily_Consumption]]*Table1[[#This Row],[Lead_Time_Days]]+Table1[[#This Row],[Safety_Stock]]</f>
        <v>4.0821917808219172</v>
      </c>
      <c r="AB3">
        <f>IFERROR(Table1[[#This Row],[Closing_Stock]]/Table1[[#This Row],[Avg_Daily_Consumption]],9999)</f>
        <v>474.5</v>
      </c>
      <c r="AC3">
        <f>MAX(1,ROUNDUP(Table1[[#This Row],[Avg_Daily_Consumption]]*Table1[[#This Row],[Lead_Time_Days]]*0.8,0))</f>
        <v>2</v>
      </c>
      <c r="AD3" t="str">
        <f>IF(Table1[[#This Row],[Closing_Stock]]&lt;Table1[[#This Row],[Reorder_Point]],"Stock-out Risk","Adequate")</f>
        <v>Adequate</v>
      </c>
      <c r="AE3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3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3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3" s="11">
        <f>MAX(0,Table1[[#This Row],[Closing_Stock]]-Table1[[#This Row],[Reorder_Point]])</f>
        <v>47.917808219178085</v>
      </c>
      <c r="AI3" s="11">
        <f>Table1[[#This Row],[Excess_Stock_Units]]*Table1[[#This Row],[Unit_Cost_INR]]</f>
        <v>2110779.4520547944</v>
      </c>
      <c r="AJ3" s="11">
        <f>IF(Table1[[#This Row],[Criticality]]="Critical",0,Table1[[#This Row],[Excess_Inventory_Value_INR]])</f>
        <v>2110779.4520547944</v>
      </c>
      <c r="AK3" s="11">
        <f>IF(AND(Table1[[#This Row],[Criticality]]&lt;&gt;"Critical",OR(Table1[[#This Row],[Movement_Class]]="Slow-Moving",Table1[[#This Row],[Movement_Class]]="Non-Moving")),Table1[[#This Row],[Excess_Inventory_Value_INR]],0)</f>
        <v>0</v>
      </c>
      <c r="AP3">
        <f>SUM(Table1[Inventory_Value_INR])</f>
        <v>75695370</v>
      </c>
      <c r="AQ3" s="8"/>
      <c r="AR3">
        <f>(SUMIFS(Q:Q,U:U, "Slow-Moving")+SUMIFS(Q:Q,U:U, "Non Moving"))</f>
        <v>28524120</v>
      </c>
      <c r="AT3">
        <f>SUMIFS(Q:Q,U:U,"Non-Moving")</f>
        <v>9388240</v>
      </c>
      <c r="AV3">
        <f>SUMIFS(Q:Q,AD:AD,"Stock-out Risk")</f>
        <v>59610</v>
      </c>
      <c r="AX3">
        <f>SUMIFS(Q:Q,AE:AE,"URGENT")</f>
        <v>0</v>
      </c>
    </row>
    <row r="4" spans="1:50" x14ac:dyDescent="0.25">
      <c r="A4" t="s">
        <v>472</v>
      </c>
      <c r="B4" t="s">
        <v>31</v>
      </c>
      <c r="C4" t="s">
        <v>32</v>
      </c>
      <c r="D4" t="s">
        <v>42</v>
      </c>
      <c r="E4" t="s">
        <v>22</v>
      </c>
      <c r="F4">
        <v>95</v>
      </c>
      <c r="G4">
        <v>159</v>
      </c>
      <c r="H4">
        <v>0</v>
      </c>
      <c r="I4">
        <v>157</v>
      </c>
      <c r="J4">
        <v>12570</v>
      </c>
      <c r="K4">
        <v>17</v>
      </c>
      <c r="L4">
        <v>0</v>
      </c>
      <c r="M4">
        <v>624</v>
      </c>
      <c r="N4" t="s">
        <v>29</v>
      </c>
      <c r="O4">
        <v>0.3</v>
      </c>
      <c r="P4">
        <v>592047</v>
      </c>
      <c r="Q4">
        <f>(Table1[[#This Row],[Closing_Stock]]*Table1[[#This Row],[Unit_Cost_INR]])</f>
        <v>1973490</v>
      </c>
      <c r="R4">
        <f>(Table1[[#This Row],[Unit_Cost_INR]]*Table1[[#This Row],[Consumption]])</f>
        <v>0</v>
      </c>
      <c r="S4">
        <f>IFERROR(Table1[[#This Row],[Annual_Consumption_Value_INR]]/Table1[[#This Row],[Inventory_Value_INR]],0)</f>
        <v>0</v>
      </c>
      <c r="T4">
        <f>IFERROR(365/Table1[[#This Row],[Inventory_Turnover]],0)</f>
        <v>0</v>
      </c>
      <c r="U4" t="str">
        <f>IF(Table1[[#This Row],[Consumption]]=0,"Non-Moving", IF(Table1[[#This Row],[Days_Since_Last_Movement]]&gt;90,"Slow-Moving","Active"))</f>
        <v>Non-Moving</v>
      </c>
      <c r="V4">
        <f>SUM($Q$2:Q4)</f>
        <v>7167130</v>
      </c>
      <c r="W4">
        <f>Table1[[#This Row],[Cumulative_Inventory_Value]]/$AP$3</f>
        <v>9.4683862434386673E-2</v>
      </c>
      <c r="X4" t="str">
        <f>IF(Table1[[#This Row],[Cumulative_Value_%]]&lt;80%,"A", IF(Table1[[#This Row],[Cumulative_Value_%]]&lt;=95%,"B","C"))</f>
        <v>A</v>
      </c>
      <c r="Y4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Critical Review</v>
      </c>
      <c r="Z4">
        <f>Table1[[#This Row],[Consumption]]/365</f>
        <v>0</v>
      </c>
      <c r="AA4">
        <f>Table1[[#This Row],[Avg_Daily_Consumption]]*Table1[[#This Row],[Lead_Time_Days]]+Table1[[#This Row],[Safety_Stock]]</f>
        <v>1</v>
      </c>
      <c r="AB4">
        <f>IFERROR(Table1[[#This Row],[Closing_Stock]]/Table1[[#This Row],[Avg_Daily_Consumption]],9999)</f>
        <v>9999</v>
      </c>
      <c r="AC4">
        <f>MAX(1,ROUNDUP(Table1[[#This Row],[Avg_Daily_Consumption]]*Table1[[#This Row],[Lead_Time_Days]]*0.8,0))</f>
        <v>1</v>
      </c>
      <c r="AD4" t="str">
        <f>IF(Table1[[#This Row],[Closing_Stock]]&lt;Table1[[#This Row],[Reorder_Point]],"Stock-out Risk","Adequate")</f>
        <v>Adequate</v>
      </c>
      <c r="AE4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4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 for Disposal/De-procurement</v>
      </c>
      <c r="AG4">
        <f>IF(Table1[[#This Row],[Action_Recommendation]]="Review for Disposal/De-procurement",Table1[[#This Row],[Inventory_Value_INR]]*70%,IF(Table1[[#This Row],[Action_Recommendation]]="Review Safety Stock",Table1[[#This Row],[Inventory_Value_INR]]*20%,0))</f>
        <v>1381443</v>
      </c>
      <c r="AH4" s="11">
        <f>MAX(0,Table1[[#This Row],[Closing_Stock]]-Table1[[#This Row],[Reorder_Point]])</f>
        <v>156</v>
      </c>
      <c r="AI4" s="11">
        <f>Table1[[#This Row],[Excess_Stock_Units]]*Table1[[#This Row],[Unit_Cost_INR]]</f>
        <v>1960920</v>
      </c>
      <c r="AJ4" s="11">
        <f>IF(Table1[[#This Row],[Criticality]]="Critical",0,Table1[[#This Row],[Excess_Inventory_Value_INR]])</f>
        <v>1960920</v>
      </c>
      <c r="AK4" s="11">
        <f>IF(AND(Table1[[#This Row],[Criticality]]&lt;&gt;"Critical",OR(Table1[[#This Row],[Movement_Class]]="Slow-Moving",Table1[[#This Row],[Movement_Class]]="Non-Moving")),Table1[[#This Row],[Excess_Inventory_Value_INR]],0)</f>
        <v>1960920</v>
      </c>
    </row>
    <row r="5" spans="1:50" x14ac:dyDescent="0.25">
      <c r="A5" t="s">
        <v>326</v>
      </c>
      <c r="B5" t="s">
        <v>19</v>
      </c>
      <c r="C5" t="s">
        <v>20</v>
      </c>
      <c r="D5" t="s">
        <v>21</v>
      </c>
      <c r="E5" t="s">
        <v>46</v>
      </c>
      <c r="F5">
        <v>287</v>
      </c>
      <c r="G5">
        <v>245</v>
      </c>
      <c r="H5">
        <v>239</v>
      </c>
      <c r="I5">
        <v>293</v>
      </c>
      <c r="J5">
        <v>6170</v>
      </c>
      <c r="K5">
        <v>27</v>
      </c>
      <c r="L5">
        <v>1</v>
      </c>
      <c r="M5">
        <v>241</v>
      </c>
      <c r="N5" t="s">
        <v>23</v>
      </c>
      <c r="O5">
        <v>0.16700000000000001</v>
      </c>
      <c r="P5">
        <v>301904.27</v>
      </c>
      <c r="Q5">
        <f>(Table1[[#This Row],[Closing_Stock]]*Table1[[#This Row],[Unit_Cost_INR]])</f>
        <v>1807810</v>
      </c>
      <c r="R5">
        <f>(Table1[[#This Row],[Unit_Cost_INR]]*Table1[[#This Row],[Consumption]])</f>
        <v>1474630</v>
      </c>
      <c r="S5">
        <f>IFERROR(Table1[[#This Row],[Annual_Consumption_Value_INR]]/Table1[[#This Row],[Inventory_Value_INR]],0)</f>
        <v>0.81569965870307171</v>
      </c>
      <c r="T5">
        <f>IFERROR(365/Table1[[#This Row],[Inventory_Turnover]],0)</f>
        <v>447.46861924686192</v>
      </c>
      <c r="U5" t="str">
        <f>IF(Table1[[#This Row],[Consumption]]=0,"Non-Moving", IF(Table1[[#This Row],[Days_Since_Last_Movement]]&gt;90,"Slow-Moving","Active"))</f>
        <v>Slow-Moving</v>
      </c>
      <c r="V5">
        <f>SUM($Q$2:Q5)</f>
        <v>8974940</v>
      </c>
      <c r="W5">
        <f>Table1[[#This Row],[Cumulative_Inventory_Value]]/$AP$3</f>
        <v>0.11856656490350731</v>
      </c>
      <c r="X5" t="str">
        <f>IF(Table1[[#This Row],[Cumulative_Value_%]]&lt;80%,"A", IF(Table1[[#This Row],[Cumulative_Value_%]]&lt;=95%,"B","C"))</f>
        <v>A</v>
      </c>
      <c r="Y5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High Review</v>
      </c>
      <c r="Z5">
        <f>Table1[[#This Row],[Consumption]]/365</f>
        <v>0.65479452054794518</v>
      </c>
      <c r="AA5">
        <f>Table1[[#This Row],[Avg_Daily_Consumption]]*Table1[[#This Row],[Lead_Time_Days]]+Table1[[#This Row],[Safety_Stock]]</f>
        <v>32.679452054794524</v>
      </c>
      <c r="AB5">
        <f>IFERROR(Table1[[#This Row],[Closing_Stock]]/Table1[[#This Row],[Avg_Daily_Consumption]],9999)</f>
        <v>447.46861924686192</v>
      </c>
      <c r="AC5">
        <f>MAX(1,ROUNDUP(Table1[[#This Row],[Avg_Daily_Consumption]]*Table1[[#This Row],[Lead_Time_Days]]*0.8,0))</f>
        <v>15</v>
      </c>
      <c r="AD5" t="str">
        <f>IF(Table1[[#This Row],[Closing_Stock]]&lt;Table1[[#This Row],[Reorder_Point]],"Stock-out Risk","Adequate")</f>
        <v>Adequate</v>
      </c>
      <c r="AE5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5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 Safety Stock</v>
      </c>
      <c r="AG5">
        <f>IF(Table1[[#This Row],[Action_Recommendation]]="Review for Disposal/De-procurement",Table1[[#This Row],[Inventory_Value_INR]]*70%,IF(Table1[[#This Row],[Action_Recommendation]]="Review Safety Stock",Table1[[#This Row],[Inventory_Value_INR]]*20%,0))</f>
        <v>361562</v>
      </c>
      <c r="AH5" s="11">
        <f>MAX(0,Table1[[#This Row],[Closing_Stock]]-Table1[[#This Row],[Reorder_Point]])</f>
        <v>260.32054794520548</v>
      </c>
      <c r="AI5" s="11">
        <f>Table1[[#This Row],[Excess_Stock_Units]]*Table1[[#This Row],[Unit_Cost_INR]]</f>
        <v>1606177.7808219178</v>
      </c>
      <c r="AJ5" s="11">
        <f>IF(Table1[[#This Row],[Criticality]]="Critical",0,Table1[[#This Row],[Excess_Inventory_Value_INR]])</f>
        <v>1606177.7808219178</v>
      </c>
      <c r="AK5" s="11">
        <f>IF(AND(Table1[[#This Row],[Criticality]]&lt;&gt;"Critical",OR(Table1[[#This Row],[Movement_Class]]="Slow-Moving",Table1[[#This Row],[Movement_Class]]="Non-Moving")),Table1[[#This Row],[Excess_Inventory_Value_INR]],0)</f>
        <v>1606177.7808219178</v>
      </c>
    </row>
    <row r="6" spans="1:50" ht="30" x14ac:dyDescent="0.25">
      <c r="A6" t="s">
        <v>426</v>
      </c>
      <c r="B6" t="s">
        <v>44</v>
      </c>
      <c r="C6" t="s">
        <v>41</v>
      </c>
      <c r="D6" t="s">
        <v>21</v>
      </c>
      <c r="E6" t="s">
        <v>28</v>
      </c>
      <c r="F6">
        <v>36</v>
      </c>
      <c r="G6">
        <v>96</v>
      </c>
      <c r="H6">
        <v>63</v>
      </c>
      <c r="I6">
        <v>69</v>
      </c>
      <c r="J6">
        <v>24090</v>
      </c>
      <c r="K6">
        <v>5</v>
      </c>
      <c r="L6">
        <v>0</v>
      </c>
      <c r="M6">
        <v>22</v>
      </c>
      <c r="N6" t="s">
        <v>58</v>
      </c>
      <c r="O6">
        <v>0.17399999999999999</v>
      </c>
      <c r="P6">
        <v>289224.53999999998</v>
      </c>
      <c r="Q6">
        <f>(Table1[[#This Row],[Closing_Stock]]*Table1[[#This Row],[Unit_Cost_INR]])</f>
        <v>1662210</v>
      </c>
      <c r="R6">
        <f>(Table1[[#This Row],[Unit_Cost_INR]]*Table1[[#This Row],[Consumption]])</f>
        <v>1517670</v>
      </c>
      <c r="S6">
        <f>IFERROR(Table1[[#This Row],[Annual_Consumption_Value_INR]]/Table1[[#This Row],[Inventory_Value_INR]],0)</f>
        <v>0.91304347826086951</v>
      </c>
      <c r="T6">
        <f>IFERROR(365/Table1[[#This Row],[Inventory_Turnover]],0)</f>
        <v>399.76190476190476</v>
      </c>
      <c r="U6" t="str">
        <f>IF(Table1[[#This Row],[Consumption]]=0,"Non-Moving", IF(Table1[[#This Row],[Days_Since_Last_Movement]]&gt;90,"Slow-Moving","Active"))</f>
        <v>Active</v>
      </c>
      <c r="V6">
        <f>SUM($Q$2:Q6)</f>
        <v>10637150</v>
      </c>
      <c r="W6">
        <f>Table1[[#This Row],[Cumulative_Inventory_Value]]/$AP$3</f>
        <v>0.14052576795648136</v>
      </c>
      <c r="X6" t="str">
        <f>IF(Table1[[#This Row],[Cumulative_Value_%]]&lt;80%,"A", IF(Table1[[#This Row],[Cumulative_Value_%]]&lt;=95%,"B","C"))</f>
        <v>A</v>
      </c>
      <c r="Y6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6">
        <f>Table1[[#This Row],[Consumption]]/365</f>
        <v>0.17260273972602741</v>
      </c>
      <c r="AA6">
        <f>Table1[[#This Row],[Avg_Daily_Consumption]]*Table1[[#This Row],[Lead_Time_Days]]+Table1[[#This Row],[Safety_Stock]]</f>
        <v>1.8630136986301371</v>
      </c>
      <c r="AB6">
        <f>IFERROR(Table1[[#This Row],[Closing_Stock]]/Table1[[#This Row],[Avg_Daily_Consumption]],9999)</f>
        <v>399.76190476190476</v>
      </c>
      <c r="AC6">
        <f>MAX(1,ROUNDUP(Table1[[#This Row],[Avg_Daily_Consumption]]*Table1[[#This Row],[Lead_Time_Days]]*0.8,0))</f>
        <v>1</v>
      </c>
      <c r="AD6" t="str">
        <f>IF(Table1[[#This Row],[Closing_Stock]]&lt;Table1[[#This Row],[Reorder_Point]],"Stock-out Risk","Adequate")</f>
        <v>Adequate</v>
      </c>
      <c r="AE6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6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6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6" s="11">
        <f>MAX(0,Table1[[#This Row],[Closing_Stock]]-Table1[[#This Row],[Reorder_Point]])</f>
        <v>67.136986301369859</v>
      </c>
      <c r="AI6" s="11">
        <f>Table1[[#This Row],[Excess_Stock_Units]]*Table1[[#This Row],[Unit_Cost_INR]]</f>
        <v>1617330</v>
      </c>
      <c r="AJ6" s="11">
        <f>IF(Table1[[#This Row],[Criticality]]="Critical",0,Table1[[#This Row],[Excess_Inventory_Value_INR]])</f>
        <v>1617330</v>
      </c>
      <c r="AK6" s="11">
        <f>IF(AND(Table1[[#This Row],[Criticality]]&lt;&gt;"Critical",OR(Table1[[#This Row],[Movement_Class]]="Slow-Moving",Table1[[#This Row],[Movement_Class]]="Non-Moving")),Table1[[#This Row],[Excess_Inventory_Value_INR]],0)</f>
        <v>0</v>
      </c>
      <c r="AP6" s="8" t="s">
        <v>625</v>
      </c>
      <c r="AQ6" s="8" t="s">
        <v>626</v>
      </c>
    </row>
    <row r="7" spans="1:50" x14ac:dyDescent="0.25">
      <c r="A7" t="s">
        <v>283</v>
      </c>
      <c r="B7" t="s">
        <v>54</v>
      </c>
      <c r="C7" t="s">
        <v>36</v>
      </c>
      <c r="D7" t="s">
        <v>60</v>
      </c>
      <c r="E7" t="s">
        <v>46</v>
      </c>
      <c r="F7">
        <v>282</v>
      </c>
      <c r="G7">
        <v>655</v>
      </c>
      <c r="H7">
        <v>0</v>
      </c>
      <c r="I7">
        <v>382</v>
      </c>
      <c r="J7">
        <v>3630</v>
      </c>
      <c r="K7">
        <v>25</v>
      </c>
      <c r="L7">
        <v>0</v>
      </c>
      <c r="M7">
        <v>395</v>
      </c>
      <c r="N7" t="s">
        <v>61</v>
      </c>
      <c r="O7">
        <v>0.25900000000000001</v>
      </c>
      <c r="P7">
        <v>359144.94</v>
      </c>
      <c r="Q7">
        <f>(Table1[[#This Row],[Closing_Stock]]*Table1[[#This Row],[Unit_Cost_INR]])</f>
        <v>1386660</v>
      </c>
      <c r="R7">
        <f>(Table1[[#This Row],[Unit_Cost_INR]]*Table1[[#This Row],[Consumption]])</f>
        <v>0</v>
      </c>
      <c r="S7">
        <f>IFERROR(Table1[[#This Row],[Annual_Consumption_Value_INR]]/Table1[[#This Row],[Inventory_Value_INR]],0)</f>
        <v>0</v>
      </c>
      <c r="T7">
        <f>IFERROR(365/Table1[[#This Row],[Inventory_Turnover]],0)</f>
        <v>0</v>
      </c>
      <c r="U7" t="str">
        <f>IF(Table1[[#This Row],[Consumption]]=0,"Non-Moving", IF(Table1[[#This Row],[Days_Since_Last_Movement]]&gt;90,"Slow-Moving","Active"))</f>
        <v>Non-Moving</v>
      </c>
      <c r="V7">
        <f>SUM($Q$2:Q7)</f>
        <v>12023810</v>
      </c>
      <c r="W7">
        <f>Table1[[#This Row],[Cumulative_Inventory_Value]]/$AP$3</f>
        <v>0.15884472194270272</v>
      </c>
      <c r="X7" t="str">
        <f>IF(Table1[[#This Row],[Cumulative_Value_%]]&lt;80%,"A", IF(Table1[[#This Row],[Cumulative_Value_%]]&lt;=95%,"B","C"))</f>
        <v>A</v>
      </c>
      <c r="Y7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Critical Review</v>
      </c>
      <c r="Z7">
        <f>Table1[[#This Row],[Consumption]]/365</f>
        <v>0</v>
      </c>
      <c r="AA7">
        <f>Table1[[#This Row],[Avg_Daily_Consumption]]*Table1[[#This Row],[Lead_Time_Days]]+Table1[[#This Row],[Safety_Stock]]</f>
        <v>1</v>
      </c>
      <c r="AB7">
        <f>IFERROR(Table1[[#This Row],[Closing_Stock]]/Table1[[#This Row],[Avg_Daily_Consumption]],9999)</f>
        <v>9999</v>
      </c>
      <c r="AC7">
        <f>MAX(1,ROUNDUP(Table1[[#This Row],[Avg_Daily_Consumption]]*Table1[[#This Row],[Lead_Time_Days]]*0.8,0))</f>
        <v>1</v>
      </c>
      <c r="AD7" t="str">
        <f>IF(Table1[[#This Row],[Closing_Stock]]&lt;Table1[[#This Row],[Reorder_Point]],"Stock-out Risk","Adequate")</f>
        <v>Adequate</v>
      </c>
      <c r="AE7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7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 for Disposal/De-procurement</v>
      </c>
      <c r="AG7">
        <f>IF(Table1[[#This Row],[Action_Recommendation]]="Review for Disposal/De-procurement",Table1[[#This Row],[Inventory_Value_INR]]*70%,IF(Table1[[#This Row],[Action_Recommendation]]="Review Safety Stock",Table1[[#This Row],[Inventory_Value_INR]]*20%,0))</f>
        <v>970661.99999999988</v>
      </c>
      <c r="AH7" s="11">
        <f>MAX(0,Table1[[#This Row],[Closing_Stock]]-Table1[[#This Row],[Reorder_Point]])</f>
        <v>381</v>
      </c>
      <c r="AI7" s="11">
        <f>Table1[[#This Row],[Excess_Stock_Units]]*Table1[[#This Row],[Unit_Cost_INR]]</f>
        <v>1383030</v>
      </c>
      <c r="AJ7" s="11">
        <f>IF(Table1[[#This Row],[Criticality]]="Critical",0,Table1[[#This Row],[Excess_Inventory_Value_INR]])</f>
        <v>1383030</v>
      </c>
      <c r="AK7" s="11">
        <f>IF(AND(Table1[[#This Row],[Criticality]]&lt;&gt;"Critical",OR(Table1[[#This Row],[Movement_Class]]="Slow-Moving",Table1[[#This Row],[Movement_Class]]="Non-Moving")),Table1[[#This Row],[Excess_Inventory_Value_INR]],0)</f>
        <v>1383030</v>
      </c>
      <c r="AP7">
        <f>SUM(AG:AG)</f>
        <v>9130097</v>
      </c>
      <c r="AQ7" s="10">
        <f>SUM(AG:AG)/SUM(Q:Q)</f>
        <v>0.1206163203905338</v>
      </c>
      <c r="AS7" s="9" t="s">
        <v>607</v>
      </c>
      <c r="AT7" s="6" t="s">
        <v>603</v>
      </c>
    </row>
    <row r="8" spans="1:50" x14ac:dyDescent="0.25">
      <c r="A8" t="s">
        <v>259</v>
      </c>
      <c r="B8" t="s">
        <v>63</v>
      </c>
      <c r="C8" t="s">
        <v>52</v>
      </c>
      <c r="D8" t="s">
        <v>27</v>
      </c>
      <c r="E8" t="s">
        <v>37</v>
      </c>
      <c r="F8">
        <v>84</v>
      </c>
      <c r="G8">
        <v>309</v>
      </c>
      <c r="H8">
        <v>268</v>
      </c>
      <c r="I8">
        <v>125</v>
      </c>
      <c r="J8">
        <v>10170</v>
      </c>
      <c r="K8">
        <v>17</v>
      </c>
      <c r="L8">
        <v>0</v>
      </c>
      <c r="M8">
        <v>180</v>
      </c>
      <c r="N8" t="s">
        <v>61</v>
      </c>
      <c r="O8">
        <v>0.19500000000000001</v>
      </c>
      <c r="P8">
        <v>247893.75</v>
      </c>
      <c r="Q8">
        <f>(Table1[[#This Row],[Closing_Stock]]*Table1[[#This Row],[Unit_Cost_INR]])</f>
        <v>1271250</v>
      </c>
      <c r="R8">
        <f>(Table1[[#This Row],[Unit_Cost_INR]]*Table1[[#This Row],[Consumption]])</f>
        <v>2725560</v>
      </c>
      <c r="S8">
        <f>IFERROR(Table1[[#This Row],[Annual_Consumption_Value_INR]]/Table1[[#This Row],[Inventory_Value_INR]],0)</f>
        <v>2.1440000000000001</v>
      </c>
      <c r="T8">
        <f>IFERROR(365/Table1[[#This Row],[Inventory_Turnover]],0)</f>
        <v>170.24253731343282</v>
      </c>
      <c r="U8" t="str">
        <f>IF(Table1[[#This Row],[Consumption]]=0,"Non-Moving", IF(Table1[[#This Row],[Days_Since_Last_Movement]]&gt;90,"Slow-Moving","Active"))</f>
        <v>Slow-Moving</v>
      </c>
      <c r="V8">
        <f>SUM($Q$2:Q8)</f>
        <v>13295060</v>
      </c>
      <c r="W8">
        <f>Table1[[#This Row],[Cumulative_Inventory_Value]]/$AP$3</f>
        <v>0.17563901200297985</v>
      </c>
      <c r="X8" t="str">
        <f>IF(Table1[[#This Row],[Cumulative_Value_%]]&lt;80%,"A", IF(Table1[[#This Row],[Cumulative_Value_%]]&lt;=95%,"B","C"))</f>
        <v>A</v>
      </c>
      <c r="Y8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High Review</v>
      </c>
      <c r="Z8">
        <f>Table1[[#This Row],[Consumption]]/365</f>
        <v>0.73424657534246573</v>
      </c>
      <c r="AA8">
        <f>Table1[[#This Row],[Avg_Daily_Consumption]]*Table1[[#This Row],[Lead_Time_Days]]+Table1[[#This Row],[Safety_Stock]]</f>
        <v>22.482191780821918</v>
      </c>
      <c r="AB8">
        <f>IFERROR(Table1[[#This Row],[Closing_Stock]]/Table1[[#This Row],[Avg_Daily_Consumption]],9999)</f>
        <v>170.24253731343285</v>
      </c>
      <c r="AC8">
        <f>MAX(1,ROUNDUP(Table1[[#This Row],[Avg_Daily_Consumption]]*Table1[[#This Row],[Lead_Time_Days]]*0.8,0))</f>
        <v>10</v>
      </c>
      <c r="AD8" t="str">
        <f>IF(Table1[[#This Row],[Closing_Stock]]&lt;Table1[[#This Row],[Reorder_Point]],"Stock-out Risk","Adequate")</f>
        <v>Adequate</v>
      </c>
      <c r="AE8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8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8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8" s="11">
        <f>MAX(0,Table1[[#This Row],[Closing_Stock]]-Table1[[#This Row],[Reorder_Point]])</f>
        <v>102.51780821917808</v>
      </c>
      <c r="AI8" s="11">
        <f>Table1[[#This Row],[Excess_Stock_Units]]*Table1[[#This Row],[Unit_Cost_INR]]</f>
        <v>1042606.1095890411</v>
      </c>
      <c r="AJ8" s="11">
        <f>IF(Table1[[#This Row],[Criticality]]="Critical",0,Table1[[#This Row],[Excess_Inventory_Value_INR]])</f>
        <v>0</v>
      </c>
      <c r="AK8" s="11">
        <f>IF(AND(Table1[[#This Row],[Criticality]]&lt;&gt;"Critical",OR(Table1[[#This Row],[Movement_Class]]="Slow-Moving",Table1[[#This Row],[Movement_Class]]="Non-Moving")),Table1[[#This Row],[Excess_Inventory_Value_INR]],0)</f>
        <v>0</v>
      </c>
      <c r="AS8" s="6" t="s">
        <v>598</v>
      </c>
      <c r="AT8" t="s">
        <v>604</v>
      </c>
      <c r="AU8" t="s">
        <v>605</v>
      </c>
      <c r="AV8" t="s">
        <v>606</v>
      </c>
      <c r="AW8" t="s">
        <v>602</v>
      </c>
    </row>
    <row r="9" spans="1:50" x14ac:dyDescent="0.25">
      <c r="A9" t="s">
        <v>273</v>
      </c>
      <c r="B9" t="s">
        <v>75</v>
      </c>
      <c r="C9" t="s">
        <v>36</v>
      </c>
      <c r="D9" t="s">
        <v>60</v>
      </c>
      <c r="E9" t="s">
        <v>22</v>
      </c>
      <c r="F9">
        <v>14</v>
      </c>
      <c r="G9">
        <v>16</v>
      </c>
      <c r="H9">
        <v>6</v>
      </c>
      <c r="I9">
        <v>84</v>
      </c>
      <c r="J9">
        <v>14210</v>
      </c>
      <c r="K9">
        <v>25</v>
      </c>
      <c r="L9">
        <v>0</v>
      </c>
      <c r="M9">
        <v>181</v>
      </c>
      <c r="N9" t="s">
        <v>58</v>
      </c>
      <c r="O9">
        <v>0.216</v>
      </c>
      <c r="P9">
        <v>257826.24</v>
      </c>
      <c r="Q9">
        <f>(Table1[[#This Row],[Closing_Stock]]*Table1[[#This Row],[Unit_Cost_INR]])</f>
        <v>1193640</v>
      </c>
      <c r="R9">
        <f>(Table1[[#This Row],[Unit_Cost_INR]]*Table1[[#This Row],[Consumption]])</f>
        <v>85260</v>
      </c>
      <c r="S9">
        <f>IFERROR(Table1[[#This Row],[Annual_Consumption_Value_INR]]/Table1[[#This Row],[Inventory_Value_INR]],0)</f>
        <v>7.1428571428571425E-2</v>
      </c>
      <c r="T9">
        <f>IFERROR(365/Table1[[#This Row],[Inventory_Turnover]],0)</f>
        <v>5110</v>
      </c>
      <c r="U9" t="str">
        <f>IF(Table1[[#This Row],[Consumption]]=0,"Non-Moving", IF(Table1[[#This Row],[Days_Since_Last_Movement]]&gt;90,"Slow-Moving","Active"))</f>
        <v>Slow-Moving</v>
      </c>
      <c r="V9">
        <f>SUM($Q$2:Q9)</f>
        <v>14488700</v>
      </c>
      <c r="W9">
        <f>Table1[[#This Row],[Cumulative_Inventory_Value]]/$AP$3</f>
        <v>0.19140800817804313</v>
      </c>
      <c r="X9" t="str">
        <f>IF(Table1[[#This Row],[Cumulative_Value_%]]&lt;80%,"A", IF(Table1[[#This Row],[Cumulative_Value_%]]&lt;=95%,"B","C"))</f>
        <v>A</v>
      </c>
      <c r="Y9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High Review</v>
      </c>
      <c r="Z9">
        <f>Table1[[#This Row],[Consumption]]/365</f>
        <v>1.643835616438356E-2</v>
      </c>
      <c r="AA9">
        <f>Table1[[#This Row],[Avg_Daily_Consumption]]*Table1[[#This Row],[Lead_Time_Days]]+Table1[[#This Row],[Safety_Stock]]</f>
        <v>1.4109589041095889</v>
      </c>
      <c r="AB9">
        <f>IFERROR(Table1[[#This Row],[Closing_Stock]]/Table1[[#This Row],[Avg_Daily_Consumption]],9999)</f>
        <v>5110.0000000000009</v>
      </c>
      <c r="AC9">
        <f>MAX(1,ROUNDUP(Table1[[#This Row],[Avg_Daily_Consumption]]*Table1[[#This Row],[Lead_Time_Days]]*0.8,0))</f>
        <v>1</v>
      </c>
      <c r="AD9" t="str">
        <f>IF(Table1[[#This Row],[Closing_Stock]]&lt;Table1[[#This Row],[Reorder_Point]],"Stock-out Risk","Adequate")</f>
        <v>Adequate</v>
      </c>
      <c r="AE9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9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 Safety Stock</v>
      </c>
      <c r="AG9">
        <f>IF(Table1[[#This Row],[Action_Recommendation]]="Review for Disposal/De-procurement",Table1[[#This Row],[Inventory_Value_INR]]*70%,IF(Table1[[#This Row],[Action_Recommendation]]="Review Safety Stock",Table1[[#This Row],[Inventory_Value_INR]]*20%,0))</f>
        <v>238728</v>
      </c>
      <c r="AH9" s="11">
        <f>MAX(0,Table1[[#This Row],[Closing_Stock]]-Table1[[#This Row],[Reorder_Point]])</f>
        <v>82.589041095890408</v>
      </c>
      <c r="AI9" s="11">
        <f>Table1[[#This Row],[Excess_Stock_Units]]*Table1[[#This Row],[Unit_Cost_INR]]</f>
        <v>1173590.2739726028</v>
      </c>
      <c r="AJ9" s="11">
        <f>IF(Table1[[#This Row],[Criticality]]="Critical",0,Table1[[#This Row],[Excess_Inventory_Value_INR]])</f>
        <v>1173590.2739726028</v>
      </c>
      <c r="AK9" s="11">
        <f>IF(AND(Table1[[#This Row],[Criticality]]&lt;&gt;"Critical",OR(Table1[[#This Row],[Movement_Class]]="Slow-Moving",Table1[[#This Row],[Movement_Class]]="Non-Moving")),Table1[[#This Row],[Excess_Inventory_Value_INR]],0)</f>
        <v>1173590.2739726028</v>
      </c>
      <c r="AS9" s="7" t="s">
        <v>599</v>
      </c>
      <c r="AT9">
        <v>28336500</v>
      </c>
      <c r="AU9">
        <v>8924200</v>
      </c>
      <c r="AV9">
        <v>23202360</v>
      </c>
      <c r="AW9">
        <v>60463060</v>
      </c>
    </row>
    <row r="10" spans="1:50" x14ac:dyDescent="0.25">
      <c r="A10" t="s">
        <v>218</v>
      </c>
      <c r="B10" t="s">
        <v>48</v>
      </c>
      <c r="C10" t="s">
        <v>41</v>
      </c>
      <c r="D10" t="s">
        <v>60</v>
      </c>
      <c r="E10" t="s">
        <v>22</v>
      </c>
      <c r="F10">
        <v>43</v>
      </c>
      <c r="G10">
        <v>176</v>
      </c>
      <c r="H10">
        <v>119</v>
      </c>
      <c r="I10">
        <v>170</v>
      </c>
      <c r="J10">
        <v>5850</v>
      </c>
      <c r="K10">
        <v>20</v>
      </c>
      <c r="L10">
        <v>0</v>
      </c>
      <c r="M10">
        <v>105</v>
      </c>
      <c r="N10" t="s">
        <v>61</v>
      </c>
      <c r="O10">
        <v>0.26500000000000001</v>
      </c>
      <c r="P10">
        <v>263542.5</v>
      </c>
      <c r="Q10">
        <f>(Table1[[#This Row],[Closing_Stock]]*Table1[[#This Row],[Unit_Cost_INR]])</f>
        <v>994500</v>
      </c>
      <c r="R10">
        <f>(Table1[[#This Row],[Unit_Cost_INR]]*Table1[[#This Row],[Consumption]])</f>
        <v>696150</v>
      </c>
      <c r="S10">
        <f>IFERROR(Table1[[#This Row],[Annual_Consumption_Value_INR]]/Table1[[#This Row],[Inventory_Value_INR]],0)</f>
        <v>0.7</v>
      </c>
      <c r="T10">
        <f>IFERROR(365/Table1[[#This Row],[Inventory_Turnover]],0)</f>
        <v>521.42857142857144</v>
      </c>
      <c r="U10" t="str">
        <f>IF(Table1[[#This Row],[Consumption]]=0,"Non-Moving", IF(Table1[[#This Row],[Days_Since_Last_Movement]]&gt;90,"Slow-Moving","Active"))</f>
        <v>Slow-Moving</v>
      </c>
      <c r="V10">
        <f>SUM($Q$2:Q10)</f>
        <v>15483200</v>
      </c>
      <c r="W10">
        <f>Table1[[#This Row],[Cumulative_Inventory_Value]]/$AP$3</f>
        <v>0.20454619615440151</v>
      </c>
      <c r="X10" t="str">
        <f>IF(Table1[[#This Row],[Cumulative_Value_%]]&lt;80%,"A", IF(Table1[[#This Row],[Cumulative_Value_%]]&lt;=95%,"B","C"))</f>
        <v>A</v>
      </c>
      <c r="Y10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High Review</v>
      </c>
      <c r="Z10">
        <f>Table1[[#This Row],[Consumption]]/365</f>
        <v>0.32602739726027397</v>
      </c>
      <c r="AA10">
        <f>Table1[[#This Row],[Avg_Daily_Consumption]]*Table1[[#This Row],[Lead_Time_Days]]+Table1[[#This Row],[Safety_Stock]]</f>
        <v>12.520547945205479</v>
      </c>
      <c r="AB10">
        <f>IFERROR(Table1[[#This Row],[Closing_Stock]]/Table1[[#This Row],[Avg_Daily_Consumption]],9999)</f>
        <v>521.42857142857144</v>
      </c>
      <c r="AC10">
        <f>MAX(1,ROUNDUP(Table1[[#This Row],[Avg_Daily_Consumption]]*Table1[[#This Row],[Lead_Time_Days]]*0.8,0))</f>
        <v>6</v>
      </c>
      <c r="AD10" t="str">
        <f>IF(Table1[[#This Row],[Closing_Stock]]&lt;Table1[[#This Row],[Reorder_Point]],"Stock-out Risk","Adequate")</f>
        <v>Adequate</v>
      </c>
      <c r="AE10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10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 Safety Stock</v>
      </c>
      <c r="AG10">
        <f>IF(Table1[[#This Row],[Action_Recommendation]]="Review for Disposal/De-procurement",Table1[[#This Row],[Inventory_Value_INR]]*70%,IF(Table1[[#This Row],[Action_Recommendation]]="Review Safety Stock",Table1[[#This Row],[Inventory_Value_INR]]*20%,0))</f>
        <v>198900</v>
      </c>
      <c r="AH10" s="11">
        <f>MAX(0,Table1[[#This Row],[Closing_Stock]]-Table1[[#This Row],[Reorder_Point]])</f>
        <v>157.47945205479454</v>
      </c>
      <c r="AI10" s="11">
        <f>Table1[[#This Row],[Excess_Stock_Units]]*Table1[[#This Row],[Unit_Cost_INR]]</f>
        <v>921254.79452054808</v>
      </c>
      <c r="AJ10" s="11">
        <f>IF(Table1[[#This Row],[Criticality]]="Critical",0,Table1[[#This Row],[Excess_Inventory_Value_INR]])</f>
        <v>921254.79452054808</v>
      </c>
      <c r="AK10" s="11">
        <f>IF(AND(Table1[[#This Row],[Criticality]]&lt;&gt;"Critical",OR(Table1[[#This Row],[Movement_Class]]="Slow-Moving",Table1[[#This Row],[Movement_Class]]="Non-Moving")),Table1[[#This Row],[Excess_Inventory_Value_INR]],0)</f>
        <v>921254.79452054808</v>
      </c>
      <c r="AP10" t="s">
        <v>630</v>
      </c>
      <c r="AS10" s="7" t="s">
        <v>600</v>
      </c>
      <c r="AT10">
        <v>7082630</v>
      </c>
      <c r="AU10">
        <v>280670</v>
      </c>
      <c r="AV10">
        <v>4046610</v>
      </c>
      <c r="AW10">
        <v>11409910</v>
      </c>
    </row>
    <row r="11" spans="1:50" x14ac:dyDescent="0.25">
      <c r="A11" t="s">
        <v>53</v>
      </c>
      <c r="B11" t="s">
        <v>54</v>
      </c>
      <c r="C11" t="s">
        <v>36</v>
      </c>
      <c r="D11" t="s">
        <v>42</v>
      </c>
      <c r="E11" t="s">
        <v>37</v>
      </c>
      <c r="F11">
        <v>96</v>
      </c>
      <c r="G11">
        <v>298</v>
      </c>
      <c r="H11">
        <v>214</v>
      </c>
      <c r="I11">
        <v>318</v>
      </c>
      <c r="J11">
        <v>3090</v>
      </c>
      <c r="K11">
        <v>3</v>
      </c>
      <c r="L11">
        <v>1</v>
      </c>
      <c r="M11">
        <v>46</v>
      </c>
      <c r="N11" t="s">
        <v>29</v>
      </c>
      <c r="O11">
        <v>0.28499999999999998</v>
      </c>
      <c r="P11">
        <v>280046.7</v>
      </c>
      <c r="Q11">
        <f>(Table1[[#This Row],[Closing_Stock]]*Table1[[#This Row],[Unit_Cost_INR]])</f>
        <v>982620</v>
      </c>
      <c r="R11">
        <f>(Table1[[#This Row],[Unit_Cost_INR]]*Table1[[#This Row],[Consumption]])</f>
        <v>661260</v>
      </c>
      <c r="S11">
        <f>IFERROR(Table1[[#This Row],[Annual_Consumption_Value_INR]]/Table1[[#This Row],[Inventory_Value_INR]],0)</f>
        <v>0.67295597484276726</v>
      </c>
      <c r="T11">
        <f>IFERROR(365/Table1[[#This Row],[Inventory_Turnover]],0)</f>
        <v>542.38317757009349</v>
      </c>
      <c r="U11" t="str">
        <f>IF(Table1[[#This Row],[Consumption]]=0,"Non-Moving", IF(Table1[[#This Row],[Days_Since_Last_Movement]]&gt;90,"Slow-Moving","Active"))</f>
        <v>Active</v>
      </c>
      <c r="V11">
        <f>SUM($Q$2:Q11)</f>
        <v>16465820</v>
      </c>
      <c r="W11">
        <f>Table1[[#This Row],[Cumulative_Inventory_Value]]/$AP$3</f>
        <v>0.21752743926081608</v>
      </c>
      <c r="X11" t="str">
        <f>IF(Table1[[#This Row],[Cumulative_Value_%]]&lt;80%,"A", IF(Table1[[#This Row],[Cumulative_Value_%]]&lt;=95%,"B","C"))</f>
        <v>A</v>
      </c>
      <c r="Y11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11">
        <f>Table1[[#This Row],[Consumption]]/365</f>
        <v>0.58630136986301373</v>
      </c>
      <c r="AA11">
        <f>Table1[[#This Row],[Avg_Daily_Consumption]]*Table1[[#This Row],[Lead_Time_Days]]+Table1[[#This Row],[Safety_Stock]]</f>
        <v>3.7589041095890412</v>
      </c>
      <c r="AB11">
        <f>IFERROR(Table1[[#This Row],[Closing_Stock]]/Table1[[#This Row],[Avg_Daily_Consumption]],9999)</f>
        <v>542.38317757009338</v>
      </c>
      <c r="AC11">
        <f>MAX(1,ROUNDUP(Table1[[#This Row],[Avg_Daily_Consumption]]*Table1[[#This Row],[Lead_Time_Days]]*0.8,0))</f>
        <v>2</v>
      </c>
      <c r="AD11" t="str">
        <f>IF(Table1[[#This Row],[Closing_Stock]]&lt;Table1[[#This Row],[Reorder_Point]],"Stock-out Risk","Adequate")</f>
        <v>Adequate</v>
      </c>
      <c r="AE11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11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11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11" s="11">
        <f>MAX(0,Table1[[#This Row],[Closing_Stock]]-Table1[[#This Row],[Reorder_Point]])</f>
        <v>314.24109589041097</v>
      </c>
      <c r="AI11" s="11">
        <f>Table1[[#This Row],[Excess_Stock_Units]]*Table1[[#This Row],[Unit_Cost_INR]]</f>
        <v>971004.98630136997</v>
      </c>
      <c r="AJ11" s="11">
        <f>IF(Table1[[#This Row],[Criticality]]="Critical",0,Table1[[#This Row],[Excess_Inventory_Value_INR]])</f>
        <v>0</v>
      </c>
      <c r="AK11" s="11">
        <f>IF(AND(Table1[[#This Row],[Criticality]]&lt;&gt;"Critical",OR(Table1[[#This Row],[Movement_Class]]="Slow-Moving",Table1[[#This Row],[Movement_Class]]="Non-Moving")),Table1[[#This Row],[Excess_Inventory_Value_INR]],0)</f>
        <v>0</v>
      </c>
      <c r="AP11">
        <f>SUM(AJ:AJ)</f>
        <v>56583509.726027392</v>
      </c>
      <c r="AS11" s="7" t="s">
        <v>601</v>
      </c>
      <c r="AT11">
        <v>2363880</v>
      </c>
      <c r="AU11">
        <v>183370</v>
      </c>
      <c r="AV11">
        <v>1275150</v>
      </c>
      <c r="AW11">
        <v>3822400</v>
      </c>
    </row>
    <row r="12" spans="1:50" x14ac:dyDescent="0.25">
      <c r="A12" t="s">
        <v>217</v>
      </c>
      <c r="B12" t="s">
        <v>73</v>
      </c>
      <c r="C12" t="s">
        <v>41</v>
      </c>
      <c r="D12" t="s">
        <v>60</v>
      </c>
      <c r="E12" t="s">
        <v>37</v>
      </c>
      <c r="F12">
        <v>160</v>
      </c>
      <c r="G12">
        <v>260</v>
      </c>
      <c r="H12">
        <v>5</v>
      </c>
      <c r="I12">
        <v>225</v>
      </c>
      <c r="J12">
        <v>3510</v>
      </c>
      <c r="K12">
        <v>29</v>
      </c>
      <c r="L12">
        <v>0</v>
      </c>
      <c r="M12">
        <v>310</v>
      </c>
      <c r="N12" t="s">
        <v>33</v>
      </c>
      <c r="O12">
        <v>0.17399999999999999</v>
      </c>
      <c r="P12">
        <v>137416.5</v>
      </c>
      <c r="Q12">
        <f>(Table1[[#This Row],[Closing_Stock]]*Table1[[#This Row],[Unit_Cost_INR]])</f>
        <v>789750</v>
      </c>
      <c r="R12">
        <f>(Table1[[#This Row],[Unit_Cost_INR]]*Table1[[#This Row],[Consumption]])</f>
        <v>17550</v>
      </c>
      <c r="S12">
        <f>IFERROR(Table1[[#This Row],[Annual_Consumption_Value_INR]]/Table1[[#This Row],[Inventory_Value_INR]],0)</f>
        <v>2.2222222222222223E-2</v>
      </c>
      <c r="T12">
        <f>IFERROR(365/Table1[[#This Row],[Inventory_Turnover]],0)</f>
        <v>16425</v>
      </c>
      <c r="U12" t="str">
        <f>IF(Table1[[#This Row],[Consumption]]=0,"Non-Moving", IF(Table1[[#This Row],[Days_Since_Last_Movement]]&gt;90,"Slow-Moving","Active"))</f>
        <v>Slow-Moving</v>
      </c>
      <c r="V12">
        <f>SUM($Q$2:Q12)</f>
        <v>17255570</v>
      </c>
      <c r="W12">
        <f>Table1[[#This Row],[Cumulative_Inventory_Value]]/$AP$3</f>
        <v>0.22796070618321834</v>
      </c>
      <c r="X12" t="str">
        <f>IF(Table1[[#This Row],[Cumulative_Value_%]]&lt;80%,"A", IF(Table1[[#This Row],[Cumulative_Value_%]]&lt;=95%,"B","C"))</f>
        <v>A</v>
      </c>
      <c r="Y12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High Review</v>
      </c>
      <c r="Z12">
        <f>Table1[[#This Row],[Consumption]]/365</f>
        <v>1.3698630136986301E-2</v>
      </c>
      <c r="AA12">
        <f>Table1[[#This Row],[Avg_Daily_Consumption]]*Table1[[#This Row],[Lead_Time_Days]]+Table1[[#This Row],[Safety_Stock]]</f>
        <v>1.3972602739726028</v>
      </c>
      <c r="AB12">
        <f>IFERROR(Table1[[#This Row],[Closing_Stock]]/Table1[[#This Row],[Avg_Daily_Consumption]],9999)</f>
        <v>16425</v>
      </c>
      <c r="AC12">
        <f>MAX(1,ROUNDUP(Table1[[#This Row],[Avg_Daily_Consumption]]*Table1[[#This Row],[Lead_Time_Days]]*0.8,0))</f>
        <v>1</v>
      </c>
      <c r="AD12" t="str">
        <f>IF(Table1[[#This Row],[Closing_Stock]]&lt;Table1[[#This Row],[Reorder_Point]],"Stock-out Risk","Adequate")</f>
        <v>Adequate</v>
      </c>
      <c r="AE12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12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12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12" s="11">
        <f>MAX(0,Table1[[#This Row],[Closing_Stock]]-Table1[[#This Row],[Reorder_Point]])</f>
        <v>223.60273972602741</v>
      </c>
      <c r="AI12" s="11">
        <f>Table1[[#This Row],[Excess_Stock_Units]]*Table1[[#This Row],[Unit_Cost_INR]]</f>
        <v>784845.61643835623</v>
      </c>
      <c r="AJ12" s="11">
        <f>IF(Table1[[#This Row],[Criticality]]="Critical",0,Table1[[#This Row],[Excess_Inventory_Value_INR]])</f>
        <v>0</v>
      </c>
      <c r="AK12" s="11">
        <f>IF(AND(Table1[[#This Row],[Criticality]]&lt;&gt;"Critical",OR(Table1[[#This Row],[Movement_Class]]="Slow-Moving",Table1[[#This Row],[Movement_Class]]="Non-Moving")),Table1[[#This Row],[Excess_Inventory_Value_INR]],0)</f>
        <v>0</v>
      </c>
      <c r="AS12" s="7" t="s">
        <v>602</v>
      </c>
      <c r="AT12">
        <v>37783010</v>
      </c>
      <c r="AU12">
        <v>9388240</v>
      </c>
      <c r="AV12">
        <v>28524120</v>
      </c>
      <c r="AW12">
        <v>75695370</v>
      </c>
    </row>
    <row r="13" spans="1:50" x14ac:dyDescent="0.25">
      <c r="A13" t="s">
        <v>202</v>
      </c>
      <c r="B13" t="s">
        <v>80</v>
      </c>
      <c r="C13" t="s">
        <v>20</v>
      </c>
      <c r="D13" t="s">
        <v>42</v>
      </c>
      <c r="E13" t="s">
        <v>46</v>
      </c>
      <c r="F13">
        <v>48</v>
      </c>
      <c r="G13">
        <v>49</v>
      </c>
      <c r="H13">
        <v>3</v>
      </c>
      <c r="I13">
        <v>55</v>
      </c>
      <c r="J13">
        <v>14130</v>
      </c>
      <c r="K13">
        <v>3</v>
      </c>
      <c r="L13">
        <v>3</v>
      </c>
      <c r="M13">
        <v>311</v>
      </c>
      <c r="N13" t="s">
        <v>38</v>
      </c>
      <c r="O13">
        <v>0.218</v>
      </c>
      <c r="P13">
        <v>169418.7</v>
      </c>
      <c r="Q13">
        <f>(Table1[[#This Row],[Closing_Stock]]*Table1[[#This Row],[Unit_Cost_INR]])</f>
        <v>777150</v>
      </c>
      <c r="R13">
        <f>(Table1[[#This Row],[Unit_Cost_INR]]*Table1[[#This Row],[Consumption]])</f>
        <v>42390</v>
      </c>
      <c r="S13">
        <f>IFERROR(Table1[[#This Row],[Annual_Consumption_Value_INR]]/Table1[[#This Row],[Inventory_Value_INR]],0)</f>
        <v>5.4545454545454543E-2</v>
      </c>
      <c r="T13">
        <f>IFERROR(365/Table1[[#This Row],[Inventory_Turnover]],0)</f>
        <v>6691.666666666667</v>
      </c>
      <c r="U13" t="str">
        <f>IF(Table1[[#This Row],[Consumption]]=0,"Non-Moving", IF(Table1[[#This Row],[Days_Since_Last_Movement]]&gt;90,"Slow-Moving","Active"))</f>
        <v>Slow-Moving</v>
      </c>
      <c r="V13">
        <f>SUM($Q$2:Q13)</f>
        <v>18032720</v>
      </c>
      <c r="W13">
        <f>Table1[[#This Row],[Cumulative_Inventory_Value]]/$AP$3</f>
        <v>0.23822751642537715</v>
      </c>
      <c r="X13" t="str">
        <f>IF(Table1[[#This Row],[Cumulative_Value_%]]&lt;80%,"A", IF(Table1[[#This Row],[Cumulative_Value_%]]&lt;=95%,"B","C"))</f>
        <v>A</v>
      </c>
      <c r="Y13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High Review</v>
      </c>
      <c r="Z13">
        <f>Table1[[#This Row],[Consumption]]/365</f>
        <v>8.21917808219178E-3</v>
      </c>
      <c r="AA13">
        <f>Table1[[#This Row],[Avg_Daily_Consumption]]*Table1[[#This Row],[Lead_Time_Days]]+Table1[[#This Row],[Safety_Stock]]</f>
        <v>1.0246575342465754</v>
      </c>
      <c r="AB13">
        <f>IFERROR(Table1[[#This Row],[Closing_Stock]]/Table1[[#This Row],[Avg_Daily_Consumption]],9999)</f>
        <v>6691.666666666667</v>
      </c>
      <c r="AC13">
        <f>MAX(1,ROUNDUP(Table1[[#This Row],[Avg_Daily_Consumption]]*Table1[[#This Row],[Lead_Time_Days]]*0.8,0))</f>
        <v>1</v>
      </c>
      <c r="AD13" t="str">
        <f>IF(Table1[[#This Row],[Closing_Stock]]&lt;Table1[[#This Row],[Reorder_Point]],"Stock-out Risk","Adequate")</f>
        <v>Adequate</v>
      </c>
      <c r="AE13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13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 Safety Stock</v>
      </c>
      <c r="AG13">
        <f>IF(Table1[[#This Row],[Action_Recommendation]]="Review for Disposal/De-procurement",Table1[[#This Row],[Inventory_Value_INR]]*70%,IF(Table1[[#This Row],[Action_Recommendation]]="Review Safety Stock",Table1[[#This Row],[Inventory_Value_INR]]*20%,0))</f>
        <v>155430</v>
      </c>
      <c r="AH13" s="11">
        <f>MAX(0,Table1[[#This Row],[Closing_Stock]]-Table1[[#This Row],[Reorder_Point]])</f>
        <v>53.975342465753428</v>
      </c>
      <c r="AI13" s="11">
        <f>Table1[[#This Row],[Excess_Stock_Units]]*Table1[[#This Row],[Unit_Cost_INR]]</f>
        <v>762671.58904109593</v>
      </c>
      <c r="AJ13" s="11">
        <f>IF(Table1[[#This Row],[Criticality]]="Critical",0,Table1[[#This Row],[Excess_Inventory_Value_INR]])</f>
        <v>762671.58904109593</v>
      </c>
      <c r="AK13" s="11">
        <f>IF(AND(Table1[[#This Row],[Criticality]]&lt;&gt;"Critical",OR(Table1[[#This Row],[Movement_Class]]="Slow-Moving",Table1[[#This Row],[Movement_Class]]="Non-Moving")),Table1[[#This Row],[Excess_Inventory_Value_INR]],0)</f>
        <v>762671.58904109593</v>
      </c>
      <c r="AP13" t="s">
        <v>632</v>
      </c>
    </row>
    <row r="14" spans="1:50" x14ac:dyDescent="0.25">
      <c r="A14" t="s">
        <v>479</v>
      </c>
      <c r="B14" t="s">
        <v>126</v>
      </c>
      <c r="C14" t="s">
        <v>20</v>
      </c>
      <c r="D14" t="s">
        <v>66</v>
      </c>
      <c r="E14" t="s">
        <v>28</v>
      </c>
      <c r="F14">
        <v>82</v>
      </c>
      <c r="G14">
        <v>356</v>
      </c>
      <c r="H14">
        <v>211</v>
      </c>
      <c r="I14">
        <v>227</v>
      </c>
      <c r="J14">
        <v>3410</v>
      </c>
      <c r="K14">
        <v>34</v>
      </c>
      <c r="L14">
        <v>1</v>
      </c>
      <c r="M14">
        <v>13</v>
      </c>
      <c r="N14" t="s">
        <v>81</v>
      </c>
      <c r="O14">
        <v>0.29199999999999998</v>
      </c>
      <c r="P14">
        <v>226028.44</v>
      </c>
      <c r="Q14">
        <f>(Table1[[#This Row],[Closing_Stock]]*Table1[[#This Row],[Unit_Cost_INR]])</f>
        <v>774070</v>
      </c>
      <c r="R14">
        <f>(Table1[[#This Row],[Unit_Cost_INR]]*Table1[[#This Row],[Consumption]])</f>
        <v>719510</v>
      </c>
      <c r="S14">
        <f>IFERROR(Table1[[#This Row],[Annual_Consumption_Value_INR]]/Table1[[#This Row],[Inventory_Value_INR]],0)</f>
        <v>0.92951541850220265</v>
      </c>
      <c r="T14">
        <f>IFERROR(365/Table1[[#This Row],[Inventory_Turnover]],0)</f>
        <v>392.67772511848341</v>
      </c>
      <c r="U14" t="str">
        <f>IF(Table1[[#This Row],[Consumption]]=0,"Non-Moving", IF(Table1[[#This Row],[Days_Since_Last_Movement]]&gt;90,"Slow-Moving","Active"))</f>
        <v>Active</v>
      </c>
      <c r="V14">
        <f>SUM($Q$2:Q14)</f>
        <v>18806790</v>
      </c>
      <c r="W14">
        <f>Table1[[#This Row],[Cumulative_Inventory_Value]]/$AP$3</f>
        <v>0.24845363725680977</v>
      </c>
      <c r="X14" t="str">
        <f>IF(Table1[[#This Row],[Cumulative_Value_%]]&lt;80%,"A", IF(Table1[[#This Row],[Cumulative_Value_%]]&lt;=95%,"B","C"))</f>
        <v>A</v>
      </c>
      <c r="Y14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14">
        <f>Table1[[#This Row],[Consumption]]/365</f>
        <v>0.57808219178082187</v>
      </c>
      <c r="AA14">
        <f>Table1[[#This Row],[Avg_Daily_Consumption]]*Table1[[#This Row],[Lead_Time_Days]]+Table1[[#This Row],[Safety_Stock]]</f>
        <v>35.654794520547945</v>
      </c>
      <c r="AB14">
        <f>IFERROR(Table1[[#This Row],[Closing_Stock]]/Table1[[#This Row],[Avg_Daily_Consumption]],9999)</f>
        <v>392.67772511848347</v>
      </c>
      <c r="AC14">
        <f>MAX(1,ROUNDUP(Table1[[#This Row],[Avg_Daily_Consumption]]*Table1[[#This Row],[Lead_Time_Days]]*0.8,0))</f>
        <v>16</v>
      </c>
      <c r="AD14" t="str">
        <f>IF(Table1[[#This Row],[Closing_Stock]]&lt;Table1[[#This Row],[Reorder_Point]],"Stock-out Risk","Adequate")</f>
        <v>Adequate</v>
      </c>
      <c r="AE14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14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14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14" s="11">
        <f>MAX(0,Table1[[#This Row],[Closing_Stock]]-Table1[[#This Row],[Reorder_Point]])</f>
        <v>191.34520547945206</v>
      </c>
      <c r="AI14" s="11">
        <f>Table1[[#This Row],[Excess_Stock_Units]]*Table1[[#This Row],[Unit_Cost_INR]]</f>
        <v>652487.15068493155</v>
      </c>
      <c r="AJ14" s="11">
        <f>IF(Table1[[#This Row],[Criticality]]="Critical",0,Table1[[#This Row],[Excess_Inventory_Value_INR]])</f>
        <v>652487.15068493155</v>
      </c>
      <c r="AK14" s="11">
        <f>IF(AND(Table1[[#This Row],[Criticality]]&lt;&gt;"Critical",OR(Table1[[#This Row],[Movement_Class]]="Slow-Moving",Table1[[#This Row],[Movement_Class]]="Non-Moving")),Table1[[#This Row],[Excess_Inventory_Value_INR]],0)</f>
        <v>0</v>
      </c>
      <c r="AP14">
        <f>SUM(AK:AK)</f>
        <v>28606255.863013685</v>
      </c>
    </row>
    <row r="15" spans="1:50" x14ac:dyDescent="0.25">
      <c r="A15" t="s">
        <v>284</v>
      </c>
      <c r="B15" t="s">
        <v>56</v>
      </c>
      <c r="C15" t="s">
        <v>32</v>
      </c>
      <c r="D15" t="s">
        <v>27</v>
      </c>
      <c r="E15" t="s">
        <v>22</v>
      </c>
      <c r="F15">
        <v>105</v>
      </c>
      <c r="G15">
        <v>143</v>
      </c>
      <c r="H15">
        <v>88</v>
      </c>
      <c r="I15">
        <v>160</v>
      </c>
      <c r="J15">
        <v>4700</v>
      </c>
      <c r="K15">
        <v>15</v>
      </c>
      <c r="L15">
        <v>0</v>
      </c>
      <c r="M15">
        <v>48</v>
      </c>
      <c r="N15" t="s">
        <v>23</v>
      </c>
      <c r="O15">
        <v>0.27500000000000002</v>
      </c>
      <c r="P15">
        <v>206800</v>
      </c>
      <c r="Q15">
        <f>(Table1[[#This Row],[Closing_Stock]]*Table1[[#This Row],[Unit_Cost_INR]])</f>
        <v>752000</v>
      </c>
      <c r="R15">
        <f>(Table1[[#This Row],[Unit_Cost_INR]]*Table1[[#This Row],[Consumption]])</f>
        <v>413600</v>
      </c>
      <c r="S15">
        <f>IFERROR(Table1[[#This Row],[Annual_Consumption_Value_INR]]/Table1[[#This Row],[Inventory_Value_INR]],0)</f>
        <v>0.55000000000000004</v>
      </c>
      <c r="T15">
        <f>IFERROR(365/Table1[[#This Row],[Inventory_Turnover]],0)</f>
        <v>663.63636363636363</v>
      </c>
      <c r="U15" t="str">
        <f>IF(Table1[[#This Row],[Consumption]]=0,"Non-Moving", IF(Table1[[#This Row],[Days_Since_Last_Movement]]&gt;90,"Slow-Moving","Active"))</f>
        <v>Active</v>
      </c>
      <c r="V15">
        <f>SUM($Q$2:Q15)</f>
        <v>19558790</v>
      </c>
      <c r="W15">
        <f>Table1[[#This Row],[Cumulative_Inventory_Value]]/$AP$3</f>
        <v>0.25838819468086355</v>
      </c>
      <c r="X15" t="str">
        <f>IF(Table1[[#This Row],[Cumulative_Value_%]]&lt;80%,"A", IF(Table1[[#This Row],[Cumulative_Value_%]]&lt;=95%,"B","C"))</f>
        <v>A</v>
      </c>
      <c r="Y15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15">
        <f>Table1[[#This Row],[Consumption]]/365</f>
        <v>0.24109589041095891</v>
      </c>
      <c r="AA15">
        <f>Table1[[#This Row],[Avg_Daily_Consumption]]*Table1[[#This Row],[Lead_Time_Days]]+Table1[[#This Row],[Safety_Stock]]</f>
        <v>6.6164383561643838</v>
      </c>
      <c r="AB15">
        <f>IFERROR(Table1[[#This Row],[Closing_Stock]]/Table1[[#This Row],[Avg_Daily_Consumption]],9999)</f>
        <v>663.63636363636363</v>
      </c>
      <c r="AC15">
        <f>MAX(1,ROUNDUP(Table1[[#This Row],[Avg_Daily_Consumption]]*Table1[[#This Row],[Lead_Time_Days]]*0.8,0))</f>
        <v>3</v>
      </c>
      <c r="AD15" t="str">
        <f>IF(Table1[[#This Row],[Closing_Stock]]&lt;Table1[[#This Row],[Reorder_Point]],"Stock-out Risk","Adequate")</f>
        <v>Adequate</v>
      </c>
      <c r="AE15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15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15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15" s="11">
        <f>MAX(0,Table1[[#This Row],[Closing_Stock]]-Table1[[#This Row],[Reorder_Point]])</f>
        <v>153.38356164383561</v>
      </c>
      <c r="AI15" s="11">
        <f>Table1[[#This Row],[Excess_Stock_Units]]*Table1[[#This Row],[Unit_Cost_INR]]</f>
        <v>720902.73972602736</v>
      </c>
      <c r="AJ15" s="11">
        <f>IF(Table1[[#This Row],[Criticality]]="Critical",0,Table1[[#This Row],[Excess_Inventory_Value_INR]])</f>
        <v>720902.73972602736</v>
      </c>
      <c r="AK15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16" spans="1:50" x14ac:dyDescent="0.25">
      <c r="A16" t="s">
        <v>520</v>
      </c>
      <c r="B16" t="s">
        <v>31</v>
      </c>
      <c r="C16" t="s">
        <v>32</v>
      </c>
      <c r="D16" t="s">
        <v>66</v>
      </c>
      <c r="E16" t="s">
        <v>22</v>
      </c>
      <c r="F16">
        <v>38</v>
      </c>
      <c r="G16">
        <v>42</v>
      </c>
      <c r="H16">
        <v>0</v>
      </c>
      <c r="I16">
        <v>128</v>
      </c>
      <c r="J16">
        <v>5780</v>
      </c>
      <c r="K16">
        <v>6</v>
      </c>
      <c r="L16">
        <v>1</v>
      </c>
      <c r="M16">
        <v>582</v>
      </c>
      <c r="N16" t="s">
        <v>38</v>
      </c>
      <c r="O16">
        <v>0.17399999999999999</v>
      </c>
      <c r="P16">
        <v>128732.16</v>
      </c>
      <c r="Q16">
        <f>(Table1[[#This Row],[Closing_Stock]]*Table1[[#This Row],[Unit_Cost_INR]])</f>
        <v>739840</v>
      </c>
      <c r="R16">
        <f>(Table1[[#This Row],[Unit_Cost_INR]]*Table1[[#This Row],[Consumption]])</f>
        <v>0</v>
      </c>
      <c r="S16">
        <f>IFERROR(Table1[[#This Row],[Annual_Consumption_Value_INR]]/Table1[[#This Row],[Inventory_Value_INR]],0)</f>
        <v>0</v>
      </c>
      <c r="T16">
        <f>IFERROR(365/Table1[[#This Row],[Inventory_Turnover]],0)</f>
        <v>0</v>
      </c>
      <c r="U16" t="str">
        <f>IF(Table1[[#This Row],[Consumption]]=0,"Non-Moving", IF(Table1[[#This Row],[Days_Since_Last_Movement]]&gt;90,"Slow-Moving","Active"))</f>
        <v>Non-Moving</v>
      </c>
      <c r="V16">
        <f>SUM($Q$2:Q16)</f>
        <v>20298630</v>
      </c>
      <c r="W16">
        <f>Table1[[#This Row],[Cumulative_Inventory_Value]]/$AP$3</f>
        <v>0.26816210819763481</v>
      </c>
      <c r="X16" t="str">
        <f>IF(Table1[[#This Row],[Cumulative_Value_%]]&lt;80%,"A", IF(Table1[[#This Row],[Cumulative_Value_%]]&lt;=95%,"B","C"))</f>
        <v>A</v>
      </c>
      <c r="Y16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Critical Review</v>
      </c>
      <c r="Z16">
        <f>Table1[[#This Row],[Consumption]]/365</f>
        <v>0</v>
      </c>
      <c r="AA16">
        <f>Table1[[#This Row],[Avg_Daily_Consumption]]*Table1[[#This Row],[Lead_Time_Days]]+Table1[[#This Row],[Safety_Stock]]</f>
        <v>1</v>
      </c>
      <c r="AB16">
        <f>IFERROR(Table1[[#This Row],[Closing_Stock]]/Table1[[#This Row],[Avg_Daily_Consumption]],9999)</f>
        <v>9999</v>
      </c>
      <c r="AC16">
        <f>MAX(1,ROUNDUP(Table1[[#This Row],[Avg_Daily_Consumption]]*Table1[[#This Row],[Lead_Time_Days]]*0.8,0))</f>
        <v>1</v>
      </c>
      <c r="AD16" t="str">
        <f>IF(Table1[[#This Row],[Closing_Stock]]&lt;Table1[[#This Row],[Reorder_Point]],"Stock-out Risk","Adequate")</f>
        <v>Adequate</v>
      </c>
      <c r="AE16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16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 for Disposal/De-procurement</v>
      </c>
      <c r="AG16">
        <f>IF(Table1[[#This Row],[Action_Recommendation]]="Review for Disposal/De-procurement",Table1[[#This Row],[Inventory_Value_INR]]*70%,IF(Table1[[#This Row],[Action_Recommendation]]="Review Safety Stock",Table1[[#This Row],[Inventory_Value_INR]]*20%,0))</f>
        <v>517887.99999999994</v>
      </c>
      <c r="AH16" s="11">
        <f>MAX(0,Table1[[#This Row],[Closing_Stock]]-Table1[[#This Row],[Reorder_Point]])</f>
        <v>127</v>
      </c>
      <c r="AI16" s="11">
        <f>Table1[[#This Row],[Excess_Stock_Units]]*Table1[[#This Row],[Unit_Cost_INR]]</f>
        <v>734060</v>
      </c>
      <c r="AJ16" s="11">
        <f>IF(Table1[[#This Row],[Criticality]]="Critical",0,Table1[[#This Row],[Excess_Inventory_Value_INR]])</f>
        <v>734060</v>
      </c>
      <c r="AK16" s="11">
        <f>IF(AND(Table1[[#This Row],[Criticality]]&lt;&gt;"Critical",OR(Table1[[#This Row],[Movement_Class]]="Slow-Moving",Table1[[#This Row],[Movement_Class]]="Non-Moving")),Table1[[#This Row],[Excess_Inventory_Value_INR]],0)</f>
        <v>734060</v>
      </c>
      <c r="AS16" s="6" t="s">
        <v>598</v>
      </c>
      <c r="AT16" t="s">
        <v>607</v>
      </c>
    </row>
    <row r="17" spans="1:46" x14ac:dyDescent="0.25">
      <c r="A17" t="s">
        <v>418</v>
      </c>
      <c r="B17" t="s">
        <v>75</v>
      </c>
      <c r="C17" t="s">
        <v>36</v>
      </c>
      <c r="D17" t="s">
        <v>21</v>
      </c>
      <c r="E17" t="s">
        <v>37</v>
      </c>
      <c r="F17">
        <v>12</v>
      </c>
      <c r="G17">
        <v>18</v>
      </c>
      <c r="H17">
        <v>1</v>
      </c>
      <c r="I17">
        <v>99</v>
      </c>
      <c r="J17">
        <v>7420</v>
      </c>
      <c r="K17">
        <v>26</v>
      </c>
      <c r="L17">
        <v>0</v>
      </c>
      <c r="M17">
        <v>187</v>
      </c>
      <c r="N17" t="s">
        <v>49</v>
      </c>
      <c r="O17">
        <v>0.157</v>
      </c>
      <c r="P17">
        <v>115329.06</v>
      </c>
      <c r="Q17">
        <f>(Table1[[#This Row],[Closing_Stock]]*Table1[[#This Row],[Unit_Cost_INR]])</f>
        <v>734580</v>
      </c>
      <c r="R17">
        <f>(Table1[[#This Row],[Unit_Cost_INR]]*Table1[[#This Row],[Consumption]])</f>
        <v>7420</v>
      </c>
      <c r="S17">
        <f>IFERROR(Table1[[#This Row],[Annual_Consumption_Value_INR]]/Table1[[#This Row],[Inventory_Value_INR]],0)</f>
        <v>1.0101010101010102E-2</v>
      </c>
      <c r="T17">
        <f>IFERROR(365/Table1[[#This Row],[Inventory_Turnover]],0)</f>
        <v>36135</v>
      </c>
      <c r="U17" t="str">
        <f>IF(Table1[[#This Row],[Consumption]]=0,"Non-Moving", IF(Table1[[#This Row],[Days_Since_Last_Movement]]&gt;90,"Slow-Moving","Active"))</f>
        <v>Slow-Moving</v>
      </c>
      <c r="V17">
        <f>SUM($Q$2:Q17)</f>
        <v>21033210</v>
      </c>
      <c r="W17">
        <f>Table1[[#This Row],[Cumulative_Inventory_Value]]/$AP$3</f>
        <v>0.27786653265582822</v>
      </c>
      <c r="X17" t="str">
        <f>IF(Table1[[#This Row],[Cumulative_Value_%]]&lt;80%,"A", IF(Table1[[#This Row],[Cumulative_Value_%]]&lt;=95%,"B","C"))</f>
        <v>A</v>
      </c>
      <c r="Y17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High Review</v>
      </c>
      <c r="Z17">
        <f>Table1[[#This Row],[Consumption]]/365</f>
        <v>2.7397260273972603E-3</v>
      </c>
      <c r="AA17">
        <f>Table1[[#This Row],[Avg_Daily_Consumption]]*Table1[[#This Row],[Lead_Time_Days]]+Table1[[#This Row],[Safety_Stock]]</f>
        <v>1.0712328767123287</v>
      </c>
      <c r="AB17">
        <f>IFERROR(Table1[[#This Row],[Closing_Stock]]/Table1[[#This Row],[Avg_Daily_Consumption]],9999)</f>
        <v>36135</v>
      </c>
      <c r="AC17">
        <f>MAX(1,ROUNDUP(Table1[[#This Row],[Avg_Daily_Consumption]]*Table1[[#This Row],[Lead_Time_Days]]*0.8,0))</f>
        <v>1</v>
      </c>
      <c r="AD17" t="str">
        <f>IF(Table1[[#This Row],[Closing_Stock]]&lt;Table1[[#This Row],[Reorder_Point]],"Stock-out Risk","Adequate")</f>
        <v>Adequate</v>
      </c>
      <c r="AE17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17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17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17" s="11">
        <f>MAX(0,Table1[[#This Row],[Closing_Stock]]-Table1[[#This Row],[Reorder_Point]])</f>
        <v>97.92876712328767</v>
      </c>
      <c r="AI17" s="11">
        <f>Table1[[#This Row],[Excess_Stock_Units]]*Table1[[#This Row],[Unit_Cost_INR]]</f>
        <v>726631.45205479453</v>
      </c>
      <c r="AJ17" s="11">
        <f>IF(Table1[[#This Row],[Criticality]]="Critical",0,Table1[[#This Row],[Excess_Inventory_Value_INR]])</f>
        <v>0</v>
      </c>
      <c r="AK17" s="11">
        <f>IF(AND(Table1[[#This Row],[Criticality]]&lt;&gt;"Critical",OR(Table1[[#This Row],[Movement_Class]]="Slow-Moving",Table1[[#This Row],[Movement_Class]]="Non-Moving")),Table1[[#This Row],[Excess_Inventory_Value_INR]],0)</f>
        <v>0</v>
      </c>
      <c r="AS17" s="7" t="s">
        <v>620</v>
      </c>
      <c r="AT17">
        <v>37783010</v>
      </c>
    </row>
    <row r="18" spans="1:46" x14ac:dyDescent="0.25">
      <c r="A18" t="s">
        <v>272</v>
      </c>
      <c r="B18" t="s">
        <v>165</v>
      </c>
      <c r="C18" t="s">
        <v>32</v>
      </c>
      <c r="D18" t="s">
        <v>60</v>
      </c>
      <c r="E18" t="s">
        <v>37</v>
      </c>
      <c r="F18">
        <v>27</v>
      </c>
      <c r="G18">
        <v>81</v>
      </c>
      <c r="H18">
        <v>58</v>
      </c>
      <c r="I18">
        <v>50</v>
      </c>
      <c r="J18">
        <v>13440</v>
      </c>
      <c r="K18">
        <v>38</v>
      </c>
      <c r="L18">
        <v>0</v>
      </c>
      <c r="M18">
        <v>23</v>
      </c>
      <c r="N18" t="s">
        <v>23</v>
      </c>
      <c r="O18">
        <v>0.28799999999999998</v>
      </c>
      <c r="P18">
        <v>193536</v>
      </c>
      <c r="Q18">
        <f>(Table1[[#This Row],[Closing_Stock]]*Table1[[#This Row],[Unit_Cost_INR]])</f>
        <v>672000</v>
      </c>
      <c r="R18">
        <f>(Table1[[#This Row],[Unit_Cost_INR]]*Table1[[#This Row],[Consumption]])</f>
        <v>779520</v>
      </c>
      <c r="S18">
        <f>IFERROR(Table1[[#This Row],[Annual_Consumption_Value_INR]]/Table1[[#This Row],[Inventory_Value_INR]],0)</f>
        <v>1.1599999999999999</v>
      </c>
      <c r="T18">
        <f>IFERROR(365/Table1[[#This Row],[Inventory_Turnover]],0)</f>
        <v>314.65517241379314</v>
      </c>
      <c r="U18" t="str">
        <f>IF(Table1[[#This Row],[Consumption]]=0,"Non-Moving", IF(Table1[[#This Row],[Days_Since_Last_Movement]]&gt;90,"Slow-Moving","Active"))</f>
        <v>Active</v>
      </c>
      <c r="V18">
        <f>SUM($Q$2:Q18)</f>
        <v>21705210</v>
      </c>
      <c r="W18">
        <f>Table1[[#This Row],[Cumulative_Inventory_Value]]/$AP$3</f>
        <v>0.28674422226881247</v>
      </c>
      <c r="X18" t="str">
        <f>IF(Table1[[#This Row],[Cumulative_Value_%]]&lt;80%,"A", IF(Table1[[#This Row],[Cumulative_Value_%]]&lt;=95%,"B","C"))</f>
        <v>A</v>
      </c>
      <c r="Y18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18">
        <f>Table1[[#This Row],[Consumption]]/365</f>
        <v>0.15890410958904111</v>
      </c>
      <c r="AA18">
        <f>Table1[[#This Row],[Avg_Daily_Consumption]]*Table1[[#This Row],[Lead_Time_Days]]+Table1[[#This Row],[Safety_Stock]]</f>
        <v>11.038356164383561</v>
      </c>
      <c r="AB18">
        <f>IFERROR(Table1[[#This Row],[Closing_Stock]]/Table1[[#This Row],[Avg_Daily_Consumption]],9999)</f>
        <v>314.65517241379308</v>
      </c>
      <c r="AC18">
        <f>MAX(1,ROUNDUP(Table1[[#This Row],[Avg_Daily_Consumption]]*Table1[[#This Row],[Lead_Time_Days]]*0.8,0))</f>
        <v>5</v>
      </c>
      <c r="AD18" t="str">
        <f>IF(Table1[[#This Row],[Closing_Stock]]&lt;Table1[[#This Row],[Reorder_Point]],"Stock-out Risk","Adequate")</f>
        <v>Adequate</v>
      </c>
      <c r="AE18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18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18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18" s="11">
        <f>MAX(0,Table1[[#This Row],[Closing_Stock]]-Table1[[#This Row],[Reorder_Point]])</f>
        <v>38.961643835616442</v>
      </c>
      <c r="AI18" s="11">
        <f>Table1[[#This Row],[Excess_Stock_Units]]*Table1[[#This Row],[Unit_Cost_INR]]</f>
        <v>523644.49315068498</v>
      </c>
      <c r="AJ18" s="11">
        <f>IF(Table1[[#This Row],[Criticality]]="Critical",0,Table1[[#This Row],[Excess_Inventory_Value_INR]])</f>
        <v>0</v>
      </c>
      <c r="AK18" s="11">
        <f>IF(AND(Table1[[#This Row],[Criticality]]&lt;&gt;"Critical",OR(Table1[[#This Row],[Movement_Class]]="Slow-Moving",Table1[[#This Row],[Movement_Class]]="Non-Moving")),Table1[[#This Row],[Excess_Inventory_Value_INR]],0)</f>
        <v>0</v>
      </c>
      <c r="AS18" s="7" t="s">
        <v>621</v>
      </c>
      <c r="AT18">
        <v>12214550</v>
      </c>
    </row>
    <row r="19" spans="1:46" x14ac:dyDescent="0.25">
      <c r="A19" t="s">
        <v>351</v>
      </c>
      <c r="B19" t="s">
        <v>83</v>
      </c>
      <c r="C19" t="s">
        <v>32</v>
      </c>
      <c r="D19" t="s">
        <v>21</v>
      </c>
      <c r="E19" t="s">
        <v>46</v>
      </c>
      <c r="F19">
        <v>308</v>
      </c>
      <c r="G19">
        <v>515</v>
      </c>
      <c r="H19">
        <v>600</v>
      </c>
      <c r="I19">
        <v>223</v>
      </c>
      <c r="J19">
        <v>2880</v>
      </c>
      <c r="K19">
        <v>18</v>
      </c>
      <c r="L19">
        <v>0</v>
      </c>
      <c r="M19">
        <v>29</v>
      </c>
      <c r="N19" t="s">
        <v>81</v>
      </c>
      <c r="O19">
        <v>0.16600000000000001</v>
      </c>
      <c r="P19">
        <v>106611.84</v>
      </c>
      <c r="Q19">
        <f>(Table1[[#This Row],[Closing_Stock]]*Table1[[#This Row],[Unit_Cost_INR]])</f>
        <v>642240</v>
      </c>
      <c r="R19">
        <f>(Table1[[#This Row],[Unit_Cost_INR]]*Table1[[#This Row],[Consumption]])</f>
        <v>1728000</v>
      </c>
      <c r="S19">
        <f>IFERROR(Table1[[#This Row],[Annual_Consumption_Value_INR]]/Table1[[#This Row],[Inventory_Value_INR]],0)</f>
        <v>2.6905829596412558</v>
      </c>
      <c r="T19">
        <f>IFERROR(365/Table1[[#This Row],[Inventory_Turnover]],0)</f>
        <v>135.65833333333333</v>
      </c>
      <c r="U19" t="str">
        <f>IF(Table1[[#This Row],[Consumption]]=0,"Non-Moving", IF(Table1[[#This Row],[Days_Since_Last_Movement]]&gt;90,"Slow-Moving","Active"))</f>
        <v>Active</v>
      </c>
      <c r="V19">
        <f>SUM($Q$2:Q19)</f>
        <v>22347450</v>
      </c>
      <c r="W19">
        <f>Table1[[#This Row],[Cumulative_Inventory_Value]]/$AP$3</f>
        <v>0.29522875705607887</v>
      </c>
      <c r="X19" t="str">
        <f>IF(Table1[[#This Row],[Cumulative_Value_%]]&lt;80%,"A", IF(Table1[[#This Row],[Cumulative_Value_%]]&lt;=95%,"B","C"))</f>
        <v>A</v>
      </c>
      <c r="Y19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19">
        <f>Table1[[#This Row],[Consumption]]/365</f>
        <v>1.6438356164383561</v>
      </c>
      <c r="AA19">
        <f>Table1[[#This Row],[Avg_Daily_Consumption]]*Table1[[#This Row],[Lead_Time_Days]]+Table1[[#This Row],[Safety_Stock]]</f>
        <v>53.589041095890408</v>
      </c>
      <c r="AB19">
        <f>IFERROR(Table1[[#This Row],[Closing_Stock]]/Table1[[#This Row],[Avg_Daily_Consumption]],9999)</f>
        <v>135.65833333333333</v>
      </c>
      <c r="AC19">
        <f>MAX(1,ROUNDUP(Table1[[#This Row],[Avg_Daily_Consumption]]*Table1[[#This Row],[Lead_Time_Days]]*0.8,0))</f>
        <v>24</v>
      </c>
      <c r="AD19" t="str">
        <f>IF(Table1[[#This Row],[Closing_Stock]]&lt;Table1[[#This Row],[Reorder_Point]],"Stock-out Risk","Adequate")</f>
        <v>Adequate</v>
      </c>
      <c r="AE19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19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19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19" s="11">
        <f>MAX(0,Table1[[#This Row],[Closing_Stock]]-Table1[[#This Row],[Reorder_Point]])</f>
        <v>169.41095890410958</v>
      </c>
      <c r="AI19" s="11">
        <f>Table1[[#This Row],[Excess_Stock_Units]]*Table1[[#This Row],[Unit_Cost_INR]]</f>
        <v>487903.56164383556</v>
      </c>
      <c r="AJ19" s="11">
        <f>IF(Table1[[#This Row],[Criticality]]="Critical",0,Table1[[#This Row],[Excess_Inventory_Value_INR]])</f>
        <v>487903.56164383556</v>
      </c>
      <c r="AK19" s="11">
        <f>IF(AND(Table1[[#This Row],[Criticality]]&lt;&gt;"Critical",OR(Table1[[#This Row],[Movement_Class]]="Slow-Moving",Table1[[#This Row],[Movement_Class]]="Non-Moving")),Table1[[#This Row],[Excess_Inventory_Value_INR]],0)</f>
        <v>0</v>
      </c>
      <c r="AS19" s="7" t="s">
        <v>622</v>
      </c>
      <c r="AT19">
        <v>7981070</v>
      </c>
    </row>
    <row r="20" spans="1:46" x14ac:dyDescent="0.25">
      <c r="A20" t="s">
        <v>537</v>
      </c>
      <c r="B20" t="s">
        <v>93</v>
      </c>
      <c r="C20" t="s">
        <v>26</v>
      </c>
      <c r="D20" t="s">
        <v>60</v>
      </c>
      <c r="E20" t="s">
        <v>28</v>
      </c>
      <c r="F20">
        <v>44</v>
      </c>
      <c r="G20">
        <v>65</v>
      </c>
      <c r="H20">
        <v>46</v>
      </c>
      <c r="I20">
        <v>64</v>
      </c>
      <c r="J20">
        <v>9320</v>
      </c>
      <c r="K20">
        <v>30</v>
      </c>
      <c r="L20">
        <v>1</v>
      </c>
      <c r="M20">
        <v>83</v>
      </c>
      <c r="N20" t="s">
        <v>58</v>
      </c>
      <c r="O20">
        <v>0.23300000000000001</v>
      </c>
      <c r="P20">
        <v>138979.84</v>
      </c>
      <c r="Q20">
        <f>(Table1[[#This Row],[Closing_Stock]]*Table1[[#This Row],[Unit_Cost_INR]])</f>
        <v>596480</v>
      </c>
      <c r="R20">
        <f>(Table1[[#This Row],[Unit_Cost_INR]]*Table1[[#This Row],[Consumption]])</f>
        <v>428720</v>
      </c>
      <c r="S20">
        <f>IFERROR(Table1[[#This Row],[Annual_Consumption_Value_INR]]/Table1[[#This Row],[Inventory_Value_INR]],0)</f>
        <v>0.71875</v>
      </c>
      <c r="T20">
        <f>IFERROR(365/Table1[[#This Row],[Inventory_Turnover]],0)</f>
        <v>507.82608695652175</v>
      </c>
      <c r="U20" t="str">
        <f>IF(Table1[[#This Row],[Consumption]]=0,"Non-Moving", IF(Table1[[#This Row],[Days_Since_Last_Movement]]&gt;90,"Slow-Moving","Active"))</f>
        <v>Active</v>
      </c>
      <c r="V20">
        <f>SUM($Q$2:Q20)</f>
        <v>22943930</v>
      </c>
      <c r="W20">
        <f>Table1[[#This Row],[Cumulative_Inventory_Value]]/$AP$3</f>
        <v>0.30310876345541343</v>
      </c>
      <c r="X20" t="str">
        <f>IF(Table1[[#This Row],[Cumulative_Value_%]]&lt;80%,"A", IF(Table1[[#This Row],[Cumulative_Value_%]]&lt;=95%,"B","C"))</f>
        <v>A</v>
      </c>
      <c r="Y20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20">
        <f>Table1[[#This Row],[Consumption]]/365</f>
        <v>0.12602739726027398</v>
      </c>
      <c r="AA20">
        <f>Table1[[#This Row],[Avg_Daily_Consumption]]*Table1[[#This Row],[Lead_Time_Days]]+Table1[[#This Row],[Safety_Stock]]</f>
        <v>7.7808219178082201</v>
      </c>
      <c r="AB20">
        <f>IFERROR(Table1[[#This Row],[Closing_Stock]]/Table1[[#This Row],[Avg_Daily_Consumption]],9999)</f>
        <v>507.82608695652169</v>
      </c>
      <c r="AC20">
        <f>MAX(1,ROUNDUP(Table1[[#This Row],[Avg_Daily_Consumption]]*Table1[[#This Row],[Lead_Time_Days]]*0.8,0))</f>
        <v>4</v>
      </c>
      <c r="AD20" t="str">
        <f>IF(Table1[[#This Row],[Closing_Stock]]&lt;Table1[[#This Row],[Reorder_Point]],"Stock-out Risk","Adequate")</f>
        <v>Adequate</v>
      </c>
      <c r="AE20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20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20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20" s="11">
        <f>MAX(0,Table1[[#This Row],[Closing_Stock]]-Table1[[#This Row],[Reorder_Point]])</f>
        <v>56.219178082191782</v>
      </c>
      <c r="AI20" s="11">
        <f>Table1[[#This Row],[Excess_Stock_Units]]*Table1[[#This Row],[Unit_Cost_INR]]</f>
        <v>523962.73972602742</v>
      </c>
      <c r="AJ20" s="11">
        <f>IF(Table1[[#This Row],[Criticality]]="Critical",0,Table1[[#This Row],[Excess_Inventory_Value_INR]])</f>
        <v>523962.73972602742</v>
      </c>
      <c r="AK20" s="11">
        <f>IF(AND(Table1[[#This Row],[Criticality]]&lt;&gt;"Critical",OR(Table1[[#This Row],[Movement_Class]]="Slow-Moving",Table1[[#This Row],[Movement_Class]]="Non-Moving")),Table1[[#This Row],[Excess_Inventory_Value_INR]],0)</f>
        <v>0</v>
      </c>
      <c r="AS20" s="7" t="s">
        <v>623</v>
      </c>
      <c r="AT20">
        <v>17716740</v>
      </c>
    </row>
    <row r="21" spans="1:46" x14ac:dyDescent="0.25">
      <c r="A21" t="s">
        <v>160</v>
      </c>
      <c r="B21" t="s">
        <v>85</v>
      </c>
      <c r="C21" t="s">
        <v>41</v>
      </c>
      <c r="D21" t="s">
        <v>27</v>
      </c>
      <c r="E21" t="s">
        <v>28</v>
      </c>
      <c r="F21">
        <v>20</v>
      </c>
      <c r="G21">
        <v>19</v>
      </c>
      <c r="H21">
        <v>1</v>
      </c>
      <c r="I21">
        <v>88</v>
      </c>
      <c r="J21">
        <v>6650</v>
      </c>
      <c r="K21">
        <v>15</v>
      </c>
      <c r="L21">
        <v>1</v>
      </c>
      <c r="M21">
        <v>338</v>
      </c>
      <c r="N21" t="s">
        <v>49</v>
      </c>
      <c r="O21">
        <v>0.155</v>
      </c>
      <c r="P21">
        <v>90706</v>
      </c>
      <c r="Q21">
        <f>(Table1[[#This Row],[Closing_Stock]]*Table1[[#This Row],[Unit_Cost_INR]])</f>
        <v>585200</v>
      </c>
      <c r="R21">
        <f>(Table1[[#This Row],[Unit_Cost_INR]]*Table1[[#This Row],[Consumption]])</f>
        <v>6650</v>
      </c>
      <c r="S21">
        <f>IFERROR(Table1[[#This Row],[Annual_Consumption_Value_INR]]/Table1[[#This Row],[Inventory_Value_INR]],0)</f>
        <v>1.1363636363636364E-2</v>
      </c>
      <c r="T21">
        <f>IFERROR(365/Table1[[#This Row],[Inventory_Turnover]],0)</f>
        <v>32120</v>
      </c>
      <c r="U21" t="str">
        <f>IF(Table1[[#This Row],[Consumption]]=0,"Non-Moving", IF(Table1[[#This Row],[Days_Since_Last_Movement]]&gt;90,"Slow-Moving","Active"))</f>
        <v>Slow-Moving</v>
      </c>
      <c r="V21">
        <f>SUM($Q$2:Q21)</f>
        <v>23529130</v>
      </c>
      <c r="W21">
        <f>Table1[[#This Row],[Cumulative_Inventory_Value]]/$AP$3</f>
        <v>0.31083975149338722</v>
      </c>
      <c r="X21" t="str">
        <f>IF(Table1[[#This Row],[Cumulative_Value_%]]&lt;80%,"A", IF(Table1[[#This Row],[Cumulative_Value_%]]&lt;=95%,"B","C"))</f>
        <v>A</v>
      </c>
      <c r="Y21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High Review</v>
      </c>
      <c r="Z21">
        <f>Table1[[#This Row],[Consumption]]/365</f>
        <v>2.7397260273972603E-3</v>
      </c>
      <c r="AA21">
        <f>Table1[[#This Row],[Avg_Daily_Consumption]]*Table1[[#This Row],[Lead_Time_Days]]+Table1[[#This Row],[Safety_Stock]]</f>
        <v>1.0410958904109588</v>
      </c>
      <c r="AB21">
        <f>IFERROR(Table1[[#This Row],[Closing_Stock]]/Table1[[#This Row],[Avg_Daily_Consumption]],9999)</f>
        <v>32120</v>
      </c>
      <c r="AC21">
        <f>MAX(1,ROUNDUP(Table1[[#This Row],[Avg_Daily_Consumption]]*Table1[[#This Row],[Lead_Time_Days]]*0.8,0))</f>
        <v>1</v>
      </c>
      <c r="AD21" t="str">
        <f>IF(Table1[[#This Row],[Closing_Stock]]&lt;Table1[[#This Row],[Reorder_Point]],"Stock-out Risk","Adequate")</f>
        <v>Adequate</v>
      </c>
      <c r="AE21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21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 Safety Stock</v>
      </c>
      <c r="AG21">
        <f>IF(Table1[[#This Row],[Action_Recommendation]]="Review for Disposal/De-procurement",Table1[[#This Row],[Inventory_Value_INR]]*70%,IF(Table1[[#This Row],[Action_Recommendation]]="Review Safety Stock",Table1[[#This Row],[Inventory_Value_INR]]*20%,0))</f>
        <v>117040</v>
      </c>
      <c r="AH21" s="11">
        <f>MAX(0,Table1[[#This Row],[Closing_Stock]]-Table1[[#This Row],[Reorder_Point]])</f>
        <v>86.958904109589042</v>
      </c>
      <c r="AI21" s="11">
        <f>Table1[[#This Row],[Excess_Stock_Units]]*Table1[[#This Row],[Unit_Cost_INR]]</f>
        <v>578276.71232876717</v>
      </c>
      <c r="AJ21" s="11">
        <f>IF(Table1[[#This Row],[Criticality]]="Critical",0,Table1[[#This Row],[Excess_Inventory_Value_INR]])</f>
        <v>578276.71232876717</v>
      </c>
      <c r="AK21" s="11">
        <f>IF(AND(Table1[[#This Row],[Criticality]]&lt;&gt;"Critical",OR(Table1[[#This Row],[Movement_Class]]="Slow-Moving",Table1[[#This Row],[Movement_Class]]="Non-Moving")),Table1[[#This Row],[Excess_Inventory_Value_INR]],0)</f>
        <v>578276.71232876717</v>
      </c>
      <c r="AS21" s="7" t="s">
        <v>602</v>
      </c>
      <c r="AT21">
        <v>75695370</v>
      </c>
    </row>
    <row r="22" spans="1:46" x14ac:dyDescent="0.25">
      <c r="A22" t="s">
        <v>268</v>
      </c>
      <c r="B22" t="s">
        <v>71</v>
      </c>
      <c r="C22" t="s">
        <v>20</v>
      </c>
      <c r="D22" t="s">
        <v>66</v>
      </c>
      <c r="E22" t="s">
        <v>37</v>
      </c>
      <c r="F22">
        <v>21</v>
      </c>
      <c r="G22">
        <v>11</v>
      </c>
      <c r="H22">
        <v>8</v>
      </c>
      <c r="I22">
        <v>24</v>
      </c>
      <c r="J22">
        <v>23350</v>
      </c>
      <c r="K22">
        <v>34</v>
      </c>
      <c r="L22">
        <v>0</v>
      </c>
      <c r="M22">
        <v>59</v>
      </c>
      <c r="N22" t="s">
        <v>33</v>
      </c>
      <c r="O22">
        <v>0.159</v>
      </c>
      <c r="P22">
        <v>89103.6</v>
      </c>
      <c r="Q22">
        <f>(Table1[[#This Row],[Closing_Stock]]*Table1[[#This Row],[Unit_Cost_INR]])</f>
        <v>560400</v>
      </c>
      <c r="R22">
        <f>(Table1[[#This Row],[Unit_Cost_INR]]*Table1[[#This Row],[Consumption]])</f>
        <v>186800</v>
      </c>
      <c r="S22">
        <f>IFERROR(Table1[[#This Row],[Annual_Consumption_Value_INR]]/Table1[[#This Row],[Inventory_Value_INR]],0)</f>
        <v>0.33333333333333331</v>
      </c>
      <c r="T22">
        <f>IFERROR(365/Table1[[#This Row],[Inventory_Turnover]],0)</f>
        <v>1095</v>
      </c>
      <c r="U22" t="str">
        <f>IF(Table1[[#This Row],[Consumption]]=0,"Non-Moving", IF(Table1[[#This Row],[Days_Since_Last_Movement]]&gt;90,"Slow-Moving","Active"))</f>
        <v>Active</v>
      </c>
      <c r="V22">
        <f>SUM($Q$2:Q22)</f>
        <v>24089530</v>
      </c>
      <c r="W22">
        <f>Table1[[#This Row],[Cumulative_Inventory_Value]]/$AP$3</f>
        <v>0.31824311050992948</v>
      </c>
      <c r="X22" t="str">
        <f>IF(Table1[[#This Row],[Cumulative_Value_%]]&lt;80%,"A", IF(Table1[[#This Row],[Cumulative_Value_%]]&lt;=95%,"B","C"))</f>
        <v>A</v>
      </c>
      <c r="Y22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22">
        <f>Table1[[#This Row],[Consumption]]/365</f>
        <v>2.1917808219178082E-2</v>
      </c>
      <c r="AA22">
        <f>Table1[[#This Row],[Avg_Daily_Consumption]]*Table1[[#This Row],[Lead_Time_Days]]+Table1[[#This Row],[Safety_Stock]]</f>
        <v>1.7452054794520548</v>
      </c>
      <c r="AB22">
        <f>IFERROR(Table1[[#This Row],[Closing_Stock]]/Table1[[#This Row],[Avg_Daily_Consumption]],9999)</f>
        <v>1095</v>
      </c>
      <c r="AC22">
        <f>MAX(1,ROUNDUP(Table1[[#This Row],[Avg_Daily_Consumption]]*Table1[[#This Row],[Lead_Time_Days]]*0.8,0))</f>
        <v>1</v>
      </c>
      <c r="AD22" t="str">
        <f>IF(Table1[[#This Row],[Closing_Stock]]&lt;Table1[[#This Row],[Reorder_Point]],"Stock-out Risk","Adequate")</f>
        <v>Adequate</v>
      </c>
      <c r="AE22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22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22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22" s="11">
        <f>MAX(0,Table1[[#This Row],[Closing_Stock]]-Table1[[#This Row],[Reorder_Point]])</f>
        <v>22.254794520547946</v>
      </c>
      <c r="AI22" s="11">
        <f>Table1[[#This Row],[Excess_Stock_Units]]*Table1[[#This Row],[Unit_Cost_INR]]</f>
        <v>519649.45205479453</v>
      </c>
      <c r="AJ22" s="11">
        <f>IF(Table1[[#This Row],[Criticality]]="Critical",0,Table1[[#This Row],[Excess_Inventory_Value_INR]])</f>
        <v>0</v>
      </c>
      <c r="AK22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23" spans="1:46" x14ac:dyDescent="0.25">
      <c r="A23" t="s">
        <v>401</v>
      </c>
      <c r="B23" t="s">
        <v>152</v>
      </c>
      <c r="C23" t="s">
        <v>20</v>
      </c>
      <c r="D23" t="s">
        <v>60</v>
      </c>
      <c r="E23" t="s">
        <v>46</v>
      </c>
      <c r="F23">
        <v>19</v>
      </c>
      <c r="G23">
        <v>41</v>
      </c>
      <c r="H23">
        <v>6</v>
      </c>
      <c r="I23">
        <v>47</v>
      </c>
      <c r="J23">
        <v>11770</v>
      </c>
      <c r="K23">
        <v>25</v>
      </c>
      <c r="L23">
        <v>0</v>
      </c>
      <c r="M23">
        <v>320</v>
      </c>
      <c r="N23" t="s">
        <v>38</v>
      </c>
      <c r="O23">
        <v>0.218</v>
      </c>
      <c r="P23">
        <v>120595.42</v>
      </c>
      <c r="Q23">
        <f>(Table1[[#This Row],[Closing_Stock]]*Table1[[#This Row],[Unit_Cost_INR]])</f>
        <v>553190</v>
      </c>
      <c r="R23">
        <f>(Table1[[#This Row],[Unit_Cost_INR]]*Table1[[#This Row],[Consumption]])</f>
        <v>70620</v>
      </c>
      <c r="S23">
        <f>IFERROR(Table1[[#This Row],[Annual_Consumption_Value_INR]]/Table1[[#This Row],[Inventory_Value_INR]],0)</f>
        <v>0.1276595744680851</v>
      </c>
      <c r="T23">
        <f>IFERROR(365/Table1[[#This Row],[Inventory_Turnover]],0)</f>
        <v>2859.166666666667</v>
      </c>
      <c r="U23" t="str">
        <f>IF(Table1[[#This Row],[Consumption]]=0,"Non-Moving", IF(Table1[[#This Row],[Days_Since_Last_Movement]]&gt;90,"Slow-Moving","Active"))</f>
        <v>Slow-Moving</v>
      </c>
      <c r="V23">
        <f>SUM($Q$2:Q23)</f>
        <v>24642720</v>
      </c>
      <c r="W23">
        <f>Table1[[#This Row],[Cumulative_Inventory_Value]]/$AP$3</f>
        <v>0.32555121931499903</v>
      </c>
      <c r="X23" t="str">
        <f>IF(Table1[[#This Row],[Cumulative_Value_%]]&lt;80%,"A", IF(Table1[[#This Row],[Cumulative_Value_%]]&lt;=95%,"B","C"))</f>
        <v>A</v>
      </c>
      <c r="Y23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High Review</v>
      </c>
      <c r="Z23">
        <f>Table1[[#This Row],[Consumption]]/365</f>
        <v>1.643835616438356E-2</v>
      </c>
      <c r="AA23">
        <f>Table1[[#This Row],[Avg_Daily_Consumption]]*Table1[[#This Row],[Lead_Time_Days]]+Table1[[#This Row],[Safety_Stock]]</f>
        <v>1.4109589041095889</v>
      </c>
      <c r="AB23">
        <f>IFERROR(Table1[[#This Row],[Closing_Stock]]/Table1[[#This Row],[Avg_Daily_Consumption]],9999)</f>
        <v>2859.166666666667</v>
      </c>
      <c r="AC23">
        <f>MAX(1,ROUNDUP(Table1[[#This Row],[Avg_Daily_Consumption]]*Table1[[#This Row],[Lead_Time_Days]]*0.8,0))</f>
        <v>1</v>
      </c>
      <c r="AD23" t="str">
        <f>IF(Table1[[#This Row],[Closing_Stock]]&lt;Table1[[#This Row],[Reorder_Point]],"Stock-out Risk","Adequate")</f>
        <v>Adequate</v>
      </c>
      <c r="AE23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23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 Safety Stock</v>
      </c>
      <c r="AG23">
        <f>IF(Table1[[#This Row],[Action_Recommendation]]="Review for Disposal/De-procurement",Table1[[#This Row],[Inventory_Value_INR]]*70%,IF(Table1[[#This Row],[Action_Recommendation]]="Review Safety Stock",Table1[[#This Row],[Inventory_Value_INR]]*20%,0))</f>
        <v>110638</v>
      </c>
      <c r="AH23" s="11">
        <f>MAX(0,Table1[[#This Row],[Closing_Stock]]-Table1[[#This Row],[Reorder_Point]])</f>
        <v>45.589041095890408</v>
      </c>
      <c r="AI23" s="11">
        <f>Table1[[#This Row],[Excess_Stock_Units]]*Table1[[#This Row],[Unit_Cost_INR]]</f>
        <v>536583.01369863015</v>
      </c>
      <c r="AJ23" s="11">
        <f>IF(Table1[[#This Row],[Criticality]]="Critical",0,Table1[[#This Row],[Excess_Inventory_Value_INR]])</f>
        <v>536583.01369863015</v>
      </c>
      <c r="AK23" s="11">
        <f>IF(AND(Table1[[#This Row],[Criticality]]&lt;&gt;"Critical",OR(Table1[[#This Row],[Movement_Class]]="Slow-Moving",Table1[[#This Row],[Movement_Class]]="Non-Moving")),Table1[[#This Row],[Excess_Inventory_Value_INR]],0)</f>
        <v>536583.01369863015</v>
      </c>
    </row>
    <row r="24" spans="1:46" x14ac:dyDescent="0.25">
      <c r="A24" t="s">
        <v>235</v>
      </c>
      <c r="B24" t="s">
        <v>75</v>
      </c>
      <c r="C24" t="s">
        <v>36</v>
      </c>
      <c r="D24" t="s">
        <v>27</v>
      </c>
      <c r="E24" t="s">
        <v>37</v>
      </c>
      <c r="F24">
        <v>11</v>
      </c>
      <c r="G24">
        <v>56</v>
      </c>
      <c r="H24">
        <v>0</v>
      </c>
      <c r="I24">
        <v>83</v>
      </c>
      <c r="J24">
        <v>6570</v>
      </c>
      <c r="K24">
        <v>38</v>
      </c>
      <c r="L24">
        <v>0</v>
      </c>
      <c r="M24">
        <v>471</v>
      </c>
      <c r="N24" t="s">
        <v>23</v>
      </c>
      <c r="O24">
        <v>0.26400000000000001</v>
      </c>
      <c r="P24">
        <v>143961.84</v>
      </c>
      <c r="Q24">
        <f>(Table1[[#This Row],[Closing_Stock]]*Table1[[#This Row],[Unit_Cost_INR]])</f>
        <v>545310</v>
      </c>
      <c r="R24">
        <f>(Table1[[#This Row],[Unit_Cost_INR]]*Table1[[#This Row],[Consumption]])</f>
        <v>0</v>
      </c>
      <c r="S24">
        <f>IFERROR(Table1[[#This Row],[Annual_Consumption_Value_INR]]/Table1[[#This Row],[Inventory_Value_INR]],0)</f>
        <v>0</v>
      </c>
      <c r="T24">
        <f>IFERROR(365/Table1[[#This Row],[Inventory_Turnover]],0)</f>
        <v>0</v>
      </c>
      <c r="U24" t="str">
        <f>IF(Table1[[#This Row],[Consumption]]=0,"Non-Moving", IF(Table1[[#This Row],[Days_Since_Last_Movement]]&gt;90,"Slow-Moving","Active"))</f>
        <v>Non-Moving</v>
      </c>
      <c r="V24">
        <f>SUM($Q$2:Q24)</f>
        <v>25188030</v>
      </c>
      <c r="W24">
        <f>Table1[[#This Row],[Cumulative_Inventory_Value]]/$AP$3</f>
        <v>0.3327552266406783</v>
      </c>
      <c r="X24" t="str">
        <f>IF(Table1[[#This Row],[Cumulative_Value_%]]&lt;80%,"A", IF(Table1[[#This Row],[Cumulative_Value_%]]&lt;=95%,"B","C"))</f>
        <v>A</v>
      </c>
      <c r="Y24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Critical Review</v>
      </c>
      <c r="Z24">
        <f>Table1[[#This Row],[Consumption]]/365</f>
        <v>0</v>
      </c>
      <c r="AA24">
        <f>Table1[[#This Row],[Avg_Daily_Consumption]]*Table1[[#This Row],[Lead_Time_Days]]+Table1[[#This Row],[Safety_Stock]]</f>
        <v>1</v>
      </c>
      <c r="AB24">
        <f>IFERROR(Table1[[#This Row],[Closing_Stock]]/Table1[[#This Row],[Avg_Daily_Consumption]],9999)</f>
        <v>9999</v>
      </c>
      <c r="AC24">
        <f>MAX(1,ROUNDUP(Table1[[#This Row],[Avg_Daily_Consumption]]*Table1[[#This Row],[Lead_Time_Days]]*0.8,0))</f>
        <v>1</v>
      </c>
      <c r="AD24" t="str">
        <f>IF(Table1[[#This Row],[Closing_Stock]]&lt;Table1[[#This Row],[Reorder_Point]],"Stock-out Risk","Adequate")</f>
        <v>Adequate</v>
      </c>
      <c r="AE24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24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24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24" s="11">
        <f>MAX(0,Table1[[#This Row],[Closing_Stock]]-Table1[[#This Row],[Reorder_Point]])</f>
        <v>82</v>
      </c>
      <c r="AI24" s="11">
        <f>Table1[[#This Row],[Excess_Stock_Units]]*Table1[[#This Row],[Unit_Cost_INR]]</f>
        <v>538740</v>
      </c>
      <c r="AJ24" s="11">
        <f>IF(Table1[[#This Row],[Criticality]]="Critical",0,Table1[[#This Row],[Excess_Inventory_Value_INR]])</f>
        <v>0</v>
      </c>
      <c r="AK24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25" spans="1:46" x14ac:dyDescent="0.25">
      <c r="A25" t="s">
        <v>182</v>
      </c>
      <c r="B25" t="s">
        <v>85</v>
      </c>
      <c r="C25" t="s">
        <v>41</v>
      </c>
      <c r="D25" t="s">
        <v>21</v>
      </c>
      <c r="E25" t="s">
        <v>28</v>
      </c>
      <c r="F25">
        <v>69</v>
      </c>
      <c r="G25">
        <v>57</v>
      </c>
      <c r="H25">
        <v>59</v>
      </c>
      <c r="I25">
        <v>67</v>
      </c>
      <c r="J25">
        <v>8110</v>
      </c>
      <c r="K25">
        <v>11</v>
      </c>
      <c r="L25">
        <v>0</v>
      </c>
      <c r="M25">
        <v>38</v>
      </c>
      <c r="N25" t="s">
        <v>38</v>
      </c>
      <c r="O25">
        <v>0.161</v>
      </c>
      <c r="P25">
        <v>87482.57</v>
      </c>
      <c r="Q25">
        <f>(Table1[[#This Row],[Closing_Stock]]*Table1[[#This Row],[Unit_Cost_INR]])</f>
        <v>543370</v>
      </c>
      <c r="R25">
        <f>(Table1[[#This Row],[Unit_Cost_INR]]*Table1[[#This Row],[Consumption]])</f>
        <v>478490</v>
      </c>
      <c r="S25">
        <f>IFERROR(Table1[[#This Row],[Annual_Consumption_Value_INR]]/Table1[[#This Row],[Inventory_Value_INR]],0)</f>
        <v>0.88059701492537312</v>
      </c>
      <c r="T25">
        <f>IFERROR(365/Table1[[#This Row],[Inventory_Turnover]],0)</f>
        <v>414.49152542372883</v>
      </c>
      <c r="U25" t="str">
        <f>IF(Table1[[#This Row],[Consumption]]=0,"Non-Moving", IF(Table1[[#This Row],[Days_Since_Last_Movement]]&gt;90,"Slow-Moving","Active"))</f>
        <v>Active</v>
      </c>
      <c r="V25">
        <f>SUM($Q$2:Q25)</f>
        <v>25731400</v>
      </c>
      <c r="W25">
        <f>Table1[[#This Row],[Cumulative_Inventory_Value]]/$AP$3</f>
        <v>0.33993360492193908</v>
      </c>
      <c r="X25" t="str">
        <f>IF(Table1[[#This Row],[Cumulative_Value_%]]&lt;80%,"A", IF(Table1[[#This Row],[Cumulative_Value_%]]&lt;=95%,"B","C"))</f>
        <v>A</v>
      </c>
      <c r="Y25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25">
        <f>Table1[[#This Row],[Consumption]]/365</f>
        <v>0.16164383561643836</v>
      </c>
      <c r="AA25">
        <f>Table1[[#This Row],[Avg_Daily_Consumption]]*Table1[[#This Row],[Lead_Time_Days]]+Table1[[#This Row],[Safety_Stock]]</f>
        <v>3.7780821917808218</v>
      </c>
      <c r="AB25">
        <f>IFERROR(Table1[[#This Row],[Closing_Stock]]/Table1[[#This Row],[Avg_Daily_Consumption]],9999)</f>
        <v>414.49152542372883</v>
      </c>
      <c r="AC25">
        <f>MAX(1,ROUNDUP(Table1[[#This Row],[Avg_Daily_Consumption]]*Table1[[#This Row],[Lead_Time_Days]]*0.8,0))</f>
        <v>2</v>
      </c>
      <c r="AD25" t="str">
        <f>IF(Table1[[#This Row],[Closing_Stock]]&lt;Table1[[#This Row],[Reorder_Point]],"Stock-out Risk","Adequate")</f>
        <v>Adequate</v>
      </c>
      <c r="AE25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25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25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25" s="11">
        <f>MAX(0,Table1[[#This Row],[Closing_Stock]]-Table1[[#This Row],[Reorder_Point]])</f>
        <v>63.221917808219175</v>
      </c>
      <c r="AI25" s="11">
        <f>Table1[[#This Row],[Excess_Stock_Units]]*Table1[[#This Row],[Unit_Cost_INR]]</f>
        <v>512729.75342465751</v>
      </c>
      <c r="AJ25" s="11">
        <f>IF(Table1[[#This Row],[Criticality]]="Critical",0,Table1[[#This Row],[Excess_Inventory_Value_INR]])</f>
        <v>512729.75342465751</v>
      </c>
      <c r="AK25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26" spans="1:46" x14ac:dyDescent="0.25">
      <c r="A26" t="s">
        <v>303</v>
      </c>
      <c r="B26" t="s">
        <v>129</v>
      </c>
      <c r="C26" t="s">
        <v>52</v>
      </c>
      <c r="D26" t="s">
        <v>42</v>
      </c>
      <c r="E26" t="s">
        <v>37</v>
      </c>
      <c r="F26">
        <v>29</v>
      </c>
      <c r="G26">
        <v>51</v>
      </c>
      <c r="H26">
        <v>35</v>
      </c>
      <c r="I26">
        <v>45</v>
      </c>
      <c r="J26">
        <v>11900</v>
      </c>
      <c r="K26">
        <v>47</v>
      </c>
      <c r="L26">
        <v>0</v>
      </c>
      <c r="M26">
        <v>15</v>
      </c>
      <c r="N26" t="s">
        <v>23</v>
      </c>
      <c r="O26">
        <v>0.20300000000000001</v>
      </c>
      <c r="P26">
        <v>108706.5</v>
      </c>
      <c r="Q26">
        <f>(Table1[[#This Row],[Closing_Stock]]*Table1[[#This Row],[Unit_Cost_INR]])</f>
        <v>535500</v>
      </c>
      <c r="R26">
        <f>(Table1[[#This Row],[Unit_Cost_INR]]*Table1[[#This Row],[Consumption]])</f>
        <v>416500</v>
      </c>
      <c r="S26">
        <f>IFERROR(Table1[[#This Row],[Annual_Consumption_Value_INR]]/Table1[[#This Row],[Inventory_Value_INR]],0)</f>
        <v>0.77777777777777779</v>
      </c>
      <c r="T26">
        <f>IFERROR(365/Table1[[#This Row],[Inventory_Turnover]],0)</f>
        <v>469.28571428571428</v>
      </c>
      <c r="U26" t="str">
        <f>IF(Table1[[#This Row],[Consumption]]=0,"Non-Moving", IF(Table1[[#This Row],[Days_Since_Last_Movement]]&gt;90,"Slow-Moving","Active"))</f>
        <v>Active</v>
      </c>
      <c r="V26">
        <f>SUM($Q$2:Q26)</f>
        <v>26266900</v>
      </c>
      <c r="W26">
        <f>Table1[[#This Row],[Cumulative_Inventory_Value]]/$AP$3</f>
        <v>0.34700801383228591</v>
      </c>
      <c r="X26" t="str">
        <f>IF(Table1[[#This Row],[Cumulative_Value_%]]&lt;80%,"A", IF(Table1[[#This Row],[Cumulative_Value_%]]&lt;=95%,"B","C"))</f>
        <v>A</v>
      </c>
      <c r="Y26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26">
        <f>Table1[[#This Row],[Consumption]]/365</f>
        <v>9.5890410958904104E-2</v>
      </c>
      <c r="AA26">
        <f>Table1[[#This Row],[Avg_Daily_Consumption]]*Table1[[#This Row],[Lead_Time_Days]]+Table1[[#This Row],[Safety_Stock]]</f>
        <v>8.506849315068493</v>
      </c>
      <c r="AB26">
        <f>IFERROR(Table1[[#This Row],[Closing_Stock]]/Table1[[#This Row],[Avg_Daily_Consumption]],9999)</f>
        <v>469.28571428571433</v>
      </c>
      <c r="AC26">
        <f>MAX(1,ROUNDUP(Table1[[#This Row],[Avg_Daily_Consumption]]*Table1[[#This Row],[Lead_Time_Days]]*0.8,0))</f>
        <v>4</v>
      </c>
      <c r="AD26" t="str">
        <f>IF(Table1[[#This Row],[Closing_Stock]]&lt;Table1[[#This Row],[Reorder_Point]],"Stock-out Risk","Adequate")</f>
        <v>Adequate</v>
      </c>
      <c r="AE26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26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26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26" s="11">
        <f>MAX(0,Table1[[#This Row],[Closing_Stock]]-Table1[[#This Row],[Reorder_Point]])</f>
        <v>36.493150684931507</v>
      </c>
      <c r="AI26" s="11">
        <f>Table1[[#This Row],[Excess_Stock_Units]]*Table1[[#This Row],[Unit_Cost_INR]]</f>
        <v>434268.49315068492</v>
      </c>
      <c r="AJ26" s="11">
        <f>IF(Table1[[#This Row],[Criticality]]="Critical",0,Table1[[#This Row],[Excess_Inventory_Value_INR]])</f>
        <v>0</v>
      </c>
      <c r="AK26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27" spans="1:46" x14ac:dyDescent="0.25">
      <c r="A27" t="s">
        <v>67</v>
      </c>
      <c r="B27" t="s">
        <v>48</v>
      </c>
      <c r="C27" t="s">
        <v>41</v>
      </c>
      <c r="D27" t="s">
        <v>60</v>
      </c>
      <c r="E27" t="s">
        <v>28</v>
      </c>
      <c r="F27">
        <v>93</v>
      </c>
      <c r="G27">
        <v>213</v>
      </c>
      <c r="H27">
        <v>178</v>
      </c>
      <c r="I27">
        <v>128</v>
      </c>
      <c r="J27">
        <v>4100</v>
      </c>
      <c r="K27">
        <v>27</v>
      </c>
      <c r="L27">
        <v>1</v>
      </c>
      <c r="M27">
        <v>10</v>
      </c>
      <c r="N27" t="s">
        <v>38</v>
      </c>
      <c r="O27">
        <v>0.16</v>
      </c>
      <c r="P27">
        <v>83968</v>
      </c>
      <c r="Q27">
        <f>(Table1[[#This Row],[Closing_Stock]]*Table1[[#This Row],[Unit_Cost_INR]])</f>
        <v>524800</v>
      </c>
      <c r="R27">
        <f>(Table1[[#This Row],[Unit_Cost_INR]]*Table1[[#This Row],[Consumption]])</f>
        <v>729800</v>
      </c>
      <c r="S27">
        <f>IFERROR(Table1[[#This Row],[Annual_Consumption_Value_INR]]/Table1[[#This Row],[Inventory_Value_INR]],0)</f>
        <v>1.390625</v>
      </c>
      <c r="T27">
        <f>IFERROR(365/Table1[[#This Row],[Inventory_Turnover]],0)</f>
        <v>262.47191011235952</v>
      </c>
      <c r="U27" t="str">
        <f>IF(Table1[[#This Row],[Consumption]]=0,"Non-Moving", IF(Table1[[#This Row],[Days_Since_Last_Movement]]&gt;90,"Slow-Moving","Active"))</f>
        <v>Active</v>
      </c>
      <c r="V27">
        <f>SUM($Q$2:Q27)</f>
        <v>26791700</v>
      </c>
      <c r="W27">
        <f>Table1[[#This Row],[Cumulative_Inventory_Value]]/$AP$3</f>
        <v>0.3539410666729022</v>
      </c>
      <c r="X27" t="str">
        <f>IF(Table1[[#This Row],[Cumulative_Value_%]]&lt;80%,"A", IF(Table1[[#This Row],[Cumulative_Value_%]]&lt;=95%,"B","C"))</f>
        <v>A</v>
      </c>
      <c r="Y27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27">
        <f>Table1[[#This Row],[Consumption]]/365</f>
        <v>0.48767123287671232</v>
      </c>
      <c r="AA27">
        <f>Table1[[#This Row],[Avg_Daily_Consumption]]*Table1[[#This Row],[Lead_Time_Days]]+Table1[[#This Row],[Safety_Stock]]</f>
        <v>24.167123287671231</v>
      </c>
      <c r="AB27">
        <f>IFERROR(Table1[[#This Row],[Closing_Stock]]/Table1[[#This Row],[Avg_Daily_Consumption]],9999)</f>
        <v>262.47191011235958</v>
      </c>
      <c r="AC27">
        <f>MAX(1,ROUNDUP(Table1[[#This Row],[Avg_Daily_Consumption]]*Table1[[#This Row],[Lead_Time_Days]]*0.8,0))</f>
        <v>11</v>
      </c>
      <c r="AD27" t="str">
        <f>IF(Table1[[#This Row],[Closing_Stock]]&lt;Table1[[#This Row],[Reorder_Point]],"Stock-out Risk","Adequate")</f>
        <v>Adequate</v>
      </c>
      <c r="AE27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27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27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27" s="11">
        <f>MAX(0,Table1[[#This Row],[Closing_Stock]]-Table1[[#This Row],[Reorder_Point]])</f>
        <v>103.83287671232877</v>
      </c>
      <c r="AI27" s="11">
        <f>Table1[[#This Row],[Excess_Stock_Units]]*Table1[[#This Row],[Unit_Cost_INR]]</f>
        <v>425714.79452054796</v>
      </c>
      <c r="AJ27" s="11">
        <f>IF(Table1[[#This Row],[Criticality]]="Critical",0,Table1[[#This Row],[Excess_Inventory_Value_INR]])</f>
        <v>425714.79452054796</v>
      </c>
      <c r="AK27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28" spans="1:46" x14ac:dyDescent="0.25">
      <c r="A28" t="s">
        <v>396</v>
      </c>
      <c r="B28" t="s">
        <v>44</v>
      </c>
      <c r="C28" t="s">
        <v>41</v>
      </c>
      <c r="D28" t="s">
        <v>27</v>
      </c>
      <c r="E28" t="s">
        <v>46</v>
      </c>
      <c r="F28">
        <v>32</v>
      </c>
      <c r="G28">
        <v>139</v>
      </c>
      <c r="H28">
        <v>4</v>
      </c>
      <c r="I28">
        <v>91</v>
      </c>
      <c r="J28">
        <v>5700</v>
      </c>
      <c r="K28">
        <v>23</v>
      </c>
      <c r="L28">
        <v>0</v>
      </c>
      <c r="M28">
        <v>148</v>
      </c>
      <c r="N28" t="s">
        <v>49</v>
      </c>
      <c r="O28">
        <v>0.253</v>
      </c>
      <c r="P28">
        <v>131231.1</v>
      </c>
      <c r="Q28">
        <f>(Table1[[#This Row],[Closing_Stock]]*Table1[[#This Row],[Unit_Cost_INR]])</f>
        <v>518700</v>
      </c>
      <c r="R28">
        <f>(Table1[[#This Row],[Unit_Cost_INR]]*Table1[[#This Row],[Consumption]])</f>
        <v>22800</v>
      </c>
      <c r="S28">
        <f>IFERROR(Table1[[#This Row],[Annual_Consumption_Value_INR]]/Table1[[#This Row],[Inventory_Value_INR]],0)</f>
        <v>4.3956043956043959E-2</v>
      </c>
      <c r="T28">
        <f>IFERROR(365/Table1[[#This Row],[Inventory_Turnover]],0)</f>
        <v>8303.75</v>
      </c>
      <c r="U28" t="str">
        <f>IF(Table1[[#This Row],[Consumption]]=0,"Non-Moving", IF(Table1[[#This Row],[Days_Since_Last_Movement]]&gt;90,"Slow-Moving","Active"))</f>
        <v>Slow-Moving</v>
      </c>
      <c r="V28">
        <f>SUM($Q$2:Q28)</f>
        <v>27310400</v>
      </c>
      <c r="W28">
        <f>Table1[[#This Row],[Cumulative_Inventory_Value]]/$AP$3</f>
        <v>0.36079353334292441</v>
      </c>
      <c r="X28" t="str">
        <f>IF(Table1[[#This Row],[Cumulative_Value_%]]&lt;80%,"A", IF(Table1[[#This Row],[Cumulative_Value_%]]&lt;=95%,"B","C"))</f>
        <v>A</v>
      </c>
      <c r="Y28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High Review</v>
      </c>
      <c r="Z28">
        <f>Table1[[#This Row],[Consumption]]/365</f>
        <v>1.0958904109589041E-2</v>
      </c>
      <c r="AA28">
        <f>Table1[[#This Row],[Avg_Daily_Consumption]]*Table1[[#This Row],[Lead_Time_Days]]+Table1[[#This Row],[Safety_Stock]]</f>
        <v>1.252054794520548</v>
      </c>
      <c r="AB28">
        <f>IFERROR(Table1[[#This Row],[Closing_Stock]]/Table1[[#This Row],[Avg_Daily_Consumption]],9999)</f>
        <v>8303.75</v>
      </c>
      <c r="AC28">
        <f>MAX(1,ROUNDUP(Table1[[#This Row],[Avg_Daily_Consumption]]*Table1[[#This Row],[Lead_Time_Days]]*0.8,0))</f>
        <v>1</v>
      </c>
      <c r="AD28" t="str">
        <f>IF(Table1[[#This Row],[Closing_Stock]]&lt;Table1[[#This Row],[Reorder_Point]],"Stock-out Risk","Adequate")</f>
        <v>Adequate</v>
      </c>
      <c r="AE28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28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 Safety Stock</v>
      </c>
      <c r="AG28">
        <f>IF(Table1[[#This Row],[Action_Recommendation]]="Review for Disposal/De-procurement",Table1[[#This Row],[Inventory_Value_INR]]*70%,IF(Table1[[#This Row],[Action_Recommendation]]="Review Safety Stock",Table1[[#This Row],[Inventory_Value_INR]]*20%,0))</f>
        <v>103740</v>
      </c>
      <c r="AH28" s="11">
        <f>MAX(0,Table1[[#This Row],[Closing_Stock]]-Table1[[#This Row],[Reorder_Point]])</f>
        <v>89.747945205479454</v>
      </c>
      <c r="AI28" s="11">
        <f>Table1[[#This Row],[Excess_Stock_Units]]*Table1[[#This Row],[Unit_Cost_INR]]</f>
        <v>511563.28767123289</v>
      </c>
      <c r="AJ28" s="11">
        <f>IF(Table1[[#This Row],[Criticality]]="Critical",0,Table1[[#This Row],[Excess_Inventory_Value_INR]])</f>
        <v>511563.28767123289</v>
      </c>
      <c r="AK28" s="11">
        <f>IF(AND(Table1[[#This Row],[Criticality]]&lt;&gt;"Critical",OR(Table1[[#This Row],[Movement_Class]]="Slow-Moving",Table1[[#This Row],[Movement_Class]]="Non-Moving")),Table1[[#This Row],[Excess_Inventory_Value_INR]],0)</f>
        <v>511563.28767123289</v>
      </c>
    </row>
    <row r="29" spans="1:46" x14ac:dyDescent="0.25">
      <c r="A29" t="s">
        <v>425</v>
      </c>
      <c r="B29" t="s">
        <v>150</v>
      </c>
      <c r="C29" t="s">
        <v>36</v>
      </c>
      <c r="D29" t="s">
        <v>45</v>
      </c>
      <c r="E29" t="s">
        <v>46</v>
      </c>
      <c r="F29">
        <v>10</v>
      </c>
      <c r="G29">
        <v>19</v>
      </c>
      <c r="H29">
        <v>4</v>
      </c>
      <c r="I29">
        <v>87</v>
      </c>
      <c r="J29">
        <v>5930</v>
      </c>
      <c r="K29">
        <v>24</v>
      </c>
      <c r="L29">
        <v>0</v>
      </c>
      <c r="M29">
        <v>281</v>
      </c>
      <c r="N29" t="s">
        <v>49</v>
      </c>
      <c r="O29">
        <v>0.21</v>
      </c>
      <c r="P29">
        <v>108341.1</v>
      </c>
      <c r="Q29">
        <f>(Table1[[#This Row],[Closing_Stock]]*Table1[[#This Row],[Unit_Cost_INR]])</f>
        <v>515910</v>
      </c>
      <c r="R29">
        <f>(Table1[[#This Row],[Unit_Cost_INR]]*Table1[[#This Row],[Consumption]])</f>
        <v>23720</v>
      </c>
      <c r="S29">
        <f>IFERROR(Table1[[#This Row],[Annual_Consumption_Value_INR]]/Table1[[#This Row],[Inventory_Value_INR]],0)</f>
        <v>4.5977011494252873E-2</v>
      </c>
      <c r="T29">
        <f>IFERROR(365/Table1[[#This Row],[Inventory_Turnover]],0)</f>
        <v>7938.75</v>
      </c>
      <c r="U29" t="str">
        <f>IF(Table1[[#This Row],[Consumption]]=0,"Non-Moving", IF(Table1[[#This Row],[Days_Since_Last_Movement]]&gt;90,"Slow-Moving","Active"))</f>
        <v>Slow-Moving</v>
      </c>
      <c r="V29">
        <f>SUM($Q$2:Q29)</f>
        <v>27826310</v>
      </c>
      <c r="W29">
        <f>Table1[[#This Row],[Cumulative_Inventory_Value]]/$AP$3</f>
        <v>0.36760914174803561</v>
      </c>
      <c r="X29" t="str">
        <f>IF(Table1[[#This Row],[Cumulative_Value_%]]&lt;80%,"A", IF(Table1[[#This Row],[Cumulative_Value_%]]&lt;=95%,"B","C"))</f>
        <v>A</v>
      </c>
      <c r="Y29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High Review</v>
      </c>
      <c r="Z29">
        <f>Table1[[#This Row],[Consumption]]/365</f>
        <v>1.0958904109589041E-2</v>
      </c>
      <c r="AA29">
        <f>Table1[[#This Row],[Avg_Daily_Consumption]]*Table1[[#This Row],[Lead_Time_Days]]+Table1[[#This Row],[Safety_Stock]]</f>
        <v>1.263013698630137</v>
      </c>
      <c r="AB29">
        <f>IFERROR(Table1[[#This Row],[Closing_Stock]]/Table1[[#This Row],[Avg_Daily_Consumption]],9999)</f>
        <v>7938.75</v>
      </c>
      <c r="AC29">
        <f>MAX(1,ROUNDUP(Table1[[#This Row],[Avg_Daily_Consumption]]*Table1[[#This Row],[Lead_Time_Days]]*0.8,0))</f>
        <v>1</v>
      </c>
      <c r="AD29" t="str">
        <f>IF(Table1[[#This Row],[Closing_Stock]]&lt;Table1[[#This Row],[Reorder_Point]],"Stock-out Risk","Adequate")</f>
        <v>Adequate</v>
      </c>
      <c r="AE29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29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 Safety Stock</v>
      </c>
      <c r="AG29">
        <f>IF(Table1[[#This Row],[Action_Recommendation]]="Review for Disposal/De-procurement",Table1[[#This Row],[Inventory_Value_INR]]*70%,IF(Table1[[#This Row],[Action_Recommendation]]="Review Safety Stock",Table1[[#This Row],[Inventory_Value_INR]]*20%,0))</f>
        <v>103182</v>
      </c>
      <c r="AH29" s="11">
        <f>MAX(0,Table1[[#This Row],[Closing_Stock]]-Table1[[#This Row],[Reorder_Point]])</f>
        <v>85.736986301369868</v>
      </c>
      <c r="AI29" s="11">
        <f>Table1[[#This Row],[Excess_Stock_Units]]*Table1[[#This Row],[Unit_Cost_INR]]</f>
        <v>508420.32876712334</v>
      </c>
      <c r="AJ29" s="11">
        <f>IF(Table1[[#This Row],[Criticality]]="Critical",0,Table1[[#This Row],[Excess_Inventory_Value_INR]])</f>
        <v>508420.32876712334</v>
      </c>
      <c r="AK29" s="11">
        <f>IF(AND(Table1[[#This Row],[Criticality]]&lt;&gt;"Critical",OR(Table1[[#This Row],[Movement_Class]]="Slow-Moving",Table1[[#This Row],[Movement_Class]]="Non-Moving")),Table1[[#This Row],[Excess_Inventory_Value_INR]],0)</f>
        <v>508420.32876712334</v>
      </c>
    </row>
    <row r="30" spans="1:46" x14ac:dyDescent="0.25">
      <c r="A30" t="s">
        <v>186</v>
      </c>
      <c r="B30" t="s">
        <v>54</v>
      </c>
      <c r="C30" t="s">
        <v>36</v>
      </c>
      <c r="D30" t="s">
        <v>21</v>
      </c>
      <c r="E30" t="s">
        <v>46</v>
      </c>
      <c r="F30">
        <v>15</v>
      </c>
      <c r="G30">
        <v>60</v>
      </c>
      <c r="H30">
        <v>58</v>
      </c>
      <c r="I30">
        <v>74</v>
      </c>
      <c r="J30">
        <v>6820</v>
      </c>
      <c r="K30">
        <v>46</v>
      </c>
      <c r="L30">
        <v>0</v>
      </c>
      <c r="M30">
        <v>104</v>
      </c>
      <c r="N30" t="s">
        <v>81</v>
      </c>
      <c r="O30">
        <v>0.23100000000000001</v>
      </c>
      <c r="P30">
        <v>116581.08</v>
      </c>
      <c r="Q30">
        <f>(Table1[[#This Row],[Closing_Stock]]*Table1[[#This Row],[Unit_Cost_INR]])</f>
        <v>504680</v>
      </c>
      <c r="R30">
        <f>(Table1[[#This Row],[Unit_Cost_INR]]*Table1[[#This Row],[Consumption]])</f>
        <v>395560</v>
      </c>
      <c r="S30">
        <f>IFERROR(Table1[[#This Row],[Annual_Consumption_Value_INR]]/Table1[[#This Row],[Inventory_Value_INR]],0)</f>
        <v>0.78378378378378377</v>
      </c>
      <c r="T30">
        <f>IFERROR(365/Table1[[#This Row],[Inventory_Turnover]],0)</f>
        <v>465.68965517241378</v>
      </c>
      <c r="U30" t="str">
        <f>IF(Table1[[#This Row],[Consumption]]=0,"Non-Moving", IF(Table1[[#This Row],[Days_Since_Last_Movement]]&gt;90,"Slow-Moving","Active"))</f>
        <v>Slow-Moving</v>
      </c>
      <c r="V30">
        <f>SUM($Q$2:Q30)</f>
        <v>28330990</v>
      </c>
      <c r="W30">
        <f>Table1[[#This Row],[Cumulative_Inventory_Value]]/$AP$3</f>
        <v>0.37427639233416787</v>
      </c>
      <c r="X30" t="str">
        <f>IF(Table1[[#This Row],[Cumulative_Value_%]]&lt;80%,"A", IF(Table1[[#This Row],[Cumulative_Value_%]]&lt;=95%,"B","C"))</f>
        <v>A</v>
      </c>
      <c r="Y30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High Review</v>
      </c>
      <c r="Z30">
        <f>Table1[[#This Row],[Consumption]]/365</f>
        <v>0.15890410958904111</v>
      </c>
      <c r="AA30">
        <f>Table1[[#This Row],[Avg_Daily_Consumption]]*Table1[[#This Row],[Lead_Time_Days]]+Table1[[#This Row],[Safety_Stock]]</f>
        <v>13.30958904109589</v>
      </c>
      <c r="AB30">
        <f>IFERROR(Table1[[#This Row],[Closing_Stock]]/Table1[[#This Row],[Avg_Daily_Consumption]],9999)</f>
        <v>465.68965517241378</v>
      </c>
      <c r="AC30">
        <f>MAX(1,ROUNDUP(Table1[[#This Row],[Avg_Daily_Consumption]]*Table1[[#This Row],[Lead_Time_Days]]*0.8,0))</f>
        <v>6</v>
      </c>
      <c r="AD30" t="str">
        <f>IF(Table1[[#This Row],[Closing_Stock]]&lt;Table1[[#This Row],[Reorder_Point]],"Stock-out Risk","Adequate")</f>
        <v>Adequate</v>
      </c>
      <c r="AE30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30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 Safety Stock</v>
      </c>
      <c r="AG30">
        <f>IF(Table1[[#This Row],[Action_Recommendation]]="Review for Disposal/De-procurement",Table1[[#This Row],[Inventory_Value_INR]]*70%,IF(Table1[[#This Row],[Action_Recommendation]]="Review Safety Stock",Table1[[#This Row],[Inventory_Value_INR]]*20%,0))</f>
        <v>100936</v>
      </c>
      <c r="AH30" s="11">
        <f>MAX(0,Table1[[#This Row],[Closing_Stock]]-Table1[[#This Row],[Reorder_Point]])</f>
        <v>60.69041095890411</v>
      </c>
      <c r="AI30" s="11">
        <f>Table1[[#This Row],[Excess_Stock_Units]]*Table1[[#This Row],[Unit_Cost_INR]]</f>
        <v>413908.60273972602</v>
      </c>
      <c r="AJ30" s="11">
        <f>IF(Table1[[#This Row],[Criticality]]="Critical",0,Table1[[#This Row],[Excess_Inventory_Value_INR]])</f>
        <v>413908.60273972602</v>
      </c>
      <c r="AK30" s="11">
        <f>IF(AND(Table1[[#This Row],[Criticality]]&lt;&gt;"Critical",OR(Table1[[#This Row],[Movement_Class]]="Slow-Moving",Table1[[#This Row],[Movement_Class]]="Non-Moving")),Table1[[#This Row],[Excess_Inventory_Value_INR]],0)</f>
        <v>413908.60273972602</v>
      </c>
    </row>
    <row r="31" spans="1:46" x14ac:dyDescent="0.25">
      <c r="A31" t="s">
        <v>500</v>
      </c>
      <c r="B31" t="s">
        <v>51</v>
      </c>
      <c r="C31" t="s">
        <v>52</v>
      </c>
      <c r="D31" t="s">
        <v>60</v>
      </c>
      <c r="E31" t="s">
        <v>46</v>
      </c>
      <c r="F31">
        <v>135</v>
      </c>
      <c r="G31">
        <v>150</v>
      </c>
      <c r="H31">
        <v>6</v>
      </c>
      <c r="I31">
        <v>147</v>
      </c>
      <c r="J31">
        <v>3350</v>
      </c>
      <c r="K31">
        <v>23</v>
      </c>
      <c r="L31">
        <v>0</v>
      </c>
      <c r="M31">
        <v>166</v>
      </c>
      <c r="N31" t="s">
        <v>38</v>
      </c>
      <c r="O31">
        <v>0.26900000000000002</v>
      </c>
      <c r="P31">
        <v>132469.04999999999</v>
      </c>
      <c r="Q31">
        <f>(Table1[[#This Row],[Closing_Stock]]*Table1[[#This Row],[Unit_Cost_INR]])</f>
        <v>492450</v>
      </c>
      <c r="R31">
        <f>(Table1[[#This Row],[Unit_Cost_INR]]*Table1[[#This Row],[Consumption]])</f>
        <v>20100</v>
      </c>
      <c r="S31">
        <f>IFERROR(Table1[[#This Row],[Annual_Consumption_Value_INR]]/Table1[[#This Row],[Inventory_Value_INR]],0)</f>
        <v>4.0816326530612242E-2</v>
      </c>
      <c r="T31">
        <f>IFERROR(365/Table1[[#This Row],[Inventory_Turnover]],0)</f>
        <v>8942.5</v>
      </c>
      <c r="U31" t="str">
        <f>IF(Table1[[#This Row],[Consumption]]=0,"Non-Moving", IF(Table1[[#This Row],[Days_Since_Last_Movement]]&gt;90,"Slow-Moving","Active"))</f>
        <v>Slow-Moving</v>
      </c>
      <c r="V31">
        <f>SUM($Q$2:Q31)</f>
        <v>28823440</v>
      </c>
      <c r="W31">
        <f>Table1[[#This Row],[Cumulative_Inventory_Value]]/$AP$3</f>
        <v>0.38078207425368288</v>
      </c>
      <c r="X31" t="str">
        <f>IF(Table1[[#This Row],[Cumulative_Value_%]]&lt;80%,"A", IF(Table1[[#This Row],[Cumulative_Value_%]]&lt;=95%,"B","C"))</f>
        <v>A</v>
      </c>
      <c r="Y31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High Review</v>
      </c>
      <c r="Z31">
        <f>Table1[[#This Row],[Consumption]]/365</f>
        <v>1.643835616438356E-2</v>
      </c>
      <c r="AA31">
        <f>Table1[[#This Row],[Avg_Daily_Consumption]]*Table1[[#This Row],[Lead_Time_Days]]+Table1[[#This Row],[Safety_Stock]]</f>
        <v>1.3780821917808219</v>
      </c>
      <c r="AB31">
        <f>IFERROR(Table1[[#This Row],[Closing_Stock]]/Table1[[#This Row],[Avg_Daily_Consumption]],9999)</f>
        <v>8942.5</v>
      </c>
      <c r="AC31">
        <f>MAX(1,ROUNDUP(Table1[[#This Row],[Avg_Daily_Consumption]]*Table1[[#This Row],[Lead_Time_Days]]*0.8,0))</f>
        <v>1</v>
      </c>
      <c r="AD31" t="str">
        <f>IF(Table1[[#This Row],[Closing_Stock]]&lt;Table1[[#This Row],[Reorder_Point]],"Stock-out Risk","Adequate")</f>
        <v>Adequate</v>
      </c>
      <c r="AE31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31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 Safety Stock</v>
      </c>
      <c r="AG31">
        <f>IF(Table1[[#This Row],[Action_Recommendation]]="Review for Disposal/De-procurement",Table1[[#This Row],[Inventory_Value_INR]]*70%,IF(Table1[[#This Row],[Action_Recommendation]]="Review Safety Stock",Table1[[#This Row],[Inventory_Value_INR]]*20%,0))</f>
        <v>98490</v>
      </c>
      <c r="AH31" s="11">
        <f>MAX(0,Table1[[#This Row],[Closing_Stock]]-Table1[[#This Row],[Reorder_Point]])</f>
        <v>145.62191780821917</v>
      </c>
      <c r="AI31" s="11">
        <f>Table1[[#This Row],[Excess_Stock_Units]]*Table1[[#This Row],[Unit_Cost_INR]]</f>
        <v>487833.42465753423</v>
      </c>
      <c r="AJ31" s="11">
        <f>IF(Table1[[#This Row],[Criticality]]="Critical",0,Table1[[#This Row],[Excess_Inventory_Value_INR]])</f>
        <v>487833.42465753423</v>
      </c>
      <c r="AK31" s="11">
        <f>IF(AND(Table1[[#This Row],[Criticality]]&lt;&gt;"Critical",OR(Table1[[#This Row],[Movement_Class]]="Slow-Moving",Table1[[#This Row],[Movement_Class]]="Non-Moving")),Table1[[#This Row],[Excess_Inventory_Value_INR]],0)</f>
        <v>487833.42465753423</v>
      </c>
    </row>
    <row r="32" spans="1:46" x14ac:dyDescent="0.25">
      <c r="A32" t="s">
        <v>516</v>
      </c>
      <c r="B32" t="s">
        <v>71</v>
      </c>
      <c r="C32" t="s">
        <v>20</v>
      </c>
      <c r="D32" t="s">
        <v>45</v>
      </c>
      <c r="E32" t="s">
        <v>22</v>
      </c>
      <c r="F32">
        <v>27</v>
      </c>
      <c r="G32">
        <v>81</v>
      </c>
      <c r="H32">
        <v>2</v>
      </c>
      <c r="I32">
        <v>49</v>
      </c>
      <c r="J32">
        <v>10000</v>
      </c>
      <c r="K32">
        <v>33</v>
      </c>
      <c r="L32">
        <v>2</v>
      </c>
      <c r="M32">
        <v>161</v>
      </c>
      <c r="N32" t="s">
        <v>23</v>
      </c>
      <c r="O32">
        <v>0.27200000000000002</v>
      </c>
      <c r="P32">
        <v>133280</v>
      </c>
      <c r="Q32">
        <f>(Table1[[#This Row],[Closing_Stock]]*Table1[[#This Row],[Unit_Cost_INR]])</f>
        <v>490000</v>
      </c>
      <c r="R32">
        <f>(Table1[[#This Row],[Unit_Cost_INR]]*Table1[[#This Row],[Consumption]])</f>
        <v>20000</v>
      </c>
      <c r="S32">
        <f>IFERROR(Table1[[#This Row],[Annual_Consumption_Value_INR]]/Table1[[#This Row],[Inventory_Value_INR]],0)</f>
        <v>4.0816326530612242E-2</v>
      </c>
      <c r="T32">
        <f>IFERROR(365/Table1[[#This Row],[Inventory_Turnover]],0)</f>
        <v>8942.5</v>
      </c>
      <c r="U32" t="str">
        <f>IF(Table1[[#This Row],[Consumption]]=0,"Non-Moving", IF(Table1[[#This Row],[Days_Since_Last_Movement]]&gt;90,"Slow-Moving","Active"))</f>
        <v>Slow-Moving</v>
      </c>
      <c r="V32">
        <f>SUM($Q$2:Q32)</f>
        <v>29313440</v>
      </c>
      <c r="W32">
        <f>Table1[[#This Row],[Cumulative_Inventory_Value]]/$AP$3</f>
        <v>0.38725538959648392</v>
      </c>
      <c r="X32" t="str">
        <f>IF(Table1[[#This Row],[Cumulative_Value_%]]&lt;80%,"A", IF(Table1[[#This Row],[Cumulative_Value_%]]&lt;=95%,"B","C"))</f>
        <v>A</v>
      </c>
      <c r="Y32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High Review</v>
      </c>
      <c r="Z32">
        <f>Table1[[#This Row],[Consumption]]/365</f>
        <v>5.4794520547945206E-3</v>
      </c>
      <c r="AA32">
        <f>Table1[[#This Row],[Avg_Daily_Consumption]]*Table1[[#This Row],[Lead_Time_Days]]+Table1[[#This Row],[Safety_Stock]]</f>
        <v>1.1808219178082191</v>
      </c>
      <c r="AB32">
        <f>IFERROR(Table1[[#This Row],[Closing_Stock]]/Table1[[#This Row],[Avg_Daily_Consumption]],9999)</f>
        <v>8942.5</v>
      </c>
      <c r="AC32">
        <f>MAX(1,ROUNDUP(Table1[[#This Row],[Avg_Daily_Consumption]]*Table1[[#This Row],[Lead_Time_Days]]*0.8,0))</f>
        <v>1</v>
      </c>
      <c r="AD32" t="str">
        <f>IF(Table1[[#This Row],[Closing_Stock]]&lt;Table1[[#This Row],[Reorder_Point]],"Stock-out Risk","Adequate")</f>
        <v>Adequate</v>
      </c>
      <c r="AE32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32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 Safety Stock</v>
      </c>
      <c r="AG32">
        <f>IF(Table1[[#This Row],[Action_Recommendation]]="Review for Disposal/De-procurement",Table1[[#This Row],[Inventory_Value_INR]]*70%,IF(Table1[[#This Row],[Action_Recommendation]]="Review Safety Stock",Table1[[#This Row],[Inventory_Value_INR]]*20%,0))</f>
        <v>98000</v>
      </c>
      <c r="AH32" s="11">
        <f>MAX(0,Table1[[#This Row],[Closing_Stock]]-Table1[[#This Row],[Reorder_Point]])</f>
        <v>47.819178082191783</v>
      </c>
      <c r="AI32" s="11">
        <f>Table1[[#This Row],[Excess_Stock_Units]]*Table1[[#This Row],[Unit_Cost_INR]]</f>
        <v>478191.78082191781</v>
      </c>
      <c r="AJ32" s="11">
        <f>IF(Table1[[#This Row],[Criticality]]="Critical",0,Table1[[#This Row],[Excess_Inventory_Value_INR]])</f>
        <v>478191.78082191781</v>
      </c>
      <c r="AK32" s="11">
        <f>IF(AND(Table1[[#This Row],[Criticality]]&lt;&gt;"Critical",OR(Table1[[#This Row],[Movement_Class]]="Slow-Moving",Table1[[#This Row],[Movement_Class]]="Non-Moving")),Table1[[#This Row],[Excess_Inventory_Value_INR]],0)</f>
        <v>478191.78082191781</v>
      </c>
    </row>
    <row r="33" spans="1:37" x14ac:dyDescent="0.25">
      <c r="A33" t="s">
        <v>515</v>
      </c>
      <c r="B33" t="s">
        <v>71</v>
      </c>
      <c r="C33" t="s">
        <v>20</v>
      </c>
      <c r="D33" t="s">
        <v>60</v>
      </c>
      <c r="E33" t="s">
        <v>22</v>
      </c>
      <c r="F33">
        <v>38</v>
      </c>
      <c r="G33">
        <v>137</v>
      </c>
      <c r="H33">
        <v>0</v>
      </c>
      <c r="I33">
        <v>104</v>
      </c>
      <c r="J33">
        <v>4680</v>
      </c>
      <c r="K33">
        <v>20</v>
      </c>
      <c r="L33">
        <v>1</v>
      </c>
      <c r="M33">
        <v>542</v>
      </c>
      <c r="N33" t="s">
        <v>81</v>
      </c>
      <c r="O33">
        <v>0.28699999999999998</v>
      </c>
      <c r="P33">
        <v>139688.64000000001</v>
      </c>
      <c r="Q33">
        <f>(Table1[[#This Row],[Closing_Stock]]*Table1[[#This Row],[Unit_Cost_INR]])</f>
        <v>486720</v>
      </c>
      <c r="R33">
        <f>(Table1[[#This Row],[Unit_Cost_INR]]*Table1[[#This Row],[Consumption]])</f>
        <v>0</v>
      </c>
      <c r="S33">
        <f>IFERROR(Table1[[#This Row],[Annual_Consumption_Value_INR]]/Table1[[#This Row],[Inventory_Value_INR]],0)</f>
        <v>0</v>
      </c>
      <c r="T33">
        <f>IFERROR(365/Table1[[#This Row],[Inventory_Turnover]],0)</f>
        <v>0</v>
      </c>
      <c r="U33" t="str">
        <f>IF(Table1[[#This Row],[Consumption]]=0,"Non-Moving", IF(Table1[[#This Row],[Days_Since_Last_Movement]]&gt;90,"Slow-Moving","Active"))</f>
        <v>Non-Moving</v>
      </c>
      <c r="V33">
        <f>SUM($Q$2:Q33)</f>
        <v>29800160</v>
      </c>
      <c r="W33">
        <f>Table1[[#This Row],[Cumulative_Inventory_Value]]/$AP$3</f>
        <v>0.39368537335903109</v>
      </c>
      <c r="X33" t="str">
        <f>IF(Table1[[#This Row],[Cumulative_Value_%]]&lt;80%,"A", IF(Table1[[#This Row],[Cumulative_Value_%]]&lt;=95%,"B","C"))</f>
        <v>A</v>
      </c>
      <c r="Y33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Critical Review</v>
      </c>
      <c r="Z33">
        <f>Table1[[#This Row],[Consumption]]/365</f>
        <v>0</v>
      </c>
      <c r="AA33">
        <f>Table1[[#This Row],[Avg_Daily_Consumption]]*Table1[[#This Row],[Lead_Time_Days]]+Table1[[#This Row],[Safety_Stock]]</f>
        <v>1</v>
      </c>
      <c r="AB33">
        <f>IFERROR(Table1[[#This Row],[Closing_Stock]]/Table1[[#This Row],[Avg_Daily_Consumption]],9999)</f>
        <v>9999</v>
      </c>
      <c r="AC33">
        <f>MAX(1,ROUNDUP(Table1[[#This Row],[Avg_Daily_Consumption]]*Table1[[#This Row],[Lead_Time_Days]]*0.8,0))</f>
        <v>1</v>
      </c>
      <c r="AD33" t="str">
        <f>IF(Table1[[#This Row],[Closing_Stock]]&lt;Table1[[#This Row],[Reorder_Point]],"Stock-out Risk","Adequate")</f>
        <v>Adequate</v>
      </c>
      <c r="AE33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33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 for Disposal/De-procurement</v>
      </c>
      <c r="AG33">
        <f>IF(Table1[[#This Row],[Action_Recommendation]]="Review for Disposal/De-procurement",Table1[[#This Row],[Inventory_Value_INR]]*70%,IF(Table1[[#This Row],[Action_Recommendation]]="Review Safety Stock",Table1[[#This Row],[Inventory_Value_INR]]*20%,0))</f>
        <v>340704</v>
      </c>
      <c r="AH33" s="11">
        <f>MAX(0,Table1[[#This Row],[Closing_Stock]]-Table1[[#This Row],[Reorder_Point]])</f>
        <v>103</v>
      </c>
      <c r="AI33" s="11">
        <f>Table1[[#This Row],[Excess_Stock_Units]]*Table1[[#This Row],[Unit_Cost_INR]]</f>
        <v>482040</v>
      </c>
      <c r="AJ33" s="11">
        <f>IF(Table1[[#This Row],[Criticality]]="Critical",0,Table1[[#This Row],[Excess_Inventory_Value_INR]])</f>
        <v>482040</v>
      </c>
      <c r="AK33" s="11">
        <f>IF(AND(Table1[[#This Row],[Criticality]]&lt;&gt;"Critical",OR(Table1[[#This Row],[Movement_Class]]="Slow-Moving",Table1[[#This Row],[Movement_Class]]="Non-Moving")),Table1[[#This Row],[Excess_Inventory_Value_INR]],0)</f>
        <v>482040</v>
      </c>
    </row>
    <row r="34" spans="1:37" x14ac:dyDescent="0.25">
      <c r="A34" t="s">
        <v>434</v>
      </c>
      <c r="B34" t="s">
        <v>150</v>
      </c>
      <c r="C34" t="s">
        <v>36</v>
      </c>
      <c r="D34" t="s">
        <v>66</v>
      </c>
      <c r="E34" t="s">
        <v>37</v>
      </c>
      <c r="F34">
        <v>34</v>
      </c>
      <c r="G34">
        <v>75</v>
      </c>
      <c r="H34">
        <v>52</v>
      </c>
      <c r="I34">
        <v>71</v>
      </c>
      <c r="J34">
        <v>6750</v>
      </c>
      <c r="K34">
        <v>21</v>
      </c>
      <c r="L34">
        <v>0</v>
      </c>
      <c r="M34">
        <v>38</v>
      </c>
      <c r="N34" t="s">
        <v>38</v>
      </c>
      <c r="O34">
        <v>0.26600000000000001</v>
      </c>
      <c r="P34">
        <v>127480.5</v>
      </c>
      <c r="Q34">
        <f>(Table1[[#This Row],[Closing_Stock]]*Table1[[#This Row],[Unit_Cost_INR]])</f>
        <v>479250</v>
      </c>
      <c r="R34">
        <f>(Table1[[#This Row],[Unit_Cost_INR]]*Table1[[#This Row],[Consumption]])</f>
        <v>351000</v>
      </c>
      <c r="S34">
        <f>IFERROR(Table1[[#This Row],[Annual_Consumption_Value_INR]]/Table1[[#This Row],[Inventory_Value_INR]],0)</f>
        <v>0.73239436619718312</v>
      </c>
      <c r="T34">
        <f>IFERROR(365/Table1[[#This Row],[Inventory_Turnover]],0)</f>
        <v>498.36538461538458</v>
      </c>
      <c r="U34" t="str">
        <f>IF(Table1[[#This Row],[Consumption]]=0,"Non-Moving", IF(Table1[[#This Row],[Days_Since_Last_Movement]]&gt;90,"Slow-Moving","Active"))</f>
        <v>Active</v>
      </c>
      <c r="V34">
        <f>SUM($Q$2:Q34)</f>
        <v>30279410</v>
      </c>
      <c r="W34">
        <f>Table1[[#This Row],[Cumulative_Inventory_Value]]/$AP$3</f>
        <v>0.40001667208971964</v>
      </c>
      <c r="X34" t="str">
        <f>IF(Table1[[#This Row],[Cumulative_Value_%]]&lt;80%,"A", IF(Table1[[#This Row],[Cumulative_Value_%]]&lt;=95%,"B","C"))</f>
        <v>A</v>
      </c>
      <c r="Y34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34">
        <f>Table1[[#This Row],[Consumption]]/365</f>
        <v>0.14246575342465753</v>
      </c>
      <c r="AA34">
        <f>Table1[[#This Row],[Avg_Daily_Consumption]]*Table1[[#This Row],[Lead_Time_Days]]+Table1[[#This Row],[Safety_Stock]]</f>
        <v>5.9917808219178088</v>
      </c>
      <c r="AB34">
        <f>IFERROR(Table1[[#This Row],[Closing_Stock]]/Table1[[#This Row],[Avg_Daily_Consumption]],9999)</f>
        <v>498.36538461538464</v>
      </c>
      <c r="AC34">
        <f>MAX(1,ROUNDUP(Table1[[#This Row],[Avg_Daily_Consumption]]*Table1[[#This Row],[Lead_Time_Days]]*0.8,0))</f>
        <v>3</v>
      </c>
      <c r="AD34" t="str">
        <f>IF(Table1[[#This Row],[Closing_Stock]]&lt;Table1[[#This Row],[Reorder_Point]],"Stock-out Risk","Adequate")</f>
        <v>Adequate</v>
      </c>
      <c r="AE34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34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34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34" s="11">
        <f>MAX(0,Table1[[#This Row],[Closing_Stock]]-Table1[[#This Row],[Reorder_Point]])</f>
        <v>65.008219178082186</v>
      </c>
      <c r="AI34" s="11">
        <f>Table1[[#This Row],[Excess_Stock_Units]]*Table1[[#This Row],[Unit_Cost_INR]]</f>
        <v>438805.47945205477</v>
      </c>
      <c r="AJ34" s="11">
        <f>IF(Table1[[#This Row],[Criticality]]="Critical",0,Table1[[#This Row],[Excess_Inventory_Value_INR]])</f>
        <v>0</v>
      </c>
      <c r="AK34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35" spans="1:37" x14ac:dyDescent="0.25">
      <c r="A35" t="s">
        <v>417</v>
      </c>
      <c r="B35" t="s">
        <v>126</v>
      </c>
      <c r="C35" t="s">
        <v>20</v>
      </c>
      <c r="D35" t="s">
        <v>27</v>
      </c>
      <c r="E35" t="s">
        <v>22</v>
      </c>
      <c r="F35">
        <v>158</v>
      </c>
      <c r="G35">
        <v>297</v>
      </c>
      <c r="H35">
        <v>200</v>
      </c>
      <c r="I35">
        <v>255</v>
      </c>
      <c r="J35">
        <v>1850</v>
      </c>
      <c r="K35">
        <v>27</v>
      </c>
      <c r="L35">
        <v>1</v>
      </c>
      <c r="M35">
        <v>105</v>
      </c>
      <c r="N35" t="s">
        <v>23</v>
      </c>
      <c r="O35">
        <v>0.23400000000000001</v>
      </c>
      <c r="P35">
        <v>110389.5</v>
      </c>
      <c r="Q35">
        <f>(Table1[[#This Row],[Closing_Stock]]*Table1[[#This Row],[Unit_Cost_INR]])</f>
        <v>471750</v>
      </c>
      <c r="R35">
        <f>(Table1[[#This Row],[Unit_Cost_INR]]*Table1[[#This Row],[Consumption]])</f>
        <v>370000</v>
      </c>
      <c r="S35">
        <f>IFERROR(Table1[[#This Row],[Annual_Consumption_Value_INR]]/Table1[[#This Row],[Inventory_Value_INR]],0)</f>
        <v>0.78431372549019607</v>
      </c>
      <c r="T35">
        <f>IFERROR(365/Table1[[#This Row],[Inventory_Turnover]],0)</f>
        <v>465.375</v>
      </c>
      <c r="U35" t="str">
        <f>IF(Table1[[#This Row],[Consumption]]=0,"Non-Moving", IF(Table1[[#This Row],[Days_Since_Last_Movement]]&gt;90,"Slow-Moving","Active"))</f>
        <v>Slow-Moving</v>
      </c>
      <c r="V35">
        <f>SUM($Q$2:Q35)</f>
        <v>30751160</v>
      </c>
      <c r="W35">
        <f>Table1[[#This Row],[Cumulative_Inventory_Value]]/$AP$3</f>
        <v>0.40624888946312038</v>
      </c>
      <c r="X35" t="str">
        <f>IF(Table1[[#This Row],[Cumulative_Value_%]]&lt;80%,"A", IF(Table1[[#This Row],[Cumulative_Value_%]]&lt;=95%,"B","C"))</f>
        <v>A</v>
      </c>
      <c r="Y35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High Review</v>
      </c>
      <c r="Z35">
        <f>Table1[[#This Row],[Consumption]]/365</f>
        <v>0.54794520547945202</v>
      </c>
      <c r="AA35">
        <f>Table1[[#This Row],[Avg_Daily_Consumption]]*Table1[[#This Row],[Lead_Time_Days]]+Table1[[#This Row],[Safety_Stock]]</f>
        <v>26.794520547945204</v>
      </c>
      <c r="AB35">
        <f>IFERROR(Table1[[#This Row],[Closing_Stock]]/Table1[[#This Row],[Avg_Daily_Consumption]],9999)</f>
        <v>465.375</v>
      </c>
      <c r="AC35">
        <f>MAX(1,ROUNDUP(Table1[[#This Row],[Avg_Daily_Consumption]]*Table1[[#This Row],[Lead_Time_Days]]*0.8,0))</f>
        <v>12</v>
      </c>
      <c r="AD35" t="str">
        <f>IF(Table1[[#This Row],[Closing_Stock]]&lt;Table1[[#This Row],[Reorder_Point]],"Stock-out Risk","Adequate")</f>
        <v>Adequate</v>
      </c>
      <c r="AE35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35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 Safety Stock</v>
      </c>
      <c r="AG35">
        <f>IF(Table1[[#This Row],[Action_Recommendation]]="Review for Disposal/De-procurement",Table1[[#This Row],[Inventory_Value_INR]]*70%,IF(Table1[[#This Row],[Action_Recommendation]]="Review Safety Stock",Table1[[#This Row],[Inventory_Value_INR]]*20%,0))</f>
        <v>94350</v>
      </c>
      <c r="AH35" s="11">
        <f>MAX(0,Table1[[#This Row],[Closing_Stock]]-Table1[[#This Row],[Reorder_Point]])</f>
        <v>228.20547945205479</v>
      </c>
      <c r="AI35" s="11">
        <f>Table1[[#This Row],[Excess_Stock_Units]]*Table1[[#This Row],[Unit_Cost_INR]]</f>
        <v>422180.13698630134</v>
      </c>
      <c r="AJ35" s="11">
        <f>IF(Table1[[#This Row],[Criticality]]="Critical",0,Table1[[#This Row],[Excess_Inventory_Value_INR]])</f>
        <v>422180.13698630134</v>
      </c>
      <c r="AK35" s="11">
        <f>IF(AND(Table1[[#This Row],[Criticality]]&lt;&gt;"Critical",OR(Table1[[#This Row],[Movement_Class]]="Slow-Moving",Table1[[#This Row],[Movement_Class]]="Non-Moving")),Table1[[#This Row],[Excess_Inventory_Value_INR]],0)</f>
        <v>422180.13698630134</v>
      </c>
    </row>
    <row r="36" spans="1:37" x14ac:dyDescent="0.25">
      <c r="A36" t="s">
        <v>535</v>
      </c>
      <c r="B36" t="s">
        <v>56</v>
      </c>
      <c r="C36" t="s">
        <v>32</v>
      </c>
      <c r="D36" t="s">
        <v>27</v>
      </c>
      <c r="E36" t="s">
        <v>46</v>
      </c>
      <c r="F36">
        <v>4</v>
      </c>
      <c r="G36">
        <v>4</v>
      </c>
      <c r="H36">
        <v>4</v>
      </c>
      <c r="I36">
        <v>51</v>
      </c>
      <c r="J36">
        <v>9070</v>
      </c>
      <c r="K36">
        <v>3</v>
      </c>
      <c r="L36">
        <v>1</v>
      </c>
      <c r="M36">
        <v>327</v>
      </c>
      <c r="N36" t="s">
        <v>81</v>
      </c>
      <c r="O36">
        <v>0.21</v>
      </c>
      <c r="P36">
        <v>97139.7</v>
      </c>
      <c r="Q36">
        <f>(Table1[[#This Row],[Closing_Stock]]*Table1[[#This Row],[Unit_Cost_INR]])</f>
        <v>462570</v>
      </c>
      <c r="R36">
        <f>(Table1[[#This Row],[Unit_Cost_INR]]*Table1[[#This Row],[Consumption]])</f>
        <v>36280</v>
      </c>
      <c r="S36">
        <f>IFERROR(Table1[[#This Row],[Annual_Consumption_Value_INR]]/Table1[[#This Row],[Inventory_Value_INR]],0)</f>
        <v>7.8431372549019607E-2</v>
      </c>
      <c r="T36">
        <f>IFERROR(365/Table1[[#This Row],[Inventory_Turnover]],0)</f>
        <v>4653.75</v>
      </c>
      <c r="U36" t="str">
        <f>IF(Table1[[#This Row],[Consumption]]=0,"Non-Moving", IF(Table1[[#This Row],[Days_Since_Last_Movement]]&gt;90,"Slow-Moving","Active"))</f>
        <v>Slow-Moving</v>
      </c>
      <c r="V36">
        <f>SUM($Q$2:Q36)</f>
        <v>31213730</v>
      </c>
      <c r="W36">
        <f>Table1[[#This Row],[Cumulative_Inventory_Value]]/$AP$3</f>
        <v>0.41235983125520093</v>
      </c>
      <c r="X36" t="str">
        <f>IF(Table1[[#This Row],[Cumulative_Value_%]]&lt;80%,"A", IF(Table1[[#This Row],[Cumulative_Value_%]]&lt;=95%,"B","C"))</f>
        <v>A</v>
      </c>
      <c r="Y36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High Review</v>
      </c>
      <c r="Z36">
        <f>Table1[[#This Row],[Consumption]]/365</f>
        <v>1.0958904109589041E-2</v>
      </c>
      <c r="AA36">
        <f>Table1[[#This Row],[Avg_Daily_Consumption]]*Table1[[#This Row],[Lead_Time_Days]]+Table1[[#This Row],[Safety_Stock]]</f>
        <v>1.0328767123287672</v>
      </c>
      <c r="AB36">
        <f>IFERROR(Table1[[#This Row],[Closing_Stock]]/Table1[[#This Row],[Avg_Daily_Consumption]],9999)</f>
        <v>4653.75</v>
      </c>
      <c r="AC36">
        <f>MAX(1,ROUNDUP(Table1[[#This Row],[Avg_Daily_Consumption]]*Table1[[#This Row],[Lead_Time_Days]]*0.8,0))</f>
        <v>1</v>
      </c>
      <c r="AD36" t="str">
        <f>IF(Table1[[#This Row],[Closing_Stock]]&lt;Table1[[#This Row],[Reorder_Point]],"Stock-out Risk","Adequate")</f>
        <v>Adequate</v>
      </c>
      <c r="AE36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36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 Safety Stock</v>
      </c>
      <c r="AG36">
        <f>IF(Table1[[#This Row],[Action_Recommendation]]="Review for Disposal/De-procurement",Table1[[#This Row],[Inventory_Value_INR]]*70%,IF(Table1[[#This Row],[Action_Recommendation]]="Review Safety Stock",Table1[[#This Row],[Inventory_Value_INR]]*20%,0))</f>
        <v>92514</v>
      </c>
      <c r="AH36" s="11">
        <f>MAX(0,Table1[[#This Row],[Closing_Stock]]-Table1[[#This Row],[Reorder_Point]])</f>
        <v>49.967123287671235</v>
      </c>
      <c r="AI36" s="11">
        <f>Table1[[#This Row],[Excess_Stock_Units]]*Table1[[#This Row],[Unit_Cost_INR]]</f>
        <v>453201.80821917811</v>
      </c>
      <c r="AJ36" s="11">
        <f>IF(Table1[[#This Row],[Criticality]]="Critical",0,Table1[[#This Row],[Excess_Inventory_Value_INR]])</f>
        <v>453201.80821917811</v>
      </c>
      <c r="AK36" s="11">
        <f>IF(AND(Table1[[#This Row],[Criticality]]&lt;&gt;"Critical",OR(Table1[[#This Row],[Movement_Class]]="Slow-Moving",Table1[[#This Row],[Movement_Class]]="Non-Moving")),Table1[[#This Row],[Excess_Inventory_Value_INR]],0)</f>
        <v>453201.80821917811</v>
      </c>
    </row>
    <row r="37" spans="1:37" x14ac:dyDescent="0.25">
      <c r="A37" t="s">
        <v>304</v>
      </c>
      <c r="B37" t="s">
        <v>152</v>
      </c>
      <c r="C37" t="s">
        <v>20</v>
      </c>
      <c r="D37" t="s">
        <v>66</v>
      </c>
      <c r="E37" t="s">
        <v>22</v>
      </c>
      <c r="F37">
        <v>45</v>
      </c>
      <c r="G37">
        <v>46</v>
      </c>
      <c r="H37">
        <v>37</v>
      </c>
      <c r="I37">
        <v>54</v>
      </c>
      <c r="J37">
        <v>8460</v>
      </c>
      <c r="K37">
        <v>40</v>
      </c>
      <c r="L37">
        <v>0</v>
      </c>
      <c r="M37">
        <v>270</v>
      </c>
      <c r="N37" t="s">
        <v>58</v>
      </c>
      <c r="O37">
        <v>0.151</v>
      </c>
      <c r="P37">
        <v>68982.84</v>
      </c>
      <c r="Q37">
        <f>(Table1[[#This Row],[Closing_Stock]]*Table1[[#This Row],[Unit_Cost_INR]])</f>
        <v>456840</v>
      </c>
      <c r="R37">
        <f>(Table1[[#This Row],[Unit_Cost_INR]]*Table1[[#This Row],[Consumption]])</f>
        <v>313020</v>
      </c>
      <c r="S37">
        <f>IFERROR(Table1[[#This Row],[Annual_Consumption_Value_INR]]/Table1[[#This Row],[Inventory_Value_INR]],0)</f>
        <v>0.68518518518518523</v>
      </c>
      <c r="T37">
        <f>IFERROR(365/Table1[[#This Row],[Inventory_Turnover]],0)</f>
        <v>532.70270270270271</v>
      </c>
      <c r="U37" t="str">
        <f>IF(Table1[[#This Row],[Consumption]]=0,"Non-Moving", IF(Table1[[#This Row],[Days_Since_Last_Movement]]&gt;90,"Slow-Moving","Active"))</f>
        <v>Slow-Moving</v>
      </c>
      <c r="V37">
        <f>SUM($Q$2:Q37)</f>
        <v>31670570</v>
      </c>
      <c r="W37">
        <f>Table1[[#This Row],[Cumulative_Inventory_Value]]/$AP$3</f>
        <v>0.41839507489031363</v>
      </c>
      <c r="X37" t="str">
        <f>IF(Table1[[#This Row],[Cumulative_Value_%]]&lt;80%,"A", IF(Table1[[#This Row],[Cumulative_Value_%]]&lt;=95%,"B","C"))</f>
        <v>A</v>
      </c>
      <c r="Y37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High Review</v>
      </c>
      <c r="Z37">
        <f>Table1[[#This Row],[Consumption]]/365</f>
        <v>0.10136986301369863</v>
      </c>
      <c r="AA37">
        <f>Table1[[#This Row],[Avg_Daily_Consumption]]*Table1[[#This Row],[Lead_Time_Days]]+Table1[[#This Row],[Safety_Stock]]</f>
        <v>8.0547945205479454</v>
      </c>
      <c r="AB37">
        <f>IFERROR(Table1[[#This Row],[Closing_Stock]]/Table1[[#This Row],[Avg_Daily_Consumption]],9999)</f>
        <v>532.70270270270271</v>
      </c>
      <c r="AC37">
        <f>MAX(1,ROUNDUP(Table1[[#This Row],[Avg_Daily_Consumption]]*Table1[[#This Row],[Lead_Time_Days]]*0.8,0))</f>
        <v>4</v>
      </c>
      <c r="AD37" t="str">
        <f>IF(Table1[[#This Row],[Closing_Stock]]&lt;Table1[[#This Row],[Reorder_Point]],"Stock-out Risk","Adequate")</f>
        <v>Adequate</v>
      </c>
      <c r="AE37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37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 Safety Stock</v>
      </c>
      <c r="AG37">
        <f>IF(Table1[[#This Row],[Action_Recommendation]]="Review for Disposal/De-procurement",Table1[[#This Row],[Inventory_Value_INR]]*70%,IF(Table1[[#This Row],[Action_Recommendation]]="Review Safety Stock",Table1[[#This Row],[Inventory_Value_INR]]*20%,0))</f>
        <v>91368</v>
      </c>
      <c r="AH37" s="11">
        <f>MAX(0,Table1[[#This Row],[Closing_Stock]]-Table1[[#This Row],[Reorder_Point]])</f>
        <v>45.945205479452056</v>
      </c>
      <c r="AI37" s="11">
        <f>Table1[[#This Row],[Excess_Stock_Units]]*Table1[[#This Row],[Unit_Cost_INR]]</f>
        <v>388696.43835616438</v>
      </c>
      <c r="AJ37" s="11">
        <f>IF(Table1[[#This Row],[Criticality]]="Critical",0,Table1[[#This Row],[Excess_Inventory_Value_INR]])</f>
        <v>388696.43835616438</v>
      </c>
      <c r="AK37" s="11">
        <f>IF(AND(Table1[[#This Row],[Criticality]]&lt;&gt;"Critical",OR(Table1[[#This Row],[Movement_Class]]="Slow-Moving",Table1[[#This Row],[Movement_Class]]="Non-Moving")),Table1[[#This Row],[Excess_Inventory_Value_INR]],0)</f>
        <v>388696.43835616438</v>
      </c>
    </row>
    <row r="38" spans="1:37" x14ac:dyDescent="0.25">
      <c r="A38" t="s">
        <v>254</v>
      </c>
      <c r="B38" t="s">
        <v>40</v>
      </c>
      <c r="C38" t="s">
        <v>41</v>
      </c>
      <c r="D38" t="s">
        <v>42</v>
      </c>
      <c r="E38" t="s">
        <v>28</v>
      </c>
      <c r="F38">
        <v>85</v>
      </c>
      <c r="G38">
        <v>162</v>
      </c>
      <c r="H38">
        <v>133</v>
      </c>
      <c r="I38">
        <v>164</v>
      </c>
      <c r="J38">
        <v>2750</v>
      </c>
      <c r="K38">
        <v>36</v>
      </c>
      <c r="L38">
        <v>0</v>
      </c>
      <c r="M38">
        <v>90</v>
      </c>
      <c r="N38" t="s">
        <v>29</v>
      </c>
      <c r="O38">
        <v>0.19600000000000001</v>
      </c>
      <c r="P38">
        <v>88396</v>
      </c>
      <c r="Q38">
        <f>(Table1[[#This Row],[Closing_Stock]]*Table1[[#This Row],[Unit_Cost_INR]])</f>
        <v>451000</v>
      </c>
      <c r="R38">
        <f>(Table1[[#This Row],[Unit_Cost_INR]]*Table1[[#This Row],[Consumption]])</f>
        <v>365750</v>
      </c>
      <c r="S38">
        <f>IFERROR(Table1[[#This Row],[Annual_Consumption_Value_INR]]/Table1[[#This Row],[Inventory_Value_INR]],0)</f>
        <v>0.81097560975609762</v>
      </c>
      <c r="T38">
        <f>IFERROR(365/Table1[[#This Row],[Inventory_Turnover]],0)</f>
        <v>450.0751879699248</v>
      </c>
      <c r="U38" t="str">
        <f>IF(Table1[[#This Row],[Consumption]]=0,"Non-Moving", IF(Table1[[#This Row],[Days_Since_Last_Movement]]&gt;90,"Slow-Moving","Active"))</f>
        <v>Active</v>
      </c>
      <c r="V38">
        <f>SUM($Q$2:Q38)</f>
        <v>32121570</v>
      </c>
      <c r="W38">
        <f>Table1[[#This Row],[Cumulative_Inventory_Value]]/$AP$3</f>
        <v>0.42435316717521826</v>
      </c>
      <c r="X38" t="str">
        <f>IF(Table1[[#This Row],[Cumulative_Value_%]]&lt;80%,"A", IF(Table1[[#This Row],[Cumulative_Value_%]]&lt;=95%,"B","C"))</f>
        <v>A</v>
      </c>
      <c r="Y38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38">
        <f>Table1[[#This Row],[Consumption]]/365</f>
        <v>0.36438356164383562</v>
      </c>
      <c r="AA38">
        <f>Table1[[#This Row],[Avg_Daily_Consumption]]*Table1[[#This Row],[Lead_Time_Days]]+Table1[[#This Row],[Safety_Stock]]</f>
        <v>24.11780821917808</v>
      </c>
      <c r="AB38">
        <f>IFERROR(Table1[[#This Row],[Closing_Stock]]/Table1[[#This Row],[Avg_Daily_Consumption]],9999)</f>
        <v>450.0751879699248</v>
      </c>
      <c r="AC38">
        <f>MAX(1,ROUNDUP(Table1[[#This Row],[Avg_Daily_Consumption]]*Table1[[#This Row],[Lead_Time_Days]]*0.8,0))</f>
        <v>11</v>
      </c>
      <c r="AD38" t="str">
        <f>IF(Table1[[#This Row],[Closing_Stock]]&lt;Table1[[#This Row],[Reorder_Point]],"Stock-out Risk","Adequate")</f>
        <v>Adequate</v>
      </c>
      <c r="AE38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38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38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38" s="11">
        <f>MAX(0,Table1[[#This Row],[Closing_Stock]]-Table1[[#This Row],[Reorder_Point]])</f>
        <v>139.88219178082193</v>
      </c>
      <c r="AI38" s="11">
        <f>Table1[[#This Row],[Excess_Stock_Units]]*Table1[[#This Row],[Unit_Cost_INR]]</f>
        <v>384676.0273972603</v>
      </c>
      <c r="AJ38" s="11">
        <f>IF(Table1[[#This Row],[Criticality]]="Critical",0,Table1[[#This Row],[Excess_Inventory_Value_INR]])</f>
        <v>384676.0273972603</v>
      </c>
      <c r="AK38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39" spans="1:37" x14ac:dyDescent="0.25">
      <c r="A39" t="s">
        <v>247</v>
      </c>
      <c r="B39" t="s">
        <v>54</v>
      </c>
      <c r="C39" t="s">
        <v>36</v>
      </c>
      <c r="D39" t="s">
        <v>27</v>
      </c>
      <c r="E39" t="s">
        <v>28</v>
      </c>
      <c r="F39">
        <v>81</v>
      </c>
      <c r="G39">
        <v>74</v>
      </c>
      <c r="H39">
        <v>81</v>
      </c>
      <c r="I39">
        <v>74</v>
      </c>
      <c r="J39">
        <v>5980</v>
      </c>
      <c r="K39">
        <v>32</v>
      </c>
      <c r="L39">
        <v>0</v>
      </c>
      <c r="M39">
        <v>24</v>
      </c>
      <c r="N39" t="s">
        <v>61</v>
      </c>
      <c r="O39">
        <v>0.27600000000000002</v>
      </c>
      <c r="P39">
        <v>122135.52</v>
      </c>
      <c r="Q39">
        <f>(Table1[[#This Row],[Closing_Stock]]*Table1[[#This Row],[Unit_Cost_INR]])</f>
        <v>442520</v>
      </c>
      <c r="R39">
        <f>(Table1[[#This Row],[Unit_Cost_INR]]*Table1[[#This Row],[Consumption]])</f>
        <v>484380</v>
      </c>
      <c r="S39">
        <f>IFERROR(Table1[[#This Row],[Annual_Consumption_Value_INR]]/Table1[[#This Row],[Inventory_Value_INR]],0)</f>
        <v>1.0945945945945945</v>
      </c>
      <c r="T39">
        <f>IFERROR(365/Table1[[#This Row],[Inventory_Turnover]],0)</f>
        <v>333.45679012345681</v>
      </c>
      <c r="U39" t="str">
        <f>IF(Table1[[#This Row],[Consumption]]=0,"Non-Moving", IF(Table1[[#This Row],[Days_Since_Last_Movement]]&gt;90,"Slow-Moving","Active"))</f>
        <v>Active</v>
      </c>
      <c r="V39">
        <f>SUM($Q$2:Q39)</f>
        <v>32564090</v>
      </c>
      <c r="W39">
        <f>Table1[[#This Row],[Cumulative_Inventory_Value]]/$AP$3</f>
        <v>0.4301992314721495</v>
      </c>
      <c r="X39" t="str">
        <f>IF(Table1[[#This Row],[Cumulative_Value_%]]&lt;80%,"A", IF(Table1[[#This Row],[Cumulative_Value_%]]&lt;=95%,"B","C"))</f>
        <v>A</v>
      </c>
      <c r="Y39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39">
        <f>Table1[[#This Row],[Consumption]]/365</f>
        <v>0.22191780821917809</v>
      </c>
      <c r="AA39">
        <f>Table1[[#This Row],[Avg_Daily_Consumption]]*Table1[[#This Row],[Lead_Time_Days]]+Table1[[#This Row],[Safety_Stock]]</f>
        <v>13.101369863013698</v>
      </c>
      <c r="AB39">
        <f>IFERROR(Table1[[#This Row],[Closing_Stock]]/Table1[[#This Row],[Avg_Daily_Consumption]],9999)</f>
        <v>333.45679012345676</v>
      </c>
      <c r="AC39">
        <f>MAX(1,ROUNDUP(Table1[[#This Row],[Avg_Daily_Consumption]]*Table1[[#This Row],[Lead_Time_Days]]*0.8,0))</f>
        <v>6</v>
      </c>
      <c r="AD39" t="str">
        <f>IF(Table1[[#This Row],[Closing_Stock]]&lt;Table1[[#This Row],[Reorder_Point]],"Stock-out Risk","Adequate")</f>
        <v>Adequate</v>
      </c>
      <c r="AE39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39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39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39" s="11">
        <f>MAX(0,Table1[[#This Row],[Closing_Stock]]-Table1[[#This Row],[Reorder_Point]])</f>
        <v>60.898630136986299</v>
      </c>
      <c r="AI39" s="11">
        <f>Table1[[#This Row],[Excess_Stock_Units]]*Table1[[#This Row],[Unit_Cost_INR]]</f>
        <v>364173.80821917806</v>
      </c>
      <c r="AJ39" s="11">
        <f>IF(Table1[[#This Row],[Criticality]]="Critical",0,Table1[[#This Row],[Excess_Inventory_Value_INR]])</f>
        <v>364173.80821917806</v>
      </c>
      <c r="AK39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40" spans="1:37" x14ac:dyDescent="0.25">
      <c r="A40" t="s">
        <v>424</v>
      </c>
      <c r="B40" t="s">
        <v>51</v>
      </c>
      <c r="C40" t="s">
        <v>52</v>
      </c>
      <c r="D40" t="s">
        <v>21</v>
      </c>
      <c r="E40" t="s">
        <v>37</v>
      </c>
      <c r="F40">
        <v>21</v>
      </c>
      <c r="G40">
        <v>4</v>
      </c>
      <c r="H40">
        <v>4</v>
      </c>
      <c r="I40">
        <v>91</v>
      </c>
      <c r="J40">
        <v>4850</v>
      </c>
      <c r="K40">
        <v>15</v>
      </c>
      <c r="L40">
        <v>0</v>
      </c>
      <c r="M40">
        <v>266</v>
      </c>
      <c r="N40" t="s">
        <v>49</v>
      </c>
      <c r="O40">
        <v>0.23</v>
      </c>
      <c r="P40">
        <v>101510.5</v>
      </c>
      <c r="Q40">
        <f>(Table1[[#This Row],[Closing_Stock]]*Table1[[#This Row],[Unit_Cost_INR]])</f>
        <v>441350</v>
      </c>
      <c r="R40">
        <f>(Table1[[#This Row],[Unit_Cost_INR]]*Table1[[#This Row],[Consumption]])</f>
        <v>19400</v>
      </c>
      <c r="S40">
        <f>IFERROR(Table1[[#This Row],[Annual_Consumption_Value_INR]]/Table1[[#This Row],[Inventory_Value_INR]],0)</f>
        <v>4.3956043956043959E-2</v>
      </c>
      <c r="T40">
        <f>IFERROR(365/Table1[[#This Row],[Inventory_Turnover]],0)</f>
        <v>8303.75</v>
      </c>
      <c r="U40" t="str">
        <f>IF(Table1[[#This Row],[Consumption]]=0,"Non-Moving", IF(Table1[[#This Row],[Days_Since_Last_Movement]]&gt;90,"Slow-Moving","Active"))</f>
        <v>Slow-Moving</v>
      </c>
      <c r="V40">
        <f>SUM($Q$2:Q40)</f>
        <v>33005440</v>
      </c>
      <c r="W40">
        <f>Table1[[#This Row],[Cumulative_Inventory_Value]]/$AP$3</f>
        <v>0.43602983907734383</v>
      </c>
      <c r="X40" t="str">
        <f>IF(Table1[[#This Row],[Cumulative_Value_%]]&lt;80%,"A", IF(Table1[[#This Row],[Cumulative_Value_%]]&lt;=95%,"B","C"))</f>
        <v>A</v>
      </c>
      <c r="Y40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High Review</v>
      </c>
      <c r="Z40">
        <f>Table1[[#This Row],[Consumption]]/365</f>
        <v>1.0958904109589041E-2</v>
      </c>
      <c r="AA40">
        <f>Table1[[#This Row],[Avg_Daily_Consumption]]*Table1[[#This Row],[Lead_Time_Days]]+Table1[[#This Row],[Safety_Stock]]</f>
        <v>1.1643835616438356</v>
      </c>
      <c r="AB40">
        <f>IFERROR(Table1[[#This Row],[Closing_Stock]]/Table1[[#This Row],[Avg_Daily_Consumption]],9999)</f>
        <v>8303.75</v>
      </c>
      <c r="AC40">
        <f>MAX(1,ROUNDUP(Table1[[#This Row],[Avg_Daily_Consumption]]*Table1[[#This Row],[Lead_Time_Days]]*0.8,0))</f>
        <v>1</v>
      </c>
      <c r="AD40" t="str">
        <f>IF(Table1[[#This Row],[Closing_Stock]]&lt;Table1[[#This Row],[Reorder_Point]],"Stock-out Risk","Adequate")</f>
        <v>Adequate</v>
      </c>
      <c r="AE40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40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40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40" s="11">
        <f>MAX(0,Table1[[#This Row],[Closing_Stock]]-Table1[[#This Row],[Reorder_Point]])</f>
        <v>89.835616438356169</v>
      </c>
      <c r="AI40" s="11">
        <f>Table1[[#This Row],[Excess_Stock_Units]]*Table1[[#This Row],[Unit_Cost_INR]]</f>
        <v>435702.73972602742</v>
      </c>
      <c r="AJ40" s="11">
        <f>IF(Table1[[#This Row],[Criticality]]="Critical",0,Table1[[#This Row],[Excess_Inventory_Value_INR]])</f>
        <v>0</v>
      </c>
      <c r="AK40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41" spans="1:37" x14ac:dyDescent="0.25">
      <c r="A41" t="s">
        <v>230</v>
      </c>
      <c r="B41" t="s">
        <v>83</v>
      </c>
      <c r="C41" t="s">
        <v>32</v>
      </c>
      <c r="D41" t="s">
        <v>66</v>
      </c>
      <c r="E41" t="s">
        <v>46</v>
      </c>
      <c r="F41">
        <v>16</v>
      </c>
      <c r="G41">
        <v>9</v>
      </c>
      <c r="H41">
        <v>7</v>
      </c>
      <c r="I41">
        <v>18</v>
      </c>
      <c r="J41">
        <v>24380</v>
      </c>
      <c r="K41">
        <v>17</v>
      </c>
      <c r="L41">
        <v>0</v>
      </c>
      <c r="M41">
        <v>85</v>
      </c>
      <c r="N41" t="s">
        <v>38</v>
      </c>
      <c r="O41">
        <v>0.16300000000000001</v>
      </c>
      <c r="P41">
        <v>71530.92</v>
      </c>
      <c r="Q41">
        <f>(Table1[[#This Row],[Closing_Stock]]*Table1[[#This Row],[Unit_Cost_INR]])</f>
        <v>438840</v>
      </c>
      <c r="R41">
        <f>(Table1[[#This Row],[Unit_Cost_INR]]*Table1[[#This Row],[Consumption]])</f>
        <v>170660</v>
      </c>
      <c r="S41">
        <f>IFERROR(Table1[[#This Row],[Annual_Consumption_Value_INR]]/Table1[[#This Row],[Inventory_Value_INR]],0)</f>
        <v>0.3888888888888889</v>
      </c>
      <c r="T41">
        <f>IFERROR(365/Table1[[#This Row],[Inventory_Turnover]],0)</f>
        <v>938.57142857142856</v>
      </c>
      <c r="U41" t="str">
        <f>IF(Table1[[#This Row],[Consumption]]=0,"Non-Moving", IF(Table1[[#This Row],[Days_Since_Last_Movement]]&gt;90,"Slow-Moving","Active"))</f>
        <v>Active</v>
      </c>
      <c r="V41">
        <f>SUM($Q$2:Q41)</f>
        <v>33444280</v>
      </c>
      <c r="W41">
        <f>Table1[[#This Row],[Cumulative_Inventory_Value]]/$AP$3</f>
        <v>0.44182728745496586</v>
      </c>
      <c r="X41" t="str">
        <f>IF(Table1[[#This Row],[Cumulative_Value_%]]&lt;80%,"A", IF(Table1[[#This Row],[Cumulative_Value_%]]&lt;=95%,"B","C"))</f>
        <v>A</v>
      </c>
      <c r="Y41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41">
        <f>Table1[[#This Row],[Consumption]]/365</f>
        <v>1.9178082191780823E-2</v>
      </c>
      <c r="AA41">
        <f>Table1[[#This Row],[Avg_Daily_Consumption]]*Table1[[#This Row],[Lead_Time_Days]]+Table1[[#This Row],[Safety_Stock]]</f>
        <v>1.3260273972602739</v>
      </c>
      <c r="AB41">
        <f>IFERROR(Table1[[#This Row],[Closing_Stock]]/Table1[[#This Row],[Avg_Daily_Consumption]],9999)</f>
        <v>938.57142857142856</v>
      </c>
      <c r="AC41">
        <f>MAX(1,ROUNDUP(Table1[[#This Row],[Avg_Daily_Consumption]]*Table1[[#This Row],[Lead_Time_Days]]*0.8,0))</f>
        <v>1</v>
      </c>
      <c r="AD41" t="str">
        <f>IF(Table1[[#This Row],[Closing_Stock]]&lt;Table1[[#This Row],[Reorder_Point]],"Stock-out Risk","Adequate")</f>
        <v>Adequate</v>
      </c>
      <c r="AE41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41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41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41" s="11">
        <f>MAX(0,Table1[[#This Row],[Closing_Stock]]-Table1[[#This Row],[Reorder_Point]])</f>
        <v>16.673972602739727</v>
      </c>
      <c r="AI41" s="11">
        <f>Table1[[#This Row],[Excess_Stock_Units]]*Table1[[#This Row],[Unit_Cost_INR]]</f>
        <v>406511.45205479453</v>
      </c>
      <c r="AJ41" s="11">
        <f>IF(Table1[[#This Row],[Criticality]]="Critical",0,Table1[[#This Row],[Excess_Inventory_Value_INR]])</f>
        <v>406511.45205479453</v>
      </c>
      <c r="AK41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42" spans="1:37" x14ac:dyDescent="0.25">
      <c r="A42" t="s">
        <v>480</v>
      </c>
      <c r="B42" t="s">
        <v>104</v>
      </c>
      <c r="C42" t="s">
        <v>41</v>
      </c>
      <c r="D42" t="s">
        <v>66</v>
      </c>
      <c r="E42" t="s">
        <v>22</v>
      </c>
      <c r="F42">
        <v>82</v>
      </c>
      <c r="G42">
        <v>72</v>
      </c>
      <c r="H42">
        <v>76</v>
      </c>
      <c r="I42">
        <v>78</v>
      </c>
      <c r="J42">
        <v>5480</v>
      </c>
      <c r="K42">
        <v>9</v>
      </c>
      <c r="L42">
        <v>1</v>
      </c>
      <c r="M42">
        <v>99</v>
      </c>
      <c r="N42" t="s">
        <v>61</v>
      </c>
      <c r="O42">
        <v>0.27200000000000002</v>
      </c>
      <c r="P42">
        <v>116263.67999999999</v>
      </c>
      <c r="Q42">
        <f>(Table1[[#This Row],[Closing_Stock]]*Table1[[#This Row],[Unit_Cost_INR]])</f>
        <v>427440</v>
      </c>
      <c r="R42">
        <f>(Table1[[#This Row],[Unit_Cost_INR]]*Table1[[#This Row],[Consumption]])</f>
        <v>416480</v>
      </c>
      <c r="S42">
        <f>IFERROR(Table1[[#This Row],[Annual_Consumption_Value_INR]]/Table1[[#This Row],[Inventory_Value_INR]],0)</f>
        <v>0.97435897435897434</v>
      </c>
      <c r="T42">
        <f>IFERROR(365/Table1[[#This Row],[Inventory_Turnover]],0)</f>
        <v>374.60526315789474</v>
      </c>
      <c r="U42" t="str">
        <f>IF(Table1[[#This Row],[Consumption]]=0,"Non-Moving", IF(Table1[[#This Row],[Days_Since_Last_Movement]]&gt;90,"Slow-Moving","Active"))</f>
        <v>Slow-Moving</v>
      </c>
      <c r="V42">
        <f>SUM($Q$2:Q42)</f>
        <v>33871720</v>
      </c>
      <c r="W42">
        <f>Table1[[#This Row],[Cumulative_Inventory_Value]]/$AP$3</f>
        <v>0.44747413216951049</v>
      </c>
      <c r="X42" t="str">
        <f>IF(Table1[[#This Row],[Cumulative_Value_%]]&lt;80%,"A", IF(Table1[[#This Row],[Cumulative_Value_%]]&lt;=95%,"B","C"))</f>
        <v>A</v>
      </c>
      <c r="Y42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High Review</v>
      </c>
      <c r="Z42">
        <f>Table1[[#This Row],[Consumption]]/365</f>
        <v>0.20821917808219179</v>
      </c>
      <c r="AA42">
        <f>Table1[[#This Row],[Avg_Daily_Consumption]]*Table1[[#This Row],[Lead_Time_Days]]+Table1[[#This Row],[Safety_Stock]]</f>
        <v>3.8739726027397259</v>
      </c>
      <c r="AB42">
        <f>IFERROR(Table1[[#This Row],[Closing_Stock]]/Table1[[#This Row],[Avg_Daily_Consumption]],9999)</f>
        <v>374.60526315789474</v>
      </c>
      <c r="AC42">
        <f>MAX(1,ROUNDUP(Table1[[#This Row],[Avg_Daily_Consumption]]*Table1[[#This Row],[Lead_Time_Days]]*0.8,0))</f>
        <v>2</v>
      </c>
      <c r="AD42" t="str">
        <f>IF(Table1[[#This Row],[Closing_Stock]]&lt;Table1[[#This Row],[Reorder_Point]],"Stock-out Risk","Adequate")</f>
        <v>Adequate</v>
      </c>
      <c r="AE42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42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 Safety Stock</v>
      </c>
      <c r="AG42">
        <f>IF(Table1[[#This Row],[Action_Recommendation]]="Review for Disposal/De-procurement",Table1[[#This Row],[Inventory_Value_INR]]*70%,IF(Table1[[#This Row],[Action_Recommendation]]="Review Safety Stock",Table1[[#This Row],[Inventory_Value_INR]]*20%,0))</f>
        <v>85488</v>
      </c>
      <c r="AH42" s="11">
        <f>MAX(0,Table1[[#This Row],[Closing_Stock]]-Table1[[#This Row],[Reorder_Point]])</f>
        <v>74.126027397260273</v>
      </c>
      <c r="AI42" s="11">
        <f>Table1[[#This Row],[Excess_Stock_Units]]*Table1[[#This Row],[Unit_Cost_INR]]</f>
        <v>406210.63013698632</v>
      </c>
      <c r="AJ42" s="11">
        <f>IF(Table1[[#This Row],[Criticality]]="Critical",0,Table1[[#This Row],[Excess_Inventory_Value_INR]])</f>
        <v>406210.63013698632</v>
      </c>
      <c r="AK42" s="11">
        <f>IF(AND(Table1[[#This Row],[Criticality]]&lt;&gt;"Critical",OR(Table1[[#This Row],[Movement_Class]]="Slow-Moving",Table1[[#This Row],[Movement_Class]]="Non-Moving")),Table1[[#This Row],[Excess_Inventory_Value_INR]],0)</f>
        <v>406210.63013698632</v>
      </c>
    </row>
    <row r="43" spans="1:37" x14ac:dyDescent="0.25">
      <c r="A43" t="s">
        <v>528</v>
      </c>
      <c r="B43" t="s">
        <v>126</v>
      </c>
      <c r="C43" t="s">
        <v>20</v>
      </c>
      <c r="D43" t="s">
        <v>45</v>
      </c>
      <c r="E43" t="s">
        <v>22</v>
      </c>
      <c r="F43">
        <v>37</v>
      </c>
      <c r="G43">
        <v>177</v>
      </c>
      <c r="H43">
        <v>154</v>
      </c>
      <c r="I43">
        <v>120</v>
      </c>
      <c r="J43">
        <v>3560</v>
      </c>
      <c r="K43">
        <v>43</v>
      </c>
      <c r="L43">
        <v>0</v>
      </c>
      <c r="M43">
        <v>6</v>
      </c>
      <c r="N43" t="s">
        <v>61</v>
      </c>
      <c r="O43">
        <v>0.19</v>
      </c>
      <c r="P43">
        <v>81168</v>
      </c>
      <c r="Q43">
        <f>(Table1[[#This Row],[Closing_Stock]]*Table1[[#This Row],[Unit_Cost_INR]])</f>
        <v>427200</v>
      </c>
      <c r="R43">
        <f>(Table1[[#This Row],[Unit_Cost_INR]]*Table1[[#This Row],[Consumption]])</f>
        <v>548240</v>
      </c>
      <c r="S43">
        <f>IFERROR(Table1[[#This Row],[Annual_Consumption_Value_INR]]/Table1[[#This Row],[Inventory_Value_INR]],0)</f>
        <v>1.2833333333333334</v>
      </c>
      <c r="T43">
        <f>IFERROR(365/Table1[[#This Row],[Inventory_Turnover]],0)</f>
        <v>284.41558441558442</v>
      </c>
      <c r="U43" t="str">
        <f>IF(Table1[[#This Row],[Consumption]]=0,"Non-Moving", IF(Table1[[#This Row],[Days_Since_Last_Movement]]&gt;90,"Slow-Moving","Active"))</f>
        <v>Active</v>
      </c>
      <c r="V43">
        <f>SUM($Q$2:Q43)</f>
        <v>34298920</v>
      </c>
      <c r="W43">
        <f>Table1[[#This Row],[Cumulative_Inventory_Value]]/$AP$3</f>
        <v>0.45311780628062193</v>
      </c>
      <c r="X43" t="str">
        <f>IF(Table1[[#This Row],[Cumulative_Value_%]]&lt;80%,"A", IF(Table1[[#This Row],[Cumulative_Value_%]]&lt;=95%,"B","C"))</f>
        <v>A</v>
      </c>
      <c r="Y43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43">
        <f>Table1[[#This Row],[Consumption]]/365</f>
        <v>0.42191780821917807</v>
      </c>
      <c r="AA43">
        <f>Table1[[#This Row],[Avg_Daily_Consumption]]*Table1[[#This Row],[Lead_Time_Days]]+Table1[[#This Row],[Safety_Stock]]</f>
        <v>33.142465753424659</v>
      </c>
      <c r="AB43">
        <f>IFERROR(Table1[[#This Row],[Closing_Stock]]/Table1[[#This Row],[Avg_Daily_Consumption]],9999)</f>
        <v>284.41558441558442</v>
      </c>
      <c r="AC43">
        <f>MAX(1,ROUNDUP(Table1[[#This Row],[Avg_Daily_Consumption]]*Table1[[#This Row],[Lead_Time_Days]]*0.8,0))</f>
        <v>15</v>
      </c>
      <c r="AD43" t="str">
        <f>IF(Table1[[#This Row],[Closing_Stock]]&lt;Table1[[#This Row],[Reorder_Point]],"Stock-out Risk","Adequate")</f>
        <v>Adequate</v>
      </c>
      <c r="AE43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43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43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43" s="11">
        <f>MAX(0,Table1[[#This Row],[Closing_Stock]]-Table1[[#This Row],[Reorder_Point]])</f>
        <v>86.857534246575341</v>
      </c>
      <c r="AI43" s="11">
        <f>Table1[[#This Row],[Excess_Stock_Units]]*Table1[[#This Row],[Unit_Cost_INR]]</f>
        <v>309212.82191780821</v>
      </c>
      <c r="AJ43" s="11">
        <f>IF(Table1[[#This Row],[Criticality]]="Critical",0,Table1[[#This Row],[Excess_Inventory_Value_INR]])</f>
        <v>309212.82191780821</v>
      </c>
      <c r="AK43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44" spans="1:37" x14ac:dyDescent="0.25">
      <c r="A44" t="s">
        <v>233</v>
      </c>
      <c r="B44" t="s">
        <v>80</v>
      </c>
      <c r="C44" t="s">
        <v>20</v>
      </c>
      <c r="D44" t="s">
        <v>42</v>
      </c>
      <c r="E44" t="s">
        <v>22</v>
      </c>
      <c r="F44">
        <v>20</v>
      </c>
      <c r="G44">
        <v>13</v>
      </c>
      <c r="H44">
        <v>0</v>
      </c>
      <c r="I44">
        <v>110</v>
      </c>
      <c r="J44">
        <v>3840</v>
      </c>
      <c r="K44">
        <v>3</v>
      </c>
      <c r="L44">
        <v>0</v>
      </c>
      <c r="M44">
        <v>480</v>
      </c>
      <c r="N44" t="s">
        <v>58</v>
      </c>
      <c r="O44">
        <v>0.19400000000000001</v>
      </c>
      <c r="P44">
        <v>81945.600000000006</v>
      </c>
      <c r="Q44">
        <f>(Table1[[#This Row],[Closing_Stock]]*Table1[[#This Row],[Unit_Cost_INR]])</f>
        <v>422400</v>
      </c>
      <c r="R44">
        <f>(Table1[[#This Row],[Unit_Cost_INR]]*Table1[[#This Row],[Consumption]])</f>
        <v>0</v>
      </c>
      <c r="S44">
        <f>IFERROR(Table1[[#This Row],[Annual_Consumption_Value_INR]]/Table1[[#This Row],[Inventory_Value_INR]],0)</f>
        <v>0</v>
      </c>
      <c r="T44">
        <f>IFERROR(365/Table1[[#This Row],[Inventory_Turnover]],0)</f>
        <v>0</v>
      </c>
      <c r="U44" t="str">
        <f>IF(Table1[[#This Row],[Consumption]]=0,"Non-Moving", IF(Table1[[#This Row],[Days_Since_Last_Movement]]&gt;90,"Slow-Moving","Active"))</f>
        <v>Non-Moving</v>
      </c>
      <c r="V44">
        <f>SUM($Q$2:Q44)</f>
        <v>34721320</v>
      </c>
      <c r="W44">
        <f>Table1[[#This Row],[Cumulative_Inventory_Value]]/$AP$3</f>
        <v>0.45869806832306914</v>
      </c>
      <c r="X44" t="str">
        <f>IF(Table1[[#This Row],[Cumulative_Value_%]]&lt;80%,"A", IF(Table1[[#This Row],[Cumulative_Value_%]]&lt;=95%,"B","C"))</f>
        <v>A</v>
      </c>
      <c r="Y44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Critical Review</v>
      </c>
      <c r="Z44">
        <f>Table1[[#This Row],[Consumption]]/365</f>
        <v>0</v>
      </c>
      <c r="AA44">
        <f>Table1[[#This Row],[Avg_Daily_Consumption]]*Table1[[#This Row],[Lead_Time_Days]]+Table1[[#This Row],[Safety_Stock]]</f>
        <v>1</v>
      </c>
      <c r="AB44">
        <f>IFERROR(Table1[[#This Row],[Closing_Stock]]/Table1[[#This Row],[Avg_Daily_Consumption]],9999)</f>
        <v>9999</v>
      </c>
      <c r="AC44">
        <f>MAX(1,ROUNDUP(Table1[[#This Row],[Avg_Daily_Consumption]]*Table1[[#This Row],[Lead_Time_Days]]*0.8,0))</f>
        <v>1</v>
      </c>
      <c r="AD44" t="str">
        <f>IF(Table1[[#This Row],[Closing_Stock]]&lt;Table1[[#This Row],[Reorder_Point]],"Stock-out Risk","Adequate")</f>
        <v>Adequate</v>
      </c>
      <c r="AE44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44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 for Disposal/De-procurement</v>
      </c>
      <c r="AG44">
        <f>IF(Table1[[#This Row],[Action_Recommendation]]="Review for Disposal/De-procurement",Table1[[#This Row],[Inventory_Value_INR]]*70%,IF(Table1[[#This Row],[Action_Recommendation]]="Review Safety Stock",Table1[[#This Row],[Inventory_Value_INR]]*20%,0))</f>
        <v>295680</v>
      </c>
      <c r="AH44" s="11">
        <f>MAX(0,Table1[[#This Row],[Closing_Stock]]-Table1[[#This Row],[Reorder_Point]])</f>
        <v>109</v>
      </c>
      <c r="AI44" s="11">
        <f>Table1[[#This Row],[Excess_Stock_Units]]*Table1[[#This Row],[Unit_Cost_INR]]</f>
        <v>418560</v>
      </c>
      <c r="AJ44" s="11">
        <f>IF(Table1[[#This Row],[Criticality]]="Critical",0,Table1[[#This Row],[Excess_Inventory_Value_INR]])</f>
        <v>418560</v>
      </c>
      <c r="AK44" s="11">
        <f>IF(AND(Table1[[#This Row],[Criticality]]&lt;&gt;"Critical",OR(Table1[[#This Row],[Movement_Class]]="Slow-Moving",Table1[[#This Row],[Movement_Class]]="Non-Moving")),Table1[[#This Row],[Excess_Inventory_Value_INR]],0)</f>
        <v>418560</v>
      </c>
    </row>
    <row r="45" spans="1:37" x14ac:dyDescent="0.25">
      <c r="A45" t="s">
        <v>156</v>
      </c>
      <c r="B45" t="s">
        <v>83</v>
      </c>
      <c r="C45" t="s">
        <v>32</v>
      </c>
      <c r="D45" t="s">
        <v>42</v>
      </c>
      <c r="E45" t="s">
        <v>22</v>
      </c>
      <c r="F45">
        <v>7</v>
      </c>
      <c r="G45">
        <v>46</v>
      </c>
      <c r="H45">
        <v>26</v>
      </c>
      <c r="I45">
        <v>27</v>
      </c>
      <c r="J45">
        <v>15640</v>
      </c>
      <c r="K45">
        <v>10</v>
      </c>
      <c r="L45">
        <v>0</v>
      </c>
      <c r="M45">
        <v>42</v>
      </c>
      <c r="N45" t="s">
        <v>81</v>
      </c>
      <c r="O45">
        <v>0.17399999999999999</v>
      </c>
      <c r="P45">
        <v>73476.72</v>
      </c>
      <c r="Q45">
        <f>(Table1[[#This Row],[Closing_Stock]]*Table1[[#This Row],[Unit_Cost_INR]])</f>
        <v>422280</v>
      </c>
      <c r="R45">
        <f>(Table1[[#This Row],[Unit_Cost_INR]]*Table1[[#This Row],[Consumption]])</f>
        <v>406640</v>
      </c>
      <c r="S45">
        <f>IFERROR(Table1[[#This Row],[Annual_Consumption_Value_INR]]/Table1[[#This Row],[Inventory_Value_INR]],0)</f>
        <v>0.96296296296296291</v>
      </c>
      <c r="T45">
        <f>IFERROR(365/Table1[[#This Row],[Inventory_Turnover]],0)</f>
        <v>379.03846153846155</v>
      </c>
      <c r="U45" t="str">
        <f>IF(Table1[[#This Row],[Consumption]]=0,"Non-Moving", IF(Table1[[#This Row],[Days_Since_Last_Movement]]&gt;90,"Slow-Moving","Active"))</f>
        <v>Active</v>
      </c>
      <c r="V45">
        <f>SUM($Q$2:Q45)</f>
        <v>35143600</v>
      </c>
      <c r="W45">
        <f>Table1[[#This Row],[Cumulative_Inventory_Value]]/$AP$3</f>
        <v>0.46427674506379979</v>
      </c>
      <c r="X45" t="str">
        <f>IF(Table1[[#This Row],[Cumulative_Value_%]]&lt;80%,"A", IF(Table1[[#This Row],[Cumulative_Value_%]]&lt;=95%,"B","C"))</f>
        <v>A</v>
      </c>
      <c r="Y45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45">
        <f>Table1[[#This Row],[Consumption]]/365</f>
        <v>7.1232876712328766E-2</v>
      </c>
      <c r="AA45">
        <f>Table1[[#This Row],[Avg_Daily_Consumption]]*Table1[[#This Row],[Lead_Time_Days]]+Table1[[#This Row],[Safety_Stock]]</f>
        <v>1.7123287671232876</v>
      </c>
      <c r="AB45">
        <f>IFERROR(Table1[[#This Row],[Closing_Stock]]/Table1[[#This Row],[Avg_Daily_Consumption]],9999)</f>
        <v>379.03846153846155</v>
      </c>
      <c r="AC45">
        <f>MAX(1,ROUNDUP(Table1[[#This Row],[Avg_Daily_Consumption]]*Table1[[#This Row],[Lead_Time_Days]]*0.8,0))</f>
        <v>1</v>
      </c>
      <c r="AD45" t="str">
        <f>IF(Table1[[#This Row],[Closing_Stock]]&lt;Table1[[#This Row],[Reorder_Point]],"Stock-out Risk","Adequate")</f>
        <v>Adequate</v>
      </c>
      <c r="AE45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45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45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45" s="11">
        <f>MAX(0,Table1[[#This Row],[Closing_Stock]]-Table1[[#This Row],[Reorder_Point]])</f>
        <v>25.287671232876711</v>
      </c>
      <c r="AI45" s="11">
        <f>Table1[[#This Row],[Excess_Stock_Units]]*Table1[[#This Row],[Unit_Cost_INR]]</f>
        <v>395499.17808219179</v>
      </c>
      <c r="AJ45" s="11">
        <f>IF(Table1[[#This Row],[Criticality]]="Critical",0,Table1[[#This Row],[Excess_Inventory_Value_INR]])</f>
        <v>395499.17808219179</v>
      </c>
      <c r="AK45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46" spans="1:37" x14ac:dyDescent="0.25">
      <c r="A46" t="s">
        <v>378</v>
      </c>
      <c r="B46" t="s">
        <v>93</v>
      </c>
      <c r="C46" t="s">
        <v>26</v>
      </c>
      <c r="D46" t="s">
        <v>60</v>
      </c>
      <c r="E46" t="s">
        <v>28</v>
      </c>
      <c r="F46">
        <v>50</v>
      </c>
      <c r="G46">
        <v>53</v>
      </c>
      <c r="H46">
        <v>45</v>
      </c>
      <c r="I46">
        <v>58</v>
      </c>
      <c r="J46">
        <v>7150</v>
      </c>
      <c r="K46">
        <v>14</v>
      </c>
      <c r="L46">
        <v>0</v>
      </c>
      <c r="M46">
        <v>62</v>
      </c>
      <c r="N46" t="s">
        <v>38</v>
      </c>
      <c r="O46">
        <v>0.26800000000000002</v>
      </c>
      <c r="P46">
        <v>111139.6</v>
      </c>
      <c r="Q46">
        <f>(Table1[[#This Row],[Closing_Stock]]*Table1[[#This Row],[Unit_Cost_INR]])</f>
        <v>414700</v>
      </c>
      <c r="R46">
        <f>(Table1[[#This Row],[Unit_Cost_INR]]*Table1[[#This Row],[Consumption]])</f>
        <v>321750</v>
      </c>
      <c r="S46">
        <f>IFERROR(Table1[[#This Row],[Annual_Consumption_Value_INR]]/Table1[[#This Row],[Inventory_Value_INR]],0)</f>
        <v>0.77586206896551724</v>
      </c>
      <c r="T46">
        <f>IFERROR(365/Table1[[#This Row],[Inventory_Turnover]],0)</f>
        <v>470.44444444444446</v>
      </c>
      <c r="U46" t="str">
        <f>IF(Table1[[#This Row],[Consumption]]=0,"Non-Moving", IF(Table1[[#This Row],[Days_Since_Last_Movement]]&gt;90,"Slow-Moving","Active"))</f>
        <v>Active</v>
      </c>
      <c r="V46">
        <f>SUM($Q$2:Q46)</f>
        <v>35558300</v>
      </c>
      <c r="W46">
        <f>Table1[[#This Row],[Cumulative_Inventory_Value]]/$AP$3</f>
        <v>0.46975528357943158</v>
      </c>
      <c r="X46" t="str">
        <f>IF(Table1[[#This Row],[Cumulative_Value_%]]&lt;80%,"A", IF(Table1[[#This Row],[Cumulative_Value_%]]&lt;=95%,"B","C"))</f>
        <v>A</v>
      </c>
      <c r="Y46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46">
        <f>Table1[[#This Row],[Consumption]]/365</f>
        <v>0.12328767123287671</v>
      </c>
      <c r="AA46">
        <f>Table1[[#This Row],[Avg_Daily_Consumption]]*Table1[[#This Row],[Lead_Time_Days]]+Table1[[#This Row],[Safety_Stock]]</f>
        <v>3.7260273972602738</v>
      </c>
      <c r="AB46">
        <f>IFERROR(Table1[[#This Row],[Closing_Stock]]/Table1[[#This Row],[Avg_Daily_Consumption]],9999)</f>
        <v>470.44444444444446</v>
      </c>
      <c r="AC46">
        <f>MAX(1,ROUNDUP(Table1[[#This Row],[Avg_Daily_Consumption]]*Table1[[#This Row],[Lead_Time_Days]]*0.8,0))</f>
        <v>2</v>
      </c>
      <c r="AD46" t="str">
        <f>IF(Table1[[#This Row],[Closing_Stock]]&lt;Table1[[#This Row],[Reorder_Point]],"Stock-out Risk","Adequate")</f>
        <v>Adequate</v>
      </c>
      <c r="AE46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46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46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46" s="11">
        <f>MAX(0,Table1[[#This Row],[Closing_Stock]]-Table1[[#This Row],[Reorder_Point]])</f>
        <v>54.273972602739725</v>
      </c>
      <c r="AI46" s="11">
        <f>Table1[[#This Row],[Excess_Stock_Units]]*Table1[[#This Row],[Unit_Cost_INR]]</f>
        <v>388058.90410958906</v>
      </c>
      <c r="AJ46" s="11">
        <f>IF(Table1[[#This Row],[Criticality]]="Critical",0,Table1[[#This Row],[Excess_Inventory_Value_INR]])</f>
        <v>388058.90410958906</v>
      </c>
      <c r="AK46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47" spans="1:37" x14ac:dyDescent="0.25">
      <c r="A47" t="s">
        <v>86</v>
      </c>
      <c r="B47" t="s">
        <v>19</v>
      </c>
      <c r="C47" t="s">
        <v>20</v>
      </c>
      <c r="D47" t="s">
        <v>27</v>
      </c>
      <c r="E47" t="s">
        <v>22</v>
      </c>
      <c r="F47">
        <v>77</v>
      </c>
      <c r="G47">
        <v>206</v>
      </c>
      <c r="H47">
        <v>0</v>
      </c>
      <c r="I47">
        <v>141</v>
      </c>
      <c r="J47">
        <v>2940</v>
      </c>
      <c r="K47">
        <v>17</v>
      </c>
      <c r="L47">
        <v>2</v>
      </c>
      <c r="M47">
        <v>690</v>
      </c>
      <c r="N47" t="s">
        <v>81</v>
      </c>
      <c r="O47">
        <v>0.29799999999999999</v>
      </c>
      <c r="P47">
        <v>123532.92</v>
      </c>
      <c r="Q47">
        <f>(Table1[[#This Row],[Closing_Stock]]*Table1[[#This Row],[Unit_Cost_INR]])</f>
        <v>414540</v>
      </c>
      <c r="R47">
        <f>(Table1[[#This Row],[Unit_Cost_INR]]*Table1[[#This Row],[Consumption]])</f>
        <v>0</v>
      </c>
      <c r="S47">
        <f>IFERROR(Table1[[#This Row],[Annual_Consumption_Value_INR]]/Table1[[#This Row],[Inventory_Value_INR]],0)</f>
        <v>0</v>
      </c>
      <c r="T47">
        <f>IFERROR(365/Table1[[#This Row],[Inventory_Turnover]],0)</f>
        <v>0</v>
      </c>
      <c r="U47" t="str">
        <f>IF(Table1[[#This Row],[Consumption]]=0,"Non-Moving", IF(Table1[[#This Row],[Days_Since_Last_Movement]]&gt;90,"Slow-Moving","Active"))</f>
        <v>Non-Moving</v>
      </c>
      <c r="V47">
        <f>SUM($Q$2:Q47)</f>
        <v>35972840</v>
      </c>
      <c r="W47">
        <f>Table1[[#This Row],[Cumulative_Inventory_Value]]/$AP$3</f>
        <v>0.47523170835944128</v>
      </c>
      <c r="X47" t="str">
        <f>IF(Table1[[#This Row],[Cumulative_Value_%]]&lt;80%,"A", IF(Table1[[#This Row],[Cumulative_Value_%]]&lt;=95%,"B","C"))</f>
        <v>A</v>
      </c>
      <c r="Y47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Critical Review</v>
      </c>
      <c r="Z47">
        <f>Table1[[#This Row],[Consumption]]/365</f>
        <v>0</v>
      </c>
      <c r="AA47">
        <f>Table1[[#This Row],[Avg_Daily_Consumption]]*Table1[[#This Row],[Lead_Time_Days]]+Table1[[#This Row],[Safety_Stock]]</f>
        <v>1</v>
      </c>
      <c r="AB47">
        <f>IFERROR(Table1[[#This Row],[Closing_Stock]]/Table1[[#This Row],[Avg_Daily_Consumption]],9999)</f>
        <v>9999</v>
      </c>
      <c r="AC47">
        <f>MAX(1,ROUNDUP(Table1[[#This Row],[Avg_Daily_Consumption]]*Table1[[#This Row],[Lead_Time_Days]]*0.8,0))</f>
        <v>1</v>
      </c>
      <c r="AD47" t="str">
        <f>IF(Table1[[#This Row],[Closing_Stock]]&lt;Table1[[#This Row],[Reorder_Point]],"Stock-out Risk","Adequate")</f>
        <v>Adequate</v>
      </c>
      <c r="AE47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47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 for Disposal/De-procurement</v>
      </c>
      <c r="AG47">
        <f>IF(Table1[[#This Row],[Action_Recommendation]]="Review for Disposal/De-procurement",Table1[[#This Row],[Inventory_Value_INR]]*70%,IF(Table1[[#This Row],[Action_Recommendation]]="Review Safety Stock",Table1[[#This Row],[Inventory_Value_INR]]*20%,0))</f>
        <v>290178</v>
      </c>
      <c r="AH47" s="11">
        <f>MAX(0,Table1[[#This Row],[Closing_Stock]]-Table1[[#This Row],[Reorder_Point]])</f>
        <v>140</v>
      </c>
      <c r="AI47" s="11">
        <f>Table1[[#This Row],[Excess_Stock_Units]]*Table1[[#This Row],[Unit_Cost_INR]]</f>
        <v>411600</v>
      </c>
      <c r="AJ47" s="11">
        <f>IF(Table1[[#This Row],[Criticality]]="Critical",0,Table1[[#This Row],[Excess_Inventory_Value_INR]])</f>
        <v>411600</v>
      </c>
      <c r="AK47" s="11">
        <f>IF(AND(Table1[[#This Row],[Criticality]]&lt;&gt;"Critical",OR(Table1[[#This Row],[Movement_Class]]="Slow-Moving",Table1[[#This Row],[Movement_Class]]="Non-Moving")),Table1[[#This Row],[Excess_Inventory_Value_INR]],0)</f>
        <v>411600</v>
      </c>
    </row>
    <row r="48" spans="1:37" x14ac:dyDescent="0.25">
      <c r="A48" t="s">
        <v>321</v>
      </c>
      <c r="B48" t="s">
        <v>95</v>
      </c>
      <c r="C48" t="s">
        <v>26</v>
      </c>
      <c r="D48" t="s">
        <v>21</v>
      </c>
      <c r="E48" t="s">
        <v>37</v>
      </c>
      <c r="F48">
        <v>264</v>
      </c>
      <c r="G48">
        <v>531</v>
      </c>
      <c r="H48">
        <v>3</v>
      </c>
      <c r="I48">
        <v>416</v>
      </c>
      <c r="J48">
        <v>990</v>
      </c>
      <c r="K48">
        <v>15</v>
      </c>
      <c r="L48">
        <v>0</v>
      </c>
      <c r="M48">
        <v>270</v>
      </c>
      <c r="N48" t="s">
        <v>23</v>
      </c>
      <c r="O48">
        <v>0.153</v>
      </c>
      <c r="P48">
        <v>63011.519999999997</v>
      </c>
      <c r="Q48">
        <f>(Table1[[#This Row],[Closing_Stock]]*Table1[[#This Row],[Unit_Cost_INR]])</f>
        <v>411840</v>
      </c>
      <c r="R48">
        <f>(Table1[[#This Row],[Unit_Cost_INR]]*Table1[[#This Row],[Consumption]])</f>
        <v>2970</v>
      </c>
      <c r="S48">
        <f>IFERROR(Table1[[#This Row],[Annual_Consumption_Value_INR]]/Table1[[#This Row],[Inventory_Value_INR]],0)</f>
        <v>7.2115384615384619E-3</v>
      </c>
      <c r="T48">
        <f>IFERROR(365/Table1[[#This Row],[Inventory_Turnover]],0)</f>
        <v>50613.333333333328</v>
      </c>
      <c r="U48" t="str">
        <f>IF(Table1[[#This Row],[Consumption]]=0,"Non-Moving", IF(Table1[[#This Row],[Days_Since_Last_Movement]]&gt;90,"Slow-Moving","Active"))</f>
        <v>Slow-Moving</v>
      </c>
      <c r="V48">
        <f>SUM($Q$2:Q48)</f>
        <v>36384680</v>
      </c>
      <c r="W48">
        <f>Table1[[#This Row],[Cumulative_Inventory_Value]]/$AP$3</f>
        <v>0.48067246385082735</v>
      </c>
      <c r="X48" t="str">
        <f>IF(Table1[[#This Row],[Cumulative_Value_%]]&lt;80%,"A", IF(Table1[[#This Row],[Cumulative_Value_%]]&lt;=95%,"B","C"))</f>
        <v>A</v>
      </c>
      <c r="Y48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High Review</v>
      </c>
      <c r="Z48">
        <f>Table1[[#This Row],[Consumption]]/365</f>
        <v>8.21917808219178E-3</v>
      </c>
      <c r="AA48">
        <f>Table1[[#This Row],[Avg_Daily_Consumption]]*Table1[[#This Row],[Lead_Time_Days]]+Table1[[#This Row],[Safety_Stock]]</f>
        <v>1.1232876712328768</v>
      </c>
      <c r="AB48">
        <f>IFERROR(Table1[[#This Row],[Closing_Stock]]/Table1[[#This Row],[Avg_Daily_Consumption]],9999)</f>
        <v>50613.333333333336</v>
      </c>
      <c r="AC48">
        <f>MAX(1,ROUNDUP(Table1[[#This Row],[Avg_Daily_Consumption]]*Table1[[#This Row],[Lead_Time_Days]]*0.8,0))</f>
        <v>1</v>
      </c>
      <c r="AD48" t="str">
        <f>IF(Table1[[#This Row],[Closing_Stock]]&lt;Table1[[#This Row],[Reorder_Point]],"Stock-out Risk","Adequate")</f>
        <v>Adequate</v>
      </c>
      <c r="AE48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48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48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48" s="11">
        <f>MAX(0,Table1[[#This Row],[Closing_Stock]]-Table1[[#This Row],[Reorder_Point]])</f>
        <v>414.8767123287671</v>
      </c>
      <c r="AI48" s="11">
        <f>Table1[[#This Row],[Excess_Stock_Units]]*Table1[[#This Row],[Unit_Cost_INR]]</f>
        <v>410727.94520547945</v>
      </c>
      <c r="AJ48" s="11">
        <f>IF(Table1[[#This Row],[Criticality]]="Critical",0,Table1[[#This Row],[Excess_Inventory_Value_INR]])</f>
        <v>0</v>
      </c>
      <c r="AK48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49" spans="1:37" x14ac:dyDescent="0.25">
      <c r="A49" t="s">
        <v>319</v>
      </c>
      <c r="B49" t="s">
        <v>99</v>
      </c>
      <c r="C49" t="s">
        <v>20</v>
      </c>
      <c r="D49" t="s">
        <v>60</v>
      </c>
      <c r="E49" t="s">
        <v>28</v>
      </c>
      <c r="F49">
        <v>8</v>
      </c>
      <c r="G49">
        <v>20</v>
      </c>
      <c r="H49">
        <v>3</v>
      </c>
      <c r="I49">
        <v>43</v>
      </c>
      <c r="J49">
        <v>9520</v>
      </c>
      <c r="K49">
        <v>19</v>
      </c>
      <c r="L49">
        <v>0</v>
      </c>
      <c r="M49">
        <v>228</v>
      </c>
      <c r="N49" t="s">
        <v>23</v>
      </c>
      <c r="O49">
        <v>0.17399999999999999</v>
      </c>
      <c r="P49">
        <v>71228.639999999999</v>
      </c>
      <c r="Q49">
        <f>(Table1[[#This Row],[Closing_Stock]]*Table1[[#This Row],[Unit_Cost_INR]])</f>
        <v>409360</v>
      </c>
      <c r="R49">
        <f>(Table1[[#This Row],[Unit_Cost_INR]]*Table1[[#This Row],[Consumption]])</f>
        <v>28560</v>
      </c>
      <c r="S49">
        <f>IFERROR(Table1[[#This Row],[Annual_Consumption_Value_INR]]/Table1[[#This Row],[Inventory_Value_INR]],0)</f>
        <v>6.9767441860465115E-2</v>
      </c>
      <c r="T49">
        <f>IFERROR(365/Table1[[#This Row],[Inventory_Turnover]],0)</f>
        <v>5231.666666666667</v>
      </c>
      <c r="U49" t="str">
        <f>IF(Table1[[#This Row],[Consumption]]=0,"Non-Moving", IF(Table1[[#This Row],[Days_Since_Last_Movement]]&gt;90,"Slow-Moving","Active"))</f>
        <v>Slow-Moving</v>
      </c>
      <c r="V49">
        <f>SUM($Q$2:Q49)</f>
        <v>36794040</v>
      </c>
      <c r="W49">
        <f>Table1[[#This Row],[Cumulative_Inventory_Value]]/$AP$3</f>
        <v>0.48608045644007025</v>
      </c>
      <c r="X49" t="str">
        <f>IF(Table1[[#This Row],[Cumulative_Value_%]]&lt;80%,"A", IF(Table1[[#This Row],[Cumulative_Value_%]]&lt;=95%,"B","C"))</f>
        <v>A</v>
      </c>
      <c r="Y49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High Review</v>
      </c>
      <c r="Z49">
        <f>Table1[[#This Row],[Consumption]]/365</f>
        <v>8.21917808219178E-3</v>
      </c>
      <c r="AA49">
        <f>Table1[[#This Row],[Avg_Daily_Consumption]]*Table1[[#This Row],[Lead_Time_Days]]+Table1[[#This Row],[Safety_Stock]]</f>
        <v>1.1561643835616437</v>
      </c>
      <c r="AB49">
        <f>IFERROR(Table1[[#This Row],[Closing_Stock]]/Table1[[#This Row],[Avg_Daily_Consumption]],9999)</f>
        <v>5231.666666666667</v>
      </c>
      <c r="AC49">
        <f>MAX(1,ROUNDUP(Table1[[#This Row],[Avg_Daily_Consumption]]*Table1[[#This Row],[Lead_Time_Days]]*0.8,0))</f>
        <v>1</v>
      </c>
      <c r="AD49" t="str">
        <f>IF(Table1[[#This Row],[Closing_Stock]]&lt;Table1[[#This Row],[Reorder_Point]],"Stock-out Risk","Adequate")</f>
        <v>Adequate</v>
      </c>
      <c r="AE49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49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 Safety Stock</v>
      </c>
      <c r="AG49">
        <f>IF(Table1[[#This Row],[Action_Recommendation]]="Review for Disposal/De-procurement",Table1[[#This Row],[Inventory_Value_INR]]*70%,IF(Table1[[#This Row],[Action_Recommendation]]="Review Safety Stock",Table1[[#This Row],[Inventory_Value_INR]]*20%,0))</f>
        <v>81872</v>
      </c>
      <c r="AH49" s="11">
        <f>MAX(0,Table1[[#This Row],[Closing_Stock]]-Table1[[#This Row],[Reorder_Point]])</f>
        <v>41.843835616438355</v>
      </c>
      <c r="AI49" s="11">
        <f>Table1[[#This Row],[Excess_Stock_Units]]*Table1[[#This Row],[Unit_Cost_INR]]</f>
        <v>398353.31506849313</v>
      </c>
      <c r="AJ49" s="11">
        <f>IF(Table1[[#This Row],[Criticality]]="Critical",0,Table1[[#This Row],[Excess_Inventory_Value_INR]])</f>
        <v>398353.31506849313</v>
      </c>
      <c r="AK49" s="11">
        <f>IF(AND(Table1[[#This Row],[Criticality]]&lt;&gt;"Critical",OR(Table1[[#This Row],[Movement_Class]]="Slow-Moving",Table1[[#This Row],[Movement_Class]]="Non-Moving")),Table1[[#This Row],[Excess_Inventory_Value_INR]],0)</f>
        <v>398353.31506849313</v>
      </c>
    </row>
    <row r="50" spans="1:37" x14ac:dyDescent="0.25">
      <c r="A50" t="s">
        <v>262</v>
      </c>
      <c r="B50" t="s">
        <v>48</v>
      </c>
      <c r="C50" t="s">
        <v>41</v>
      </c>
      <c r="D50" t="s">
        <v>45</v>
      </c>
      <c r="E50" t="s">
        <v>22</v>
      </c>
      <c r="F50">
        <v>54</v>
      </c>
      <c r="G50">
        <v>77</v>
      </c>
      <c r="H50">
        <v>52</v>
      </c>
      <c r="I50">
        <v>79</v>
      </c>
      <c r="J50">
        <v>4590</v>
      </c>
      <c r="K50">
        <v>31</v>
      </c>
      <c r="L50">
        <v>0</v>
      </c>
      <c r="M50">
        <v>129</v>
      </c>
      <c r="N50" t="s">
        <v>61</v>
      </c>
      <c r="O50">
        <v>0.16200000000000001</v>
      </c>
      <c r="P50">
        <v>58742.82</v>
      </c>
      <c r="Q50">
        <f>(Table1[[#This Row],[Closing_Stock]]*Table1[[#This Row],[Unit_Cost_INR]])</f>
        <v>362610</v>
      </c>
      <c r="R50">
        <f>(Table1[[#This Row],[Unit_Cost_INR]]*Table1[[#This Row],[Consumption]])</f>
        <v>238680</v>
      </c>
      <c r="S50">
        <f>IFERROR(Table1[[#This Row],[Annual_Consumption_Value_INR]]/Table1[[#This Row],[Inventory_Value_INR]],0)</f>
        <v>0.65822784810126578</v>
      </c>
      <c r="T50">
        <f>IFERROR(365/Table1[[#This Row],[Inventory_Turnover]],0)</f>
        <v>554.51923076923083</v>
      </c>
      <c r="U50" t="str">
        <f>IF(Table1[[#This Row],[Consumption]]=0,"Non-Moving", IF(Table1[[#This Row],[Days_Since_Last_Movement]]&gt;90,"Slow-Moving","Active"))</f>
        <v>Slow-Moving</v>
      </c>
      <c r="V50">
        <f>SUM($Q$2:Q50)</f>
        <v>37156650</v>
      </c>
      <c r="W50">
        <f>Table1[[#This Row],[Cumulative_Inventory_Value]]/$AP$3</f>
        <v>0.49087084190221936</v>
      </c>
      <c r="X50" t="str">
        <f>IF(Table1[[#This Row],[Cumulative_Value_%]]&lt;80%,"A", IF(Table1[[#This Row],[Cumulative_Value_%]]&lt;=95%,"B","C"))</f>
        <v>A</v>
      </c>
      <c r="Y50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High Review</v>
      </c>
      <c r="Z50">
        <f>Table1[[#This Row],[Consumption]]/365</f>
        <v>0.14246575342465753</v>
      </c>
      <c r="AA50">
        <f>Table1[[#This Row],[Avg_Daily_Consumption]]*Table1[[#This Row],[Lead_Time_Days]]+Table1[[#This Row],[Safety_Stock]]</f>
        <v>8.4164383561643845</v>
      </c>
      <c r="AB50">
        <f>IFERROR(Table1[[#This Row],[Closing_Stock]]/Table1[[#This Row],[Avg_Daily_Consumption]],9999)</f>
        <v>554.51923076923083</v>
      </c>
      <c r="AC50">
        <f>MAX(1,ROUNDUP(Table1[[#This Row],[Avg_Daily_Consumption]]*Table1[[#This Row],[Lead_Time_Days]]*0.8,0))</f>
        <v>4</v>
      </c>
      <c r="AD50" t="str">
        <f>IF(Table1[[#This Row],[Closing_Stock]]&lt;Table1[[#This Row],[Reorder_Point]],"Stock-out Risk","Adequate")</f>
        <v>Adequate</v>
      </c>
      <c r="AE50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50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 Safety Stock</v>
      </c>
      <c r="AG50">
        <f>IF(Table1[[#This Row],[Action_Recommendation]]="Review for Disposal/De-procurement",Table1[[#This Row],[Inventory_Value_INR]]*70%,IF(Table1[[#This Row],[Action_Recommendation]]="Review Safety Stock",Table1[[#This Row],[Inventory_Value_INR]]*20%,0))</f>
        <v>72522</v>
      </c>
      <c r="AH50" s="11">
        <f>MAX(0,Table1[[#This Row],[Closing_Stock]]-Table1[[#This Row],[Reorder_Point]])</f>
        <v>70.583561643835623</v>
      </c>
      <c r="AI50" s="11">
        <f>Table1[[#This Row],[Excess_Stock_Units]]*Table1[[#This Row],[Unit_Cost_INR]]</f>
        <v>323978.54794520553</v>
      </c>
      <c r="AJ50" s="11">
        <f>IF(Table1[[#This Row],[Criticality]]="Critical",0,Table1[[#This Row],[Excess_Inventory_Value_INR]])</f>
        <v>323978.54794520553</v>
      </c>
      <c r="AK50" s="11">
        <f>IF(AND(Table1[[#This Row],[Criticality]]&lt;&gt;"Critical",OR(Table1[[#This Row],[Movement_Class]]="Slow-Moving",Table1[[#This Row],[Movement_Class]]="Non-Moving")),Table1[[#This Row],[Excess_Inventory_Value_INR]],0)</f>
        <v>323978.54794520553</v>
      </c>
    </row>
    <row r="51" spans="1:37" x14ac:dyDescent="0.25">
      <c r="A51" t="s">
        <v>275</v>
      </c>
      <c r="B51" t="s">
        <v>44</v>
      </c>
      <c r="C51" t="s">
        <v>41</v>
      </c>
      <c r="D51" t="s">
        <v>21</v>
      </c>
      <c r="E51" t="s">
        <v>22</v>
      </c>
      <c r="F51">
        <v>58</v>
      </c>
      <c r="G51">
        <v>60</v>
      </c>
      <c r="H51">
        <v>47</v>
      </c>
      <c r="I51">
        <v>71</v>
      </c>
      <c r="J51">
        <v>5030</v>
      </c>
      <c r="K51">
        <v>23</v>
      </c>
      <c r="L51">
        <v>0</v>
      </c>
      <c r="M51">
        <v>8</v>
      </c>
      <c r="N51" t="s">
        <v>33</v>
      </c>
      <c r="O51">
        <v>0.21299999999999999</v>
      </c>
      <c r="P51">
        <v>76068.69</v>
      </c>
      <c r="Q51">
        <f>(Table1[[#This Row],[Closing_Stock]]*Table1[[#This Row],[Unit_Cost_INR]])</f>
        <v>357130</v>
      </c>
      <c r="R51">
        <f>(Table1[[#This Row],[Unit_Cost_INR]]*Table1[[#This Row],[Consumption]])</f>
        <v>236410</v>
      </c>
      <c r="S51">
        <f>IFERROR(Table1[[#This Row],[Annual_Consumption_Value_INR]]/Table1[[#This Row],[Inventory_Value_INR]],0)</f>
        <v>0.6619718309859155</v>
      </c>
      <c r="T51">
        <f>IFERROR(365/Table1[[#This Row],[Inventory_Turnover]],0)</f>
        <v>551.38297872340422</v>
      </c>
      <c r="U51" t="str">
        <f>IF(Table1[[#This Row],[Consumption]]=0,"Non-Moving", IF(Table1[[#This Row],[Days_Since_Last_Movement]]&gt;90,"Slow-Moving","Active"))</f>
        <v>Active</v>
      </c>
      <c r="V51">
        <f>SUM($Q$2:Q51)</f>
        <v>37513780</v>
      </c>
      <c r="W51">
        <f>Table1[[#This Row],[Cumulative_Inventory_Value]]/$AP$3</f>
        <v>0.49558883191931025</v>
      </c>
      <c r="X51" t="str">
        <f>IF(Table1[[#This Row],[Cumulative_Value_%]]&lt;80%,"A", IF(Table1[[#This Row],[Cumulative_Value_%]]&lt;=95%,"B","C"))</f>
        <v>A</v>
      </c>
      <c r="Y51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51">
        <f>Table1[[#This Row],[Consumption]]/365</f>
        <v>0.12876712328767123</v>
      </c>
      <c r="AA51">
        <f>Table1[[#This Row],[Avg_Daily_Consumption]]*Table1[[#This Row],[Lead_Time_Days]]+Table1[[#This Row],[Safety_Stock]]</f>
        <v>5.9616438356164387</v>
      </c>
      <c r="AB51">
        <f>IFERROR(Table1[[#This Row],[Closing_Stock]]/Table1[[#This Row],[Avg_Daily_Consumption]],9999)</f>
        <v>551.38297872340422</v>
      </c>
      <c r="AC51">
        <f>MAX(1,ROUNDUP(Table1[[#This Row],[Avg_Daily_Consumption]]*Table1[[#This Row],[Lead_Time_Days]]*0.8,0))</f>
        <v>3</v>
      </c>
      <c r="AD51" t="str">
        <f>IF(Table1[[#This Row],[Closing_Stock]]&lt;Table1[[#This Row],[Reorder_Point]],"Stock-out Risk","Adequate")</f>
        <v>Adequate</v>
      </c>
      <c r="AE51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51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51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51" s="11">
        <f>MAX(0,Table1[[#This Row],[Closing_Stock]]-Table1[[#This Row],[Reorder_Point]])</f>
        <v>65.038356164383558</v>
      </c>
      <c r="AI51" s="11">
        <f>Table1[[#This Row],[Excess_Stock_Units]]*Table1[[#This Row],[Unit_Cost_INR]]</f>
        <v>327142.9315068493</v>
      </c>
      <c r="AJ51" s="11">
        <f>IF(Table1[[#This Row],[Criticality]]="Critical",0,Table1[[#This Row],[Excess_Inventory_Value_INR]])</f>
        <v>327142.9315068493</v>
      </c>
      <c r="AK51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52" spans="1:37" x14ac:dyDescent="0.25">
      <c r="A52" t="s">
        <v>536</v>
      </c>
      <c r="B52" t="s">
        <v>54</v>
      </c>
      <c r="C52" t="s">
        <v>36</v>
      </c>
      <c r="D52" t="s">
        <v>21</v>
      </c>
      <c r="E52" t="s">
        <v>46</v>
      </c>
      <c r="F52">
        <v>33</v>
      </c>
      <c r="G52">
        <v>65</v>
      </c>
      <c r="H52">
        <v>45</v>
      </c>
      <c r="I52">
        <v>53</v>
      </c>
      <c r="J52">
        <v>6730</v>
      </c>
      <c r="K52">
        <v>27</v>
      </c>
      <c r="L52">
        <v>0</v>
      </c>
      <c r="M52">
        <v>77</v>
      </c>
      <c r="N52" t="s">
        <v>58</v>
      </c>
      <c r="O52">
        <v>0.247</v>
      </c>
      <c r="P52">
        <v>88102.43</v>
      </c>
      <c r="Q52">
        <f>(Table1[[#This Row],[Closing_Stock]]*Table1[[#This Row],[Unit_Cost_INR]])</f>
        <v>356690</v>
      </c>
      <c r="R52">
        <f>(Table1[[#This Row],[Unit_Cost_INR]]*Table1[[#This Row],[Consumption]])</f>
        <v>302850</v>
      </c>
      <c r="S52">
        <f>IFERROR(Table1[[#This Row],[Annual_Consumption_Value_INR]]/Table1[[#This Row],[Inventory_Value_INR]],0)</f>
        <v>0.84905660377358494</v>
      </c>
      <c r="T52">
        <f>IFERROR(365/Table1[[#This Row],[Inventory_Turnover]],0)</f>
        <v>429.88888888888886</v>
      </c>
      <c r="U52" t="str">
        <f>IF(Table1[[#This Row],[Consumption]]=0,"Non-Moving", IF(Table1[[#This Row],[Days_Since_Last_Movement]]&gt;90,"Slow-Moving","Active"))</f>
        <v>Active</v>
      </c>
      <c r="V52">
        <f>SUM($Q$2:Q52)</f>
        <v>37870470</v>
      </c>
      <c r="W52">
        <f>Table1[[#This Row],[Cumulative_Inventory_Value]]/$AP$3</f>
        <v>0.50030100916344022</v>
      </c>
      <c r="X52" t="str">
        <f>IF(Table1[[#This Row],[Cumulative_Value_%]]&lt;80%,"A", IF(Table1[[#This Row],[Cumulative_Value_%]]&lt;=95%,"B","C"))</f>
        <v>A</v>
      </c>
      <c r="Y52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52">
        <f>Table1[[#This Row],[Consumption]]/365</f>
        <v>0.12328767123287671</v>
      </c>
      <c r="AA52">
        <f>Table1[[#This Row],[Avg_Daily_Consumption]]*Table1[[#This Row],[Lead_Time_Days]]+Table1[[#This Row],[Safety_Stock]]</f>
        <v>6.3287671232876708</v>
      </c>
      <c r="AB52">
        <f>IFERROR(Table1[[#This Row],[Closing_Stock]]/Table1[[#This Row],[Avg_Daily_Consumption]],9999)</f>
        <v>429.88888888888891</v>
      </c>
      <c r="AC52">
        <f>MAX(1,ROUNDUP(Table1[[#This Row],[Avg_Daily_Consumption]]*Table1[[#This Row],[Lead_Time_Days]]*0.8,0))</f>
        <v>3</v>
      </c>
      <c r="AD52" t="str">
        <f>IF(Table1[[#This Row],[Closing_Stock]]&lt;Table1[[#This Row],[Reorder_Point]],"Stock-out Risk","Adequate")</f>
        <v>Adequate</v>
      </c>
      <c r="AE52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52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52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52" s="11">
        <f>MAX(0,Table1[[#This Row],[Closing_Stock]]-Table1[[#This Row],[Reorder_Point]])</f>
        <v>46.671232876712331</v>
      </c>
      <c r="AI52" s="11">
        <f>Table1[[#This Row],[Excess_Stock_Units]]*Table1[[#This Row],[Unit_Cost_INR]]</f>
        <v>314097.39726027398</v>
      </c>
      <c r="AJ52" s="11">
        <f>IF(Table1[[#This Row],[Criticality]]="Critical",0,Table1[[#This Row],[Excess_Inventory_Value_INR]])</f>
        <v>314097.39726027398</v>
      </c>
      <c r="AK52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53" spans="1:37" x14ac:dyDescent="0.25">
      <c r="A53" t="s">
        <v>341</v>
      </c>
      <c r="B53" t="s">
        <v>99</v>
      </c>
      <c r="C53" t="s">
        <v>20</v>
      </c>
      <c r="D53" t="s">
        <v>21</v>
      </c>
      <c r="E53" t="s">
        <v>46</v>
      </c>
      <c r="F53">
        <v>21</v>
      </c>
      <c r="G53">
        <v>6</v>
      </c>
      <c r="H53">
        <v>4</v>
      </c>
      <c r="I53">
        <v>91</v>
      </c>
      <c r="J53">
        <v>3780</v>
      </c>
      <c r="K53">
        <v>28</v>
      </c>
      <c r="L53">
        <v>0</v>
      </c>
      <c r="M53">
        <v>332</v>
      </c>
      <c r="N53" t="s">
        <v>49</v>
      </c>
      <c r="O53">
        <v>0.248</v>
      </c>
      <c r="P53">
        <v>85307.04</v>
      </c>
      <c r="Q53">
        <f>(Table1[[#This Row],[Closing_Stock]]*Table1[[#This Row],[Unit_Cost_INR]])</f>
        <v>343980</v>
      </c>
      <c r="R53">
        <f>(Table1[[#This Row],[Unit_Cost_INR]]*Table1[[#This Row],[Consumption]])</f>
        <v>15120</v>
      </c>
      <c r="S53">
        <f>IFERROR(Table1[[#This Row],[Annual_Consumption_Value_INR]]/Table1[[#This Row],[Inventory_Value_INR]],0)</f>
        <v>4.3956043956043959E-2</v>
      </c>
      <c r="T53">
        <f>IFERROR(365/Table1[[#This Row],[Inventory_Turnover]],0)</f>
        <v>8303.75</v>
      </c>
      <c r="U53" t="str">
        <f>IF(Table1[[#This Row],[Consumption]]=0,"Non-Moving", IF(Table1[[#This Row],[Days_Since_Last_Movement]]&gt;90,"Slow-Moving","Active"))</f>
        <v>Slow-Moving</v>
      </c>
      <c r="V53">
        <f>SUM($Q$2:Q53)</f>
        <v>38214450</v>
      </c>
      <c r="W53">
        <f>Table1[[#This Row],[Cumulative_Inventory_Value]]/$AP$3</f>
        <v>0.50484527653408662</v>
      </c>
      <c r="X53" t="str">
        <f>IF(Table1[[#This Row],[Cumulative_Value_%]]&lt;80%,"A", IF(Table1[[#This Row],[Cumulative_Value_%]]&lt;=95%,"B","C"))</f>
        <v>A</v>
      </c>
      <c r="Y53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High Review</v>
      </c>
      <c r="Z53">
        <f>Table1[[#This Row],[Consumption]]/365</f>
        <v>1.0958904109589041E-2</v>
      </c>
      <c r="AA53">
        <f>Table1[[#This Row],[Avg_Daily_Consumption]]*Table1[[#This Row],[Lead_Time_Days]]+Table1[[#This Row],[Safety_Stock]]</f>
        <v>1.3068493150684932</v>
      </c>
      <c r="AB53">
        <f>IFERROR(Table1[[#This Row],[Closing_Stock]]/Table1[[#This Row],[Avg_Daily_Consumption]],9999)</f>
        <v>8303.75</v>
      </c>
      <c r="AC53">
        <f>MAX(1,ROUNDUP(Table1[[#This Row],[Avg_Daily_Consumption]]*Table1[[#This Row],[Lead_Time_Days]]*0.8,0))</f>
        <v>1</v>
      </c>
      <c r="AD53" t="str">
        <f>IF(Table1[[#This Row],[Closing_Stock]]&lt;Table1[[#This Row],[Reorder_Point]],"Stock-out Risk","Adequate")</f>
        <v>Adequate</v>
      </c>
      <c r="AE53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53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 Safety Stock</v>
      </c>
      <c r="AG53">
        <f>IF(Table1[[#This Row],[Action_Recommendation]]="Review for Disposal/De-procurement",Table1[[#This Row],[Inventory_Value_INR]]*70%,IF(Table1[[#This Row],[Action_Recommendation]]="Review Safety Stock",Table1[[#This Row],[Inventory_Value_INR]]*20%,0))</f>
        <v>68796</v>
      </c>
      <c r="AH53" s="11">
        <f>MAX(0,Table1[[#This Row],[Closing_Stock]]-Table1[[#This Row],[Reorder_Point]])</f>
        <v>89.69315068493151</v>
      </c>
      <c r="AI53" s="11">
        <f>Table1[[#This Row],[Excess_Stock_Units]]*Table1[[#This Row],[Unit_Cost_INR]]</f>
        <v>339040.10958904109</v>
      </c>
      <c r="AJ53" s="11">
        <f>IF(Table1[[#This Row],[Criticality]]="Critical",0,Table1[[#This Row],[Excess_Inventory_Value_INR]])</f>
        <v>339040.10958904109</v>
      </c>
      <c r="AK53" s="11">
        <f>IF(AND(Table1[[#This Row],[Criticality]]&lt;&gt;"Critical",OR(Table1[[#This Row],[Movement_Class]]="Slow-Moving",Table1[[#This Row],[Movement_Class]]="Non-Moving")),Table1[[#This Row],[Excess_Inventory_Value_INR]],0)</f>
        <v>339040.10958904109</v>
      </c>
    </row>
    <row r="54" spans="1:37" x14ac:dyDescent="0.25">
      <c r="A54" t="s">
        <v>179</v>
      </c>
      <c r="B54" t="s">
        <v>73</v>
      </c>
      <c r="C54" t="s">
        <v>41</v>
      </c>
      <c r="D54" t="s">
        <v>66</v>
      </c>
      <c r="E54" t="s">
        <v>22</v>
      </c>
      <c r="F54">
        <v>82</v>
      </c>
      <c r="G54">
        <v>164</v>
      </c>
      <c r="H54">
        <v>177</v>
      </c>
      <c r="I54">
        <v>69</v>
      </c>
      <c r="J54">
        <v>4900</v>
      </c>
      <c r="K54">
        <v>24</v>
      </c>
      <c r="L54">
        <v>0</v>
      </c>
      <c r="M54">
        <v>82</v>
      </c>
      <c r="N54" t="s">
        <v>81</v>
      </c>
      <c r="O54">
        <v>0.188</v>
      </c>
      <c r="P54">
        <v>63562.8</v>
      </c>
      <c r="Q54">
        <f>(Table1[[#This Row],[Closing_Stock]]*Table1[[#This Row],[Unit_Cost_INR]])</f>
        <v>338100</v>
      </c>
      <c r="R54">
        <f>(Table1[[#This Row],[Unit_Cost_INR]]*Table1[[#This Row],[Consumption]])</f>
        <v>867300</v>
      </c>
      <c r="S54">
        <f>IFERROR(Table1[[#This Row],[Annual_Consumption_Value_INR]]/Table1[[#This Row],[Inventory_Value_INR]],0)</f>
        <v>2.5652173913043477</v>
      </c>
      <c r="T54">
        <f>IFERROR(365/Table1[[#This Row],[Inventory_Turnover]],0)</f>
        <v>142.28813559322035</v>
      </c>
      <c r="U54" t="str">
        <f>IF(Table1[[#This Row],[Consumption]]=0,"Non-Moving", IF(Table1[[#This Row],[Days_Since_Last_Movement]]&gt;90,"Slow-Moving","Active"))</f>
        <v>Active</v>
      </c>
      <c r="V54">
        <f>SUM($Q$2:Q54)</f>
        <v>38552550</v>
      </c>
      <c r="W54">
        <f>Table1[[#This Row],[Cumulative_Inventory_Value]]/$AP$3</f>
        <v>0.50931186412061924</v>
      </c>
      <c r="X54" t="str">
        <f>IF(Table1[[#This Row],[Cumulative_Value_%]]&lt;80%,"A", IF(Table1[[#This Row],[Cumulative_Value_%]]&lt;=95%,"B","C"))</f>
        <v>A</v>
      </c>
      <c r="Y54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54">
        <f>Table1[[#This Row],[Consumption]]/365</f>
        <v>0.48493150684931507</v>
      </c>
      <c r="AA54">
        <f>Table1[[#This Row],[Avg_Daily_Consumption]]*Table1[[#This Row],[Lead_Time_Days]]+Table1[[#This Row],[Safety_Stock]]</f>
        <v>21.638356164383563</v>
      </c>
      <c r="AB54">
        <f>IFERROR(Table1[[#This Row],[Closing_Stock]]/Table1[[#This Row],[Avg_Daily_Consumption]],9999)</f>
        <v>142.28813559322035</v>
      </c>
      <c r="AC54">
        <f>MAX(1,ROUNDUP(Table1[[#This Row],[Avg_Daily_Consumption]]*Table1[[#This Row],[Lead_Time_Days]]*0.8,0))</f>
        <v>10</v>
      </c>
      <c r="AD54" t="str">
        <f>IF(Table1[[#This Row],[Closing_Stock]]&lt;Table1[[#This Row],[Reorder_Point]],"Stock-out Risk","Adequate")</f>
        <v>Adequate</v>
      </c>
      <c r="AE54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54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54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54" s="11">
        <f>MAX(0,Table1[[#This Row],[Closing_Stock]]-Table1[[#This Row],[Reorder_Point]])</f>
        <v>47.361643835616434</v>
      </c>
      <c r="AI54" s="11">
        <f>Table1[[#This Row],[Excess_Stock_Units]]*Table1[[#This Row],[Unit_Cost_INR]]</f>
        <v>232072.05479452052</v>
      </c>
      <c r="AJ54" s="11">
        <f>IF(Table1[[#This Row],[Criticality]]="Critical",0,Table1[[#This Row],[Excess_Inventory_Value_INR]])</f>
        <v>232072.05479452052</v>
      </c>
      <c r="AK54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55" spans="1:37" x14ac:dyDescent="0.25">
      <c r="A55" t="s">
        <v>484</v>
      </c>
      <c r="B55" t="s">
        <v>93</v>
      </c>
      <c r="C55" t="s">
        <v>26</v>
      </c>
      <c r="D55" t="s">
        <v>27</v>
      </c>
      <c r="E55" t="s">
        <v>37</v>
      </c>
      <c r="F55">
        <v>17</v>
      </c>
      <c r="G55">
        <v>31</v>
      </c>
      <c r="H55">
        <v>21</v>
      </c>
      <c r="I55">
        <v>27</v>
      </c>
      <c r="J55">
        <v>12090</v>
      </c>
      <c r="K55">
        <v>29</v>
      </c>
      <c r="L55">
        <v>0</v>
      </c>
      <c r="M55">
        <v>32</v>
      </c>
      <c r="N55" t="s">
        <v>38</v>
      </c>
      <c r="O55">
        <v>0.27400000000000002</v>
      </c>
      <c r="P55">
        <v>89441.82</v>
      </c>
      <c r="Q55">
        <f>(Table1[[#This Row],[Closing_Stock]]*Table1[[#This Row],[Unit_Cost_INR]])</f>
        <v>326430</v>
      </c>
      <c r="R55">
        <f>(Table1[[#This Row],[Unit_Cost_INR]]*Table1[[#This Row],[Consumption]])</f>
        <v>253890</v>
      </c>
      <c r="S55">
        <f>IFERROR(Table1[[#This Row],[Annual_Consumption_Value_INR]]/Table1[[#This Row],[Inventory_Value_INR]],0)</f>
        <v>0.77777777777777779</v>
      </c>
      <c r="T55">
        <f>IFERROR(365/Table1[[#This Row],[Inventory_Turnover]],0)</f>
        <v>469.28571428571428</v>
      </c>
      <c r="U55" t="str">
        <f>IF(Table1[[#This Row],[Consumption]]=0,"Non-Moving", IF(Table1[[#This Row],[Days_Since_Last_Movement]]&gt;90,"Slow-Moving","Active"))</f>
        <v>Active</v>
      </c>
      <c r="V55">
        <f>SUM($Q$2:Q55)</f>
        <v>38878980</v>
      </c>
      <c r="W55">
        <f>Table1[[#This Row],[Cumulative_Inventory_Value]]/$AP$3</f>
        <v>0.51362428111521219</v>
      </c>
      <c r="X55" t="str">
        <f>IF(Table1[[#This Row],[Cumulative_Value_%]]&lt;80%,"A", IF(Table1[[#This Row],[Cumulative_Value_%]]&lt;=95%,"B","C"))</f>
        <v>A</v>
      </c>
      <c r="Y55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55">
        <f>Table1[[#This Row],[Consumption]]/365</f>
        <v>5.7534246575342465E-2</v>
      </c>
      <c r="AA55">
        <f>Table1[[#This Row],[Avg_Daily_Consumption]]*Table1[[#This Row],[Lead_Time_Days]]+Table1[[#This Row],[Safety_Stock]]</f>
        <v>3.6684931506849314</v>
      </c>
      <c r="AB55">
        <f>IFERROR(Table1[[#This Row],[Closing_Stock]]/Table1[[#This Row],[Avg_Daily_Consumption]],9999)</f>
        <v>469.28571428571428</v>
      </c>
      <c r="AC55">
        <f>MAX(1,ROUNDUP(Table1[[#This Row],[Avg_Daily_Consumption]]*Table1[[#This Row],[Lead_Time_Days]]*0.8,0))</f>
        <v>2</v>
      </c>
      <c r="AD55" t="str">
        <f>IF(Table1[[#This Row],[Closing_Stock]]&lt;Table1[[#This Row],[Reorder_Point]],"Stock-out Risk","Adequate")</f>
        <v>Adequate</v>
      </c>
      <c r="AE55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55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55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55" s="11">
        <f>MAX(0,Table1[[#This Row],[Closing_Stock]]-Table1[[#This Row],[Reorder_Point]])</f>
        <v>23.331506849315069</v>
      </c>
      <c r="AI55" s="11">
        <f>Table1[[#This Row],[Excess_Stock_Units]]*Table1[[#This Row],[Unit_Cost_INR]]</f>
        <v>282077.91780821921</v>
      </c>
      <c r="AJ55" s="11">
        <f>IF(Table1[[#This Row],[Criticality]]="Critical",0,Table1[[#This Row],[Excess_Inventory_Value_INR]])</f>
        <v>0</v>
      </c>
      <c r="AK55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56" spans="1:37" x14ac:dyDescent="0.25">
      <c r="A56" t="s">
        <v>189</v>
      </c>
      <c r="B56" t="s">
        <v>85</v>
      </c>
      <c r="C56" t="s">
        <v>41</v>
      </c>
      <c r="D56" t="s">
        <v>27</v>
      </c>
      <c r="E56" t="s">
        <v>37</v>
      </c>
      <c r="F56">
        <v>17</v>
      </c>
      <c r="G56">
        <v>9</v>
      </c>
      <c r="H56">
        <v>6</v>
      </c>
      <c r="I56">
        <v>20</v>
      </c>
      <c r="J56">
        <v>15760</v>
      </c>
      <c r="K56">
        <v>31</v>
      </c>
      <c r="L56">
        <v>1</v>
      </c>
      <c r="M56">
        <v>240</v>
      </c>
      <c r="N56" t="s">
        <v>38</v>
      </c>
      <c r="O56">
        <v>0.224</v>
      </c>
      <c r="P56">
        <v>70604.800000000003</v>
      </c>
      <c r="Q56">
        <f>(Table1[[#This Row],[Closing_Stock]]*Table1[[#This Row],[Unit_Cost_INR]])</f>
        <v>315200</v>
      </c>
      <c r="R56">
        <f>(Table1[[#This Row],[Unit_Cost_INR]]*Table1[[#This Row],[Consumption]])</f>
        <v>94560</v>
      </c>
      <c r="S56">
        <f>IFERROR(Table1[[#This Row],[Annual_Consumption_Value_INR]]/Table1[[#This Row],[Inventory_Value_INR]],0)</f>
        <v>0.3</v>
      </c>
      <c r="T56">
        <f>IFERROR(365/Table1[[#This Row],[Inventory_Turnover]],0)</f>
        <v>1216.6666666666667</v>
      </c>
      <c r="U56" t="str">
        <f>IF(Table1[[#This Row],[Consumption]]=0,"Non-Moving", IF(Table1[[#This Row],[Days_Since_Last_Movement]]&gt;90,"Slow-Moving","Active"))</f>
        <v>Slow-Moving</v>
      </c>
      <c r="V56">
        <f>SUM($Q$2:Q56)</f>
        <v>39194180</v>
      </c>
      <c r="W56">
        <f>Table1[[#This Row],[Cumulative_Inventory_Value]]/$AP$3</f>
        <v>0.51778834029082621</v>
      </c>
      <c r="X56" t="str">
        <f>IF(Table1[[#This Row],[Cumulative_Value_%]]&lt;80%,"A", IF(Table1[[#This Row],[Cumulative_Value_%]]&lt;=95%,"B","C"))</f>
        <v>A</v>
      </c>
      <c r="Y56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High Review</v>
      </c>
      <c r="Z56">
        <f>Table1[[#This Row],[Consumption]]/365</f>
        <v>1.643835616438356E-2</v>
      </c>
      <c r="AA56">
        <f>Table1[[#This Row],[Avg_Daily_Consumption]]*Table1[[#This Row],[Lead_Time_Days]]+Table1[[#This Row],[Safety_Stock]]</f>
        <v>1.5095890410958903</v>
      </c>
      <c r="AB56">
        <f>IFERROR(Table1[[#This Row],[Closing_Stock]]/Table1[[#This Row],[Avg_Daily_Consumption]],9999)</f>
        <v>1216.6666666666667</v>
      </c>
      <c r="AC56">
        <f>MAX(1,ROUNDUP(Table1[[#This Row],[Avg_Daily_Consumption]]*Table1[[#This Row],[Lead_Time_Days]]*0.8,0))</f>
        <v>1</v>
      </c>
      <c r="AD56" t="str">
        <f>IF(Table1[[#This Row],[Closing_Stock]]&lt;Table1[[#This Row],[Reorder_Point]],"Stock-out Risk","Adequate")</f>
        <v>Adequate</v>
      </c>
      <c r="AE56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56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56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56" s="11">
        <f>MAX(0,Table1[[#This Row],[Closing_Stock]]-Table1[[#This Row],[Reorder_Point]])</f>
        <v>18.490410958904111</v>
      </c>
      <c r="AI56" s="11">
        <f>Table1[[#This Row],[Excess_Stock_Units]]*Table1[[#This Row],[Unit_Cost_INR]]</f>
        <v>291408.87671232875</v>
      </c>
      <c r="AJ56" s="11">
        <f>IF(Table1[[#This Row],[Criticality]]="Critical",0,Table1[[#This Row],[Excess_Inventory_Value_INR]])</f>
        <v>0</v>
      </c>
      <c r="AK56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57" spans="1:37" x14ac:dyDescent="0.25">
      <c r="A57" t="s">
        <v>258</v>
      </c>
      <c r="B57" t="s">
        <v>35</v>
      </c>
      <c r="C57" t="s">
        <v>36</v>
      </c>
      <c r="D57" t="s">
        <v>27</v>
      </c>
      <c r="E57" t="s">
        <v>22</v>
      </c>
      <c r="F57">
        <v>117</v>
      </c>
      <c r="G57">
        <v>204</v>
      </c>
      <c r="H57">
        <v>181</v>
      </c>
      <c r="I57">
        <v>243</v>
      </c>
      <c r="J57">
        <v>1250</v>
      </c>
      <c r="K57">
        <v>8</v>
      </c>
      <c r="L57">
        <v>0</v>
      </c>
      <c r="M57">
        <v>49</v>
      </c>
      <c r="N57" t="s">
        <v>23</v>
      </c>
      <c r="O57">
        <v>0.20300000000000001</v>
      </c>
      <c r="P57">
        <v>61661.250000000007</v>
      </c>
      <c r="Q57">
        <f>(Table1[[#This Row],[Closing_Stock]]*Table1[[#This Row],[Unit_Cost_INR]])</f>
        <v>303750</v>
      </c>
      <c r="R57">
        <f>(Table1[[#This Row],[Unit_Cost_INR]]*Table1[[#This Row],[Consumption]])</f>
        <v>226250</v>
      </c>
      <c r="S57">
        <f>IFERROR(Table1[[#This Row],[Annual_Consumption_Value_INR]]/Table1[[#This Row],[Inventory_Value_INR]],0)</f>
        <v>0.74485596707818935</v>
      </c>
      <c r="T57">
        <f>IFERROR(365/Table1[[#This Row],[Inventory_Turnover]],0)</f>
        <v>490.02762430939225</v>
      </c>
      <c r="U57" t="str">
        <f>IF(Table1[[#This Row],[Consumption]]=0,"Non-Moving", IF(Table1[[#This Row],[Days_Since_Last_Movement]]&gt;90,"Slow-Moving","Active"))</f>
        <v>Active</v>
      </c>
      <c r="V57">
        <f>SUM($Q$2:Q57)</f>
        <v>39497930</v>
      </c>
      <c r="W57">
        <f>Table1[[#This Row],[Cumulative_Inventory_Value]]/$AP$3</f>
        <v>0.52180113526098093</v>
      </c>
      <c r="X57" t="str">
        <f>IF(Table1[[#This Row],[Cumulative_Value_%]]&lt;80%,"A", IF(Table1[[#This Row],[Cumulative_Value_%]]&lt;=95%,"B","C"))</f>
        <v>A</v>
      </c>
      <c r="Y57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57">
        <f>Table1[[#This Row],[Consumption]]/365</f>
        <v>0.49589041095890413</v>
      </c>
      <c r="AA57">
        <f>Table1[[#This Row],[Avg_Daily_Consumption]]*Table1[[#This Row],[Lead_Time_Days]]+Table1[[#This Row],[Safety_Stock]]</f>
        <v>7.9671232876712335</v>
      </c>
      <c r="AB57">
        <f>IFERROR(Table1[[#This Row],[Closing_Stock]]/Table1[[#This Row],[Avg_Daily_Consumption]],9999)</f>
        <v>490.02762430939225</v>
      </c>
      <c r="AC57">
        <f>MAX(1,ROUNDUP(Table1[[#This Row],[Avg_Daily_Consumption]]*Table1[[#This Row],[Lead_Time_Days]]*0.8,0))</f>
        <v>4</v>
      </c>
      <c r="AD57" t="str">
        <f>IF(Table1[[#This Row],[Closing_Stock]]&lt;Table1[[#This Row],[Reorder_Point]],"Stock-out Risk","Adequate")</f>
        <v>Adequate</v>
      </c>
      <c r="AE57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57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57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57" s="11">
        <f>MAX(0,Table1[[#This Row],[Closing_Stock]]-Table1[[#This Row],[Reorder_Point]])</f>
        <v>235.03287671232877</v>
      </c>
      <c r="AI57" s="11">
        <f>Table1[[#This Row],[Excess_Stock_Units]]*Table1[[#This Row],[Unit_Cost_INR]]</f>
        <v>293791.09589041094</v>
      </c>
      <c r="AJ57" s="11">
        <f>IF(Table1[[#This Row],[Criticality]]="Critical",0,Table1[[#This Row],[Excess_Inventory_Value_INR]])</f>
        <v>293791.09589041094</v>
      </c>
      <c r="AK57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58" spans="1:37" x14ac:dyDescent="0.25">
      <c r="A58" t="s">
        <v>305</v>
      </c>
      <c r="B58" t="s">
        <v>75</v>
      </c>
      <c r="C58" t="s">
        <v>36</v>
      </c>
      <c r="D58" t="s">
        <v>45</v>
      </c>
      <c r="E58" t="s">
        <v>22</v>
      </c>
      <c r="F58">
        <v>125</v>
      </c>
      <c r="G58">
        <v>434</v>
      </c>
      <c r="H58">
        <v>291</v>
      </c>
      <c r="I58">
        <v>268</v>
      </c>
      <c r="J58">
        <v>1110</v>
      </c>
      <c r="K58">
        <v>28</v>
      </c>
      <c r="L58">
        <v>1</v>
      </c>
      <c r="M58">
        <v>1</v>
      </c>
      <c r="N58" t="s">
        <v>29</v>
      </c>
      <c r="O58">
        <v>0.159</v>
      </c>
      <c r="P58">
        <v>47299.32</v>
      </c>
      <c r="Q58">
        <f>(Table1[[#This Row],[Closing_Stock]]*Table1[[#This Row],[Unit_Cost_INR]])</f>
        <v>297480</v>
      </c>
      <c r="R58">
        <f>(Table1[[#This Row],[Unit_Cost_INR]]*Table1[[#This Row],[Consumption]])</f>
        <v>323010</v>
      </c>
      <c r="S58">
        <f>IFERROR(Table1[[#This Row],[Annual_Consumption_Value_INR]]/Table1[[#This Row],[Inventory_Value_INR]],0)</f>
        <v>1.085820895522388</v>
      </c>
      <c r="T58">
        <f>IFERROR(365/Table1[[#This Row],[Inventory_Turnover]],0)</f>
        <v>336.15120274914091</v>
      </c>
      <c r="U58" t="str">
        <f>IF(Table1[[#This Row],[Consumption]]=0,"Non-Moving", IF(Table1[[#This Row],[Days_Since_Last_Movement]]&gt;90,"Slow-Moving","Active"))</f>
        <v>Active</v>
      </c>
      <c r="V58">
        <f>SUM($Q$2:Q58)</f>
        <v>39795410</v>
      </c>
      <c r="W58">
        <f>Table1[[#This Row],[Cumulative_Inventory_Value]]/$AP$3</f>
        <v>0.52573109821644304</v>
      </c>
      <c r="X58" t="str">
        <f>IF(Table1[[#This Row],[Cumulative_Value_%]]&lt;80%,"A", IF(Table1[[#This Row],[Cumulative_Value_%]]&lt;=95%,"B","C"))</f>
        <v>A</v>
      </c>
      <c r="Y58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58">
        <f>Table1[[#This Row],[Consumption]]/365</f>
        <v>0.79726027397260268</v>
      </c>
      <c r="AA58">
        <f>Table1[[#This Row],[Avg_Daily_Consumption]]*Table1[[#This Row],[Lead_Time_Days]]+Table1[[#This Row],[Safety_Stock]]</f>
        <v>40.323287671232876</v>
      </c>
      <c r="AB58">
        <f>IFERROR(Table1[[#This Row],[Closing_Stock]]/Table1[[#This Row],[Avg_Daily_Consumption]],9999)</f>
        <v>336.15120274914091</v>
      </c>
      <c r="AC58">
        <f>MAX(1,ROUNDUP(Table1[[#This Row],[Avg_Daily_Consumption]]*Table1[[#This Row],[Lead_Time_Days]]*0.8,0))</f>
        <v>18</v>
      </c>
      <c r="AD58" t="str">
        <f>IF(Table1[[#This Row],[Closing_Stock]]&lt;Table1[[#This Row],[Reorder_Point]],"Stock-out Risk","Adequate")</f>
        <v>Adequate</v>
      </c>
      <c r="AE58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58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58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58" s="11">
        <f>MAX(0,Table1[[#This Row],[Closing_Stock]]-Table1[[#This Row],[Reorder_Point]])</f>
        <v>227.67671232876711</v>
      </c>
      <c r="AI58" s="11">
        <f>Table1[[#This Row],[Excess_Stock_Units]]*Table1[[#This Row],[Unit_Cost_INR]]</f>
        <v>252721.15068493149</v>
      </c>
      <c r="AJ58" s="11">
        <f>IF(Table1[[#This Row],[Criticality]]="Critical",0,Table1[[#This Row],[Excess_Inventory_Value_INR]])</f>
        <v>252721.15068493149</v>
      </c>
      <c r="AK58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59" spans="1:37" x14ac:dyDescent="0.25">
      <c r="A59" t="s">
        <v>136</v>
      </c>
      <c r="B59" t="s">
        <v>137</v>
      </c>
      <c r="C59" t="s">
        <v>26</v>
      </c>
      <c r="D59" t="s">
        <v>21</v>
      </c>
      <c r="E59" t="s">
        <v>46</v>
      </c>
      <c r="F59">
        <v>144</v>
      </c>
      <c r="G59">
        <v>168</v>
      </c>
      <c r="H59">
        <v>1</v>
      </c>
      <c r="I59">
        <v>187</v>
      </c>
      <c r="J59">
        <v>1540</v>
      </c>
      <c r="K59">
        <v>5</v>
      </c>
      <c r="L59">
        <v>1</v>
      </c>
      <c r="M59">
        <v>317</v>
      </c>
      <c r="N59" t="s">
        <v>38</v>
      </c>
      <c r="O59">
        <v>0.29099999999999998</v>
      </c>
      <c r="P59">
        <v>83802.179999999993</v>
      </c>
      <c r="Q59">
        <f>(Table1[[#This Row],[Closing_Stock]]*Table1[[#This Row],[Unit_Cost_INR]])</f>
        <v>287980</v>
      </c>
      <c r="R59">
        <f>(Table1[[#This Row],[Unit_Cost_INR]]*Table1[[#This Row],[Consumption]])</f>
        <v>1540</v>
      </c>
      <c r="S59">
        <f>IFERROR(Table1[[#This Row],[Annual_Consumption_Value_INR]]/Table1[[#This Row],[Inventory_Value_INR]],0)</f>
        <v>5.3475935828877002E-3</v>
      </c>
      <c r="T59">
        <f>IFERROR(365/Table1[[#This Row],[Inventory_Turnover]],0)</f>
        <v>68255</v>
      </c>
      <c r="U59" t="str">
        <f>IF(Table1[[#This Row],[Consumption]]=0,"Non-Moving", IF(Table1[[#This Row],[Days_Since_Last_Movement]]&gt;90,"Slow-Moving","Active"))</f>
        <v>Slow-Moving</v>
      </c>
      <c r="V59">
        <f>SUM($Q$2:Q59)</f>
        <v>40083390</v>
      </c>
      <c r="W59">
        <f>Table1[[#This Row],[Cumulative_Inventory_Value]]/$AP$3</f>
        <v>0.52953555811934072</v>
      </c>
      <c r="X59" t="str">
        <f>IF(Table1[[#This Row],[Cumulative_Value_%]]&lt;80%,"A", IF(Table1[[#This Row],[Cumulative_Value_%]]&lt;=95%,"B","C"))</f>
        <v>A</v>
      </c>
      <c r="Y59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High Review</v>
      </c>
      <c r="Z59">
        <f>Table1[[#This Row],[Consumption]]/365</f>
        <v>2.7397260273972603E-3</v>
      </c>
      <c r="AA59">
        <f>Table1[[#This Row],[Avg_Daily_Consumption]]*Table1[[#This Row],[Lead_Time_Days]]+Table1[[#This Row],[Safety_Stock]]</f>
        <v>1.0136986301369864</v>
      </c>
      <c r="AB59">
        <f>IFERROR(Table1[[#This Row],[Closing_Stock]]/Table1[[#This Row],[Avg_Daily_Consumption]],9999)</f>
        <v>68255</v>
      </c>
      <c r="AC59">
        <f>MAX(1,ROUNDUP(Table1[[#This Row],[Avg_Daily_Consumption]]*Table1[[#This Row],[Lead_Time_Days]]*0.8,0))</f>
        <v>1</v>
      </c>
      <c r="AD59" t="str">
        <f>IF(Table1[[#This Row],[Closing_Stock]]&lt;Table1[[#This Row],[Reorder_Point]],"Stock-out Risk","Adequate")</f>
        <v>Adequate</v>
      </c>
      <c r="AE59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59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 Safety Stock</v>
      </c>
      <c r="AG59">
        <f>IF(Table1[[#This Row],[Action_Recommendation]]="Review for Disposal/De-procurement",Table1[[#This Row],[Inventory_Value_INR]]*70%,IF(Table1[[#This Row],[Action_Recommendation]]="Review Safety Stock",Table1[[#This Row],[Inventory_Value_INR]]*20%,0))</f>
        <v>57596</v>
      </c>
      <c r="AH59" s="11">
        <f>MAX(0,Table1[[#This Row],[Closing_Stock]]-Table1[[#This Row],[Reorder_Point]])</f>
        <v>185.98630136986301</v>
      </c>
      <c r="AI59" s="11">
        <f>Table1[[#This Row],[Excess_Stock_Units]]*Table1[[#This Row],[Unit_Cost_INR]]</f>
        <v>286418.90410958906</v>
      </c>
      <c r="AJ59" s="11">
        <f>IF(Table1[[#This Row],[Criticality]]="Critical",0,Table1[[#This Row],[Excess_Inventory_Value_INR]])</f>
        <v>286418.90410958906</v>
      </c>
      <c r="AK59" s="11">
        <f>IF(AND(Table1[[#This Row],[Criticality]]&lt;&gt;"Critical",OR(Table1[[#This Row],[Movement_Class]]="Slow-Moving",Table1[[#This Row],[Movement_Class]]="Non-Moving")),Table1[[#This Row],[Excess_Inventory_Value_INR]],0)</f>
        <v>286418.90410958906</v>
      </c>
    </row>
    <row r="60" spans="1:37" x14ac:dyDescent="0.25">
      <c r="A60" t="s">
        <v>453</v>
      </c>
      <c r="B60" t="s">
        <v>44</v>
      </c>
      <c r="C60" t="s">
        <v>41</v>
      </c>
      <c r="D60" t="s">
        <v>42</v>
      </c>
      <c r="E60" t="s">
        <v>37</v>
      </c>
      <c r="F60">
        <v>38</v>
      </c>
      <c r="G60">
        <v>41</v>
      </c>
      <c r="H60">
        <v>32</v>
      </c>
      <c r="I60">
        <v>47</v>
      </c>
      <c r="J60">
        <v>6110</v>
      </c>
      <c r="K60">
        <v>6</v>
      </c>
      <c r="L60">
        <v>1</v>
      </c>
      <c r="M60">
        <v>65</v>
      </c>
      <c r="N60" t="s">
        <v>23</v>
      </c>
      <c r="O60">
        <v>0.22800000000000001</v>
      </c>
      <c r="P60">
        <v>65474.76</v>
      </c>
      <c r="Q60">
        <f>(Table1[[#This Row],[Closing_Stock]]*Table1[[#This Row],[Unit_Cost_INR]])</f>
        <v>287170</v>
      </c>
      <c r="R60">
        <f>(Table1[[#This Row],[Unit_Cost_INR]]*Table1[[#This Row],[Consumption]])</f>
        <v>195520</v>
      </c>
      <c r="S60">
        <f>IFERROR(Table1[[#This Row],[Annual_Consumption_Value_INR]]/Table1[[#This Row],[Inventory_Value_INR]],0)</f>
        <v>0.68085106382978722</v>
      </c>
      <c r="T60">
        <f>IFERROR(365/Table1[[#This Row],[Inventory_Turnover]],0)</f>
        <v>536.09375</v>
      </c>
      <c r="U60" t="str">
        <f>IF(Table1[[#This Row],[Consumption]]=0,"Non-Moving", IF(Table1[[#This Row],[Days_Since_Last_Movement]]&gt;90,"Slow-Moving","Active"))</f>
        <v>Active</v>
      </c>
      <c r="V60">
        <f>SUM($Q$2:Q60)</f>
        <v>40370560</v>
      </c>
      <c r="W60">
        <f>Table1[[#This Row],[Cumulative_Inventory_Value]]/$AP$3</f>
        <v>0.53332931723565125</v>
      </c>
      <c r="X60" t="str">
        <f>IF(Table1[[#This Row],[Cumulative_Value_%]]&lt;80%,"A", IF(Table1[[#This Row],[Cumulative_Value_%]]&lt;=95%,"B","C"))</f>
        <v>A</v>
      </c>
      <c r="Y60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60">
        <f>Table1[[#This Row],[Consumption]]/365</f>
        <v>8.7671232876712329E-2</v>
      </c>
      <c r="AA60">
        <f>Table1[[#This Row],[Avg_Daily_Consumption]]*Table1[[#This Row],[Lead_Time_Days]]+Table1[[#This Row],[Safety_Stock]]</f>
        <v>1.526027397260274</v>
      </c>
      <c r="AB60">
        <f>IFERROR(Table1[[#This Row],[Closing_Stock]]/Table1[[#This Row],[Avg_Daily_Consumption]],9999)</f>
        <v>536.09375</v>
      </c>
      <c r="AC60">
        <f>MAX(1,ROUNDUP(Table1[[#This Row],[Avg_Daily_Consumption]]*Table1[[#This Row],[Lead_Time_Days]]*0.8,0))</f>
        <v>1</v>
      </c>
      <c r="AD60" t="str">
        <f>IF(Table1[[#This Row],[Closing_Stock]]&lt;Table1[[#This Row],[Reorder_Point]],"Stock-out Risk","Adequate")</f>
        <v>Adequate</v>
      </c>
      <c r="AE60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60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60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60" s="11">
        <f>MAX(0,Table1[[#This Row],[Closing_Stock]]-Table1[[#This Row],[Reorder_Point]])</f>
        <v>45.473972602739728</v>
      </c>
      <c r="AI60" s="11">
        <f>Table1[[#This Row],[Excess_Stock_Units]]*Table1[[#This Row],[Unit_Cost_INR]]</f>
        <v>277845.97260273976</v>
      </c>
      <c r="AJ60" s="11">
        <f>IF(Table1[[#This Row],[Criticality]]="Critical",0,Table1[[#This Row],[Excess_Inventory_Value_INR]])</f>
        <v>0</v>
      </c>
      <c r="AK60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61" spans="1:37" x14ac:dyDescent="0.25">
      <c r="A61" t="s">
        <v>561</v>
      </c>
      <c r="B61" t="s">
        <v>25</v>
      </c>
      <c r="C61" t="s">
        <v>26</v>
      </c>
      <c r="D61" t="s">
        <v>27</v>
      </c>
      <c r="E61" t="s">
        <v>37</v>
      </c>
      <c r="F61">
        <v>24</v>
      </c>
      <c r="G61">
        <v>10</v>
      </c>
      <c r="H61">
        <v>0</v>
      </c>
      <c r="I61">
        <v>146</v>
      </c>
      <c r="J61">
        <v>1960</v>
      </c>
      <c r="K61">
        <v>19</v>
      </c>
      <c r="L61">
        <v>0</v>
      </c>
      <c r="M61">
        <v>445</v>
      </c>
      <c r="N61" t="s">
        <v>49</v>
      </c>
      <c r="O61">
        <v>0.155</v>
      </c>
      <c r="P61">
        <v>44354.8</v>
      </c>
      <c r="Q61">
        <f>(Table1[[#This Row],[Closing_Stock]]*Table1[[#This Row],[Unit_Cost_INR]])</f>
        <v>286160</v>
      </c>
      <c r="R61">
        <f>(Table1[[#This Row],[Unit_Cost_INR]]*Table1[[#This Row],[Consumption]])</f>
        <v>0</v>
      </c>
      <c r="S61">
        <f>IFERROR(Table1[[#This Row],[Annual_Consumption_Value_INR]]/Table1[[#This Row],[Inventory_Value_INR]],0)</f>
        <v>0</v>
      </c>
      <c r="T61">
        <f>IFERROR(365/Table1[[#This Row],[Inventory_Turnover]],0)</f>
        <v>0</v>
      </c>
      <c r="U61" t="str">
        <f>IF(Table1[[#This Row],[Consumption]]=0,"Non-Moving", IF(Table1[[#This Row],[Days_Since_Last_Movement]]&gt;90,"Slow-Moving","Active"))</f>
        <v>Non-Moving</v>
      </c>
      <c r="V61">
        <f>SUM($Q$2:Q61)</f>
        <v>40656720</v>
      </c>
      <c r="W61">
        <f>Table1[[#This Row],[Cumulative_Inventory_Value]]/$AP$3</f>
        <v>0.53710973339584711</v>
      </c>
      <c r="X61" t="str">
        <f>IF(Table1[[#This Row],[Cumulative_Value_%]]&lt;80%,"A", IF(Table1[[#This Row],[Cumulative_Value_%]]&lt;=95%,"B","C"))</f>
        <v>A</v>
      </c>
      <c r="Y61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Critical Review</v>
      </c>
      <c r="Z61">
        <f>Table1[[#This Row],[Consumption]]/365</f>
        <v>0</v>
      </c>
      <c r="AA61">
        <f>Table1[[#This Row],[Avg_Daily_Consumption]]*Table1[[#This Row],[Lead_Time_Days]]+Table1[[#This Row],[Safety_Stock]]</f>
        <v>1</v>
      </c>
      <c r="AB61">
        <f>IFERROR(Table1[[#This Row],[Closing_Stock]]/Table1[[#This Row],[Avg_Daily_Consumption]],9999)</f>
        <v>9999</v>
      </c>
      <c r="AC61">
        <f>MAX(1,ROUNDUP(Table1[[#This Row],[Avg_Daily_Consumption]]*Table1[[#This Row],[Lead_Time_Days]]*0.8,0))</f>
        <v>1</v>
      </c>
      <c r="AD61" t="str">
        <f>IF(Table1[[#This Row],[Closing_Stock]]&lt;Table1[[#This Row],[Reorder_Point]],"Stock-out Risk","Adequate")</f>
        <v>Adequate</v>
      </c>
      <c r="AE61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61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61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61" s="11">
        <f>MAX(0,Table1[[#This Row],[Closing_Stock]]-Table1[[#This Row],[Reorder_Point]])</f>
        <v>145</v>
      </c>
      <c r="AI61" s="11">
        <f>Table1[[#This Row],[Excess_Stock_Units]]*Table1[[#This Row],[Unit_Cost_INR]]</f>
        <v>284200</v>
      </c>
      <c r="AJ61" s="11">
        <f>IF(Table1[[#This Row],[Criticality]]="Critical",0,Table1[[#This Row],[Excess_Inventory_Value_INR]])</f>
        <v>0</v>
      </c>
      <c r="AK61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62" spans="1:37" x14ac:dyDescent="0.25">
      <c r="A62" t="s">
        <v>349</v>
      </c>
      <c r="B62" t="s">
        <v>97</v>
      </c>
      <c r="C62" t="s">
        <v>52</v>
      </c>
      <c r="D62" t="s">
        <v>27</v>
      </c>
      <c r="E62" t="s">
        <v>22</v>
      </c>
      <c r="F62">
        <v>15</v>
      </c>
      <c r="G62">
        <v>12</v>
      </c>
      <c r="H62">
        <v>0</v>
      </c>
      <c r="I62">
        <v>115</v>
      </c>
      <c r="J62">
        <v>2420</v>
      </c>
      <c r="K62">
        <v>26</v>
      </c>
      <c r="L62">
        <v>1</v>
      </c>
      <c r="M62">
        <v>632</v>
      </c>
      <c r="N62" t="s">
        <v>81</v>
      </c>
      <c r="O62">
        <v>0.21299999999999999</v>
      </c>
      <c r="P62">
        <v>59277.9</v>
      </c>
      <c r="Q62">
        <f>(Table1[[#This Row],[Closing_Stock]]*Table1[[#This Row],[Unit_Cost_INR]])</f>
        <v>278300</v>
      </c>
      <c r="R62">
        <f>(Table1[[#This Row],[Unit_Cost_INR]]*Table1[[#This Row],[Consumption]])</f>
        <v>0</v>
      </c>
      <c r="S62">
        <f>IFERROR(Table1[[#This Row],[Annual_Consumption_Value_INR]]/Table1[[#This Row],[Inventory_Value_INR]],0)</f>
        <v>0</v>
      </c>
      <c r="T62">
        <f>IFERROR(365/Table1[[#This Row],[Inventory_Turnover]],0)</f>
        <v>0</v>
      </c>
      <c r="U62" t="str">
        <f>IF(Table1[[#This Row],[Consumption]]=0,"Non-Moving", IF(Table1[[#This Row],[Days_Since_Last_Movement]]&gt;90,"Slow-Moving","Active"))</f>
        <v>Non-Moving</v>
      </c>
      <c r="V62">
        <f>SUM($Q$2:Q62)</f>
        <v>40935020</v>
      </c>
      <c r="W62">
        <f>Table1[[#This Row],[Cumulative_Inventory_Value]]/$AP$3</f>
        <v>0.5407863122936053</v>
      </c>
      <c r="X62" t="str">
        <f>IF(Table1[[#This Row],[Cumulative_Value_%]]&lt;80%,"A", IF(Table1[[#This Row],[Cumulative_Value_%]]&lt;=95%,"B","C"))</f>
        <v>A</v>
      </c>
      <c r="Y62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Critical Review</v>
      </c>
      <c r="Z62">
        <f>Table1[[#This Row],[Consumption]]/365</f>
        <v>0</v>
      </c>
      <c r="AA62">
        <f>Table1[[#This Row],[Avg_Daily_Consumption]]*Table1[[#This Row],[Lead_Time_Days]]+Table1[[#This Row],[Safety_Stock]]</f>
        <v>1</v>
      </c>
      <c r="AB62">
        <f>IFERROR(Table1[[#This Row],[Closing_Stock]]/Table1[[#This Row],[Avg_Daily_Consumption]],9999)</f>
        <v>9999</v>
      </c>
      <c r="AC62">
        <f>MAX(1,ROUNDUP(Table1[[#This Row],[Avg_Daily_Consumption]]*Table1[[#This Row],[Lead_Time_Days]]*0.8,0))</f>
        <v>1</v>
      </c>
      <c r="AD62" t="str">
        <f>IF(Table1[[#This Row],[Closing_Stock]]&lt;Table1[[#This Row],[Reorder_Point]],"Stock-out Risk","Adequate")</f>
        <v>Adequate</v>
      </c>
      <c r="AE62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62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 for Disposal/De-procurement</v>
      </c>
      <c r="AG62">
        <f>IF(Table1[[#This Row],[Action_Recommendation]]="Review for Disposal/De-procurement",Table1[[#This Row],[Inventory_Value_INR]]*70%,IF(Table1[[#This Row],[Action_Recommendation]]="Review Safety Stock",Table1[[#This Row],[Inventory_Value_INR]]*20%,0))</f>
        <v>194810</v>
      </c>
      <c r="AH62" s="11">
        <f>MAX(0,Table1[[#This Row],[Closing_Stock]]-Table1[[#This Row],[Reorder_Point]])</f>
        <v>114</v>
      </c>
      <c r="AI62" s="11">
        <f>Table1[[#This Row],[Excess_Stock_Units]]*Table1[[#This Row],[Unit_Cost_INR]]</f>
        <v>275880</v>
      </c>
      <c r="AJ62" s="11">
        <f>IF(Table1[[#This Row],[Criticality]]="Critical",0,Table1[[#This Row],[Excess_Inventory_Value_INR]])</f>
        <v>275880</v>
      </c>
      <c r="AK62" s="11">
        <f>IF(AND(Table1[[#This Row],[Criticality]]&lt;&gt;"Critical",OR(Table1[[#This Row],[Movement_Class]]="Slow-Moving",Table1[[#This Row],[Movement_Class]]="Non-Moving")),Table1[[#This Row],[Excess_Inventory_Value_INR]],0)</f>
        <v>275880</v>
      </c>
    </row>
    <row r="63" spans="1:37" x14ac:dyDescent="0.25">
      <c r="A63" t="s">
        <v>62</v>
      </c>
      <c r="B63" t="s">
        <v>63</v>
      </c>
      <c r="C63" t="s">
        <v>52</v>
      </c>
      <c r="D63" t="s">
        <v>42</v>
      </c>
      <c r="E63" t="s">
        <v>46</v>
      </c>
      <c r="F63">
        <v>28</v>
      </c>
      <c r="G63">
        <v>58</v>
      </c>
      <c r="H63">
        <v>35</v>
      </c>
      <c r="I63">
        <v>51</v>
      </c>
      <c r="J63">
        <v>5360</v>
      </c>
      <c r="K63">
        <v>6</v>
      </c>
      <c r="L63">
        <v>0</v>
      </c>
      <c r="M63">
        <v>76</v>
      </c>
      <c r="N63" t="s">
        <v>29</v>
      </c>
      <c r="O63">
        <v>0.17599999999999999</v>
      </c>
      <c r="P63">
        <v>48111.360000000001</v>
      </c>
      <c r="Q63">
        <f>(Table1[[#This Row],[Closing_Stock]]*Table1[[#This Row],[Unit_Cost_INR]])</f>
        <v>273360</v>
      </c>
      <c r="R63">
        <f>(Table1[[#This Row],[Unit_Cost_INR]]*Table1[[#This Row],[Consumption]])</f>
        <v>187600</v>
      </c>
      <c r="S63">
        <f>IFERROR(Table1[[#This Row],[Annual_Consumption_Value_INR]]/Table1[[#This Row],[Inventory_Value_INR]],0)</f>
        <v>0.68627450980392157</v>
      </c>
      <c r="T63">
        <f>IFERROR(365/Table1[[#This Row],[Inventory_Turnover]],0)</f>
        <v>531.85714285714289</v>
      </c>
      <c r="U63" t="str">
        <f>IF(Table1[[#This Row],[Consumption]]=0,"Non-Moving", IF(Table1[[#This Row],[Days_Since_Last_Movement]]&gt;90,"Slow-Moving","Active"))</f>
        <v>Active</v>
      </c>
      <c r="V63">
        <f>SUM($Q$2:Q63)</f>
        <v>41208380</v>
      </c>
      <c r="W63">
        <f>Table1[[#This Row],[Cumulative_Inventory_Value]]/$AP$3</f>
        <v>0.54439762960402993</v>
      </c>
      <c r="X63" t="str">
        <f>IF(Table1[[#This Row],[Cumulative_Value_%]]&lt;80%,"A", IF(Table1[[#This Row],[Cumulative_Value_%]]&lt;=95%,"B","C"))</f>
        <v>A</v>
      </c>
      <c r="Y63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63">
        <f>Table1[[#This Row],[Consumption]]/365</f>
        <v>9.5890410958904104E-2</v>
      </c>
      <c r="AA63">
        <f>Table1[[#This Row],[Avg_Daily_Consumption]]*Table1[[#This Row],[Lead_Time_Days]]+Table1[[#This Row],[Safety_Stock]]</f>
        <v>1.5753424657534247</v>
      </c>
      <c r="AB63">
        <f>IFERROR(Table1[[#This Row],[Closing_Stock]]/Table1[[#This Row],[Avg_Daily_Consumption]],9999)</f>
        <v>531.85714285714289</v>
      </c>
      <c r="AC63">
        <f>MAX(1,ROUNDUP(Table1[[#This Row],[Avg_Daily_Consumption]]*Table1[[#This Row],[Lead_Time_Days]]*0.8,0))</f>
        <v>1</v>
      </c>
      <c r="AD63" t="str">
        <f>IF(Table1[[#This Row],[Closing_Stock]]&lt;Table1[[#This Row],[Reorder_Point]],"Stock-out Risk","Adequate")</f>
        <v>Adequate</v>
      </c>
      <c r="AE63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63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63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63" s="11">
        <f>MAX(0,Table1[[#This Row],[Closing_Stock]]-Table1[[#This Row],[Reorder_Point]])</f>
        <v>49.424657534246577</v>
      </c>
      <c r="AI63" s="11">
        <f>Table1[[#This Row],[Excess_Stock_Units]]*Table1[[#This Row],[Unit_Cost_INR]]</f>
        <v>264916.16438356164</v>
      </c>
      <c r="AJ63" s="11">
        <f>IF(Table1[[#This Row],[Criticality]]="Critical",0,Table1[[#This Row],[Excess_Inventory_Value_INR]])</f>
        <v>264916.16438356164</v>
      </c>
      <c r="AK63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64" spans="1:37" x14ac:dyDescent="0.25">
      <c r="A64" t="s">
        <v>276</v>
      </c>
      <c r="B64" t="s">
        <v>184</v>
      </c>
      <c r="C64" t="s">
        <v>26</v>
      </c>
      <c r="D64" t="s">
        <v>60</v>
      </c>
      <c r="E64" t="s">
        <v>22</v>
      </c>
      <c r="F64">
        <v>38</v>
      </c>
      <c r="G64">
        <v>46</v>
      </c>
      <c r="H64">
        <v>7</v>
      </c>
      <c r="I64">
        <v>83</v>
      </c>
      <c r="J64">
        <v>3270</v>
      </c>
      <c r="K64">
        <v>16</v>
      </c>
      <c r="L64">
        <v>0</v>
      </c>
      <c r="M64">
        <v>268</v>
      </c>
      <c r="N64" t="s">
        <v>23</v>
      </c>
      <c r="O64">
        <v>0.24099999999999999</v>
      </c>
      <c r="P64">
        <v>65409.81</v>
      </c>
      <c r="Q64">
        <f>(Table1[[#This Row],[Closing_Stock]]*Table1[[#This Row],[Unit_Cost_INR]])</f>
        <v>271410</v>
      </c>
      <c r="R64">
        <f>(Table1[[#This Row],[Unit_Cost_INR]]*Table1[[#This Row],[Consumption]])</f>
        <v>22890</v>
      </c>
      <c r="S64">
        <f>IFERROR(Table1[[#This Row],[Annual_Consumption_Value_INR]]/Table1[[#This Row],[Inventory_Value_INR]],0)</f>
        <v>8.4337349397590355E-2</v>
      </c>
      <c r="T64">
        <f>IFERROR(365/Table1[[#This Row],[Inventory_Turnover]],0)</f>
        <v>4327.8571428571431</v>
      </c>
      <c r="U64" t="str">
        <f>IF(Table1[[#This Row],[Consumption]]=0,"Non-Moving", IF(Table1[[#This Row],[Days_Since_Last_Movement]]&gt;90,"Slow-Moving","Active"))</f>
        <v>Slow-Moving</v>
      </c>
      <c r="V64">
        <f>SUM($Q$2:Q64)</f>
        <v>41479790</v>
      </c>
      <c r="W64">
        <f>Table1[[#This Row],[Cumulative_Inventory_Value]]/$AP$3</f>
        <v>0.5479831857615598</v>
      </c>
      <c r="X64" t="str">
        <f>IF(Table1[[#This Row],[Cumulative_Value_%]]&lt;80%,"A", IF(Table1[[#This Row],[Cumulative_Value_%]]&lt;=95%,"B","C"))</f>
        <v>A</v>
      </c>
      <c r="Y64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High Review</v>
      </c>
      <c r="Z64">
        <f>Table1[[#This Row],[Consumption]]/365</f>
        <v>1.9178082191780823E-2</v>
      </c>
      <c r="AA64">
        <f>Table1[[#This Row],[Avg_Daily_Consumption]]*Table1[[#This Row],[Lead_Time_Days]]+Table1[[#This Row],[Safety_Stock]]</f>
        <v>1.3068493150684932</v>
      </c>
      <c r="AB64">
        <f>IFERROR(Table1[[#This Row],[Closing_Stock]]/Table1[[#This Row],[Avg_Daily_Consumption]],9999)</f>
        <v>4327.8571428571422</v>
      </c>
      <c r="AC64">
        <f>MAX(1,ROUNDUP(Table1[[#This Row],[Avg_Daily_Consumption]]*Table1[[#This Row],[Lead_Time_Days]]*0.8,0))</f>
        <v>1</v>
      </c>
      <c r="AD64" t="str">
        <f>IF(Table1[[#This Row],[Closing_Stock]]&lt;Table1[[#This Row],[Reorder_Point]],"Stock-out Risk","Adequate")</f>
        <v>Adequate</v>
      </c>
      <c r="AE64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64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 Safety Stock</v>
      </c>
      <c r="AG64">
        <f>IF(Table1[[#This Row],[Action_Recommendation]]="Review for Disposal/De-procurement",Table1[[#This Row],[Inventory_Value_INR]]*70%,IF(Table1[[#This Row],[Action_Recommendation]]="Review Safety Stock",Table1[[#This Row],[Inventory_Value_INR]]*20%,0))</f>
        <v>54282</v>
      </c>
      <c r="AH64" s="11">
        <f>MAX(0,Table1[[#This Row],[Closing_Stock]]-Table1[[#This Row],[Reorder_Point]])</f>
        <v>81.69315068493151</v>
      </c>
      <c r="AI64" s="11">
        <f>Table1[[#This Row],[Excess_Stock_Units]]*Table1[[#This Row],[Unit_Cost_INR]]</f>
        <v>267136.60273972602</v>
      </c>
      <c r="AJ64" s="11">
        <f>IF(Table1[[#This Row],[Criticality]]="Critical",0,Table1[[#This Row],[Excess_Inventory_Value_INR]])</f>
        <v>267136.60273972602</v>
      </c>
      <c r="AK64" s="11">
        <f>IF(AND(Table1[[#This Row],[Criticality]]&lt;&gt;"Critical",OR(Table1[[#This Row],[Movement_Class]]="Slow-Moving",Table1[[#This Row],[Movement_Class]]="Non-Moving")),Table1[[#This Row],[Excess_Inventory_Value_INR]],0)</f>
        <v>267136.60273972602</v>
      </c>
    </row>
    <row r="65" spans="1:37" x14ac:dyDescent="0.25">
      <c r="A65" t="s">
        <v>543</v>
      </c>
      <c r="B65" t="s">
        <v>73</v>
      </c>
      <c r="C65" t="s">
        <v>41</v>
      </c>
      <c r="D65" t="s">
        <v>27</v>
      </c>
      <c r="E65" t="s">
        <v>28</v>
      </c>
      <c r="F65">
        <v>18</v>
      </c>
      <c r="G65">
        <v>17</v>
      </c>
      <c r="H65">
        <v>18</v>
      </c>
      <c r="I65">
        <v>17</v>
      </c>
      <c r="J65">
        <v>15850</v>
      </c>
      <c r="K65">
        <v>4</v>
      </c>
      <c r="L65">
        <v>1</v>
      </c>
      <c r="M65">
        <v>19</v>
      </c>
      <c r="N65" t="s">
        <v>49</v>
      </c>
      <c r="O65">
        <v>0.28399999999999997</v>
      </c>
      <c r="P65">
        <v>76523.799999999988</v>
      </c>
      <c r="Q65">
        <f>(Table1[[#This Row],[Closing_Stock]]*Table1[[#This Row],[Unit_Cost_INR]])</f>
        <v>269450</v>
      </c>
      <c r="R65">
        <f>(Table1[[#This Row],[Unit_Cost_INR]]*Table1[[#This Row],[Consumption]])</f>
        <v>285300</v>
      </c>
      <c r="S65">
        <f>IFERROR(Table1[[#This Row],[Annual_Consumption_Value_INR]]/Table1[[#This Row],[Inventory_Value_INR]],0)</f>
        <v>1.0588235294117647</v>
      </c>
      <c r="T65">
        <f>IFERROR(365/Table1[[#This Row],[Inventory_Turnover]],0)</f>
        <v>344.72222222222223</v>
      </c>
      <c r="U65" t="str">
        <f>IF(Table1[[#This Row],[Consumption]]=0,"Non-Moving", IF(Table1[[#This Row],[Days_Since_Last_Movement]]&gt;90,"Slow-Moving","Active"))</f>
        <v>Active</v>
      </c>
      <c r="V65">
        <f>SUM($Q$2:Q65)</f>
        <v>41749240</v>
      </c>
      <c r="W65">
        <f>Table1[[#This Row],[Cumulative_Inventory_Value]]/$AP$3</f>
        <v>0.55154284865771841</v>
      </c>
      <c r="X65" t="str">
        <f>IF(Table1[[#This Row],[Cumulative_Value_%]]&lt;80%,"A", IF(Table1[[#This Row],[Cumulative_Value_%]]&lt;=95%,"B","C"))</f>
        <v>A</v>
      </c>
      <c r="Y65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65">
        <f>Table1[[#This Row],[Consumption]]/365</f>
        <v>4.9315068493150684E-2</v>
      </c>
      <c r="AA65">
        <f>Table1[[#This Row],[Avg_Daily_Consumption]]*Table1[[#This Row],[Lead_Time_Days]]+Table1[[#This Row],[Safety_Stock]]</f>
        <v>1.1972602739726028</v>
      </c>
      <c r="AB65">
        <f>IFERROR(Table1[[#This Row],[Closing_Stock]]/Table1[[#This Row],[Avg_Daily_Consumption]],9999)</f>
        <v>344.72222222222223</v>
      </c>
      <c r="AC65">
        <f>MAX(1,ROUNDUP(Table1[[#This Row],[Avg_Daily_Consumption]]*Table1[[#This Row],[Lead_Time_Days]]*0.8,0))</f>
        <v>1</v>
      </c>
      <c r="AD65" t="str">
        <f>IF(Table1[[#This Row],[Closing_Stock]]&lt;Table1[[#This Row],[Reorder_Point]],"Stock-out Risk","Adequate")</f>
        <v>Adequate</v>
      </c>
      <c r="AE65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65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65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65" s="11">
        <f>MAX(0,Table1[[#This Row],[Closing_Stock]]-Table1[[#This Row],[Reorder_Point]])</f>
        <v>15.802739726027397</v>
      </c>
      <c r="AI65" s="11">
        <f>Table1[[#This Row],[Excess_Stock_Units]]*Table1[[#This Row],[Unit_Cost_INR]]</f>
        <v>250473.42465753425</v>
      </c>
      <c r="AJ65" s="11">
        <f>IF(Table1[[#This Row],[Criticality]]="Critical",0,Table1[[#This Row],[Excess_Inventory_Value_INR]])</f>
        <v>250473.42465753425</v>
      </c>
      <c r="AK65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66" spans="1:37" x14ac:dyDescent="0.25">
      <c r="A66" t="s">
        <v>410</v>
      </c>
      <c r="B66" t="s">
        <v>56</v>
      </c>
      <c r="C66" t="s">
        <v>32</v>
      </c>
      <c r="D66" t="s">
        <v>42</v>
      </c>
      <c r="E66" t="s">
        <v>37</v>
      </c>
      <c r="F66">
        <v>46</v>
      </c>
      <c r="G66">
        <v>35</v>
      </c>
      <c r="H66">
        <v>28</v>
      </c>
      <c r="I66">
        <v>53</v>
      </c>
      <c r="J66">
        <v>5060</v>
      </c>
      <c r="K66">
        <v>32</v>
      </c>
      <c r="L66">
        <v>2</v>
      </c>
      <c r="M66">
        <v>135</v>
      </c>
      <c r="N66" t="s">
        <v>49</v>
      </c>
      <c r="O66">
        <v>0.252</v>
      </c>
      <c r="P66">
        <v>67581.36</v>
      </c>
      <c r="Q66">
        <f>(Table1[[#This Row],[Closing_Stock]]*Table1[[#This Row],[Unit_Cost_INR]])</f>
        <v>268180</v>
      </c>
      <c r="R66">
        <f>(Table1[[#This Row],[Unit_Cost_INR]]*Table1[[#This Row],[Consumption]])</f>
        <v>141680</v>
      </c>
      <c r="S66">
        <f>IFERROR(Table1[[#This Row],[Annual_Consumption_Value_INR]]/Table1[[#This Row],[Inventory_Value_INR]],0)</f>
        <v>0.52830188679245282</v>
      </c>
      <c r="T66">
        <f>IFERROR(365/Table1[[#This Row],[Inventory_Turnover]],0)</f>
        <v>690.89285714285711</v>
      </c>
      <c r="U66" t="str">
        <f>IF(Table1[[#This Row],[Consumption]]=0,"Non-Moving", IF(Table1[[#This Row],[Days_Since_Last_Movement]]&gt;90,"Slow-Moving","Active"))</f>
        <v>Slow-Moving</v>
      </c>
      <c r="V66">
        <f>SUM($Q$2:Q66)</f>
        <v>42017420</v>
      </c>
      <c r="W66">
        <f>Table1[[#This Row],[Cumulative_Inventory_Value]]/$AP$3</f>
        <v>0.55508573377737636</v>
      </c>
      <c r="X66" t="str">
        <f>IF(Table1[[#This Row],[Cumulative_Value_%]]&lt;80%,"A", IF(Table1[[#This Row],[Cumulative_Value_%]]&lt;=95%,"B","C"))</f>
        <v>A</v>
      </c>
      <c r="Y66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High Review</v>
      </c>
      <c r="Z66">
        <f>Table1[[#This Row],[Consumption]]/365</f>
        <v>7.6712328767123292E-2</v>
      </c>
      <c r="AA66">
        <f>Table1[[#This Row],[Avg_Daily_Consumption]]*Table1[[#This Row],[Lead_Time_Days]]+Table1[[#This Row],[Safety_Stock]]</f>
        <v>4.4547945205479458</v>
      </c>
      <c r="AB66">
        <f>IFERROR(Table1[[#This Row],[Closing_Stock]]/Table1[[#This Row],[Avg_Daily_Consumption]],9999)</f>
        <v>690.89285714285711</v>
      </c>
      <c r="AC66">
        <f>MAX(1,ROUNDUP(Table1[[#This Row],[Avg_Daily_Consumption]]*Table1[[#This Row],[Lead_Time_Days]]*0.8,0))</f>
        <v>2</v>
      </c>
      <c r="AD66" t="str">
        <f>IF(Table1[[#This Row],[Closing_Stock]]&lt;Table1[[#This Row],[Reorder_Point]],"Stock-out Risk","Adequate")</f>
        <v>Adequate</v>
      </c>
      <c r="AE66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66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66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66" s="11">
        <f>MAX(0,Table1[[#This Row],[Closing_Stock]]-Table1[[#This Row],[Reorder_Point]])</f>
        <v>48.545205479452051</v>
      </c>
      <c r="AI66" s="11">
        <f>Table1[[#This Row],[Excess_Stock_Units]]*Table1[[#This Row],[Unit_Cost_INR]]</f>
        <v>245638.73972602739</v>
      </c>
      <c r="AJ66" s="11">
        <f>IF(Table1[[#This Row],[Criticality]]="Critical",0,Table1[[#This Row],[Excess_Inventory_Value_INR]])</f>
        <v>0</v>
      </c>
      <c r="AK66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67" spans="1:37" x14ac:dyDescent="0.25">
      <c r="A67" t="s">
        <v>146</v>
      </c>
      <c r="B67" t="s">
        <v>71</v>
      </c>
      <c r="C67" t="s">
        <v>20</v>
      </c>
      <c r="D67" t="s">
        <v>21</v>
      </c>
      <c r="E67" t="s">
        <v>28</v>
      </c>
      <c r="F67">
        <v>12</v>
      </c>
      <c r="G67">
        <v>102</v>
      </c>
      <c r="H67">
        <v>80</v>
      </c>
      <c r="I67">
        <v>34</v>
      </c>
      <c r="J67">
        <v>7870</v>
      </c>
      <c r="K67">
        <v>41</v>
      </c>
      <c r="L67">
        <v>2</v>
      </c>
      <c r="M67">
        <v>43</v>
      </c>
      <c r="N67" t="s">
        <v>49</v>
      </c>
      <c r="O67">
        <v>0.22700000000000001</v>
      </c>
      <c r="P67">
        <v>60740.66</v>
      </c>
      <c r="Q67">
        <f>(Table1[[#This Row],[Closing_Stock]]*Table1[[#This Row],[Unit_Cost_INR]])</f>
        <v>267580</v>
      </c>
      <c r="R67">
        <f>(Table1[[#This Row],[Unit_Cost_INR]]*Table1[[#This Row],[Consumption]])</f>
        <v>629600</v>
      </c>
      <c r="S67">
        <f>IFERROR(Table1[[#This Row],[Annual_Consumption_Value_INR]]/Table1[[#This Row],[Inventory_Value_INR]],0)</f>
        <v>2.3529411764705883</v>
      </c>
      <c r="T67">
        <f>IFERROR(365/Table1[[#This Row],[Inventory_Turnover]],0)</f>
        <v>155.125</v>
      </c>
      <c r="U67" t="str">
        <f>IF(Table1[[#This Row],[Consumption]]=0,"Non-Moving", IF(Table1[[#This Row],[Days_Since_Last_Movement]]&gt;90,"Slow-Moving","Active"))</f>
        <v>Active</v>
      </c>
      <c r="V67">
        <f>SUM($Q$2:Q67)</f>
        <v>42285000</v>
      </c>
      <c r="W67">
        <f>Table1[[#This Row],[Cumulative_Inventory_Value]]/$AP$3</f>
        <v>0.55862069238845125</v>
      </c>
      <c r="X67" t="str">
        <f>IF(Table1[[#This Row],[Cumulative_Value_%]]&lt;80%,"A", IF(Table1[[#This Row],[Cumulative_Value_%]]&lt;=95%,"B","C"))</f>
        <v>A</v>
      </c>
      <c r="Y67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67">
        <f>Table1[[#This Row],[Consumption]]/365</f>
        <v>0.21917808219178081</v>
      </c>
      <c r="AA67">
        <f>Table1[[#This Row],[Avg_Daily_Consumption]]*Table1[[#This Row],[Lead_Time_Days]]+Table1[[#This Row],[Safety_Stock]]</f>
        <v>16.986301369863014</v>
      </c>
      <c r="AB67">
        <f>IFERROR(Table1[[#This Row],[Closing_Stock]]/Table1[[#This Row],[Avg_Daily_Consumption]],9999)</f>
        <v>155.125</v>
      </c>
      <c r="AC67">
        <f>MAX(1,ROUNDUP(Table1[[#This Row],[Avg_Daily_Consumption]]*Table1[[#This Row],[Lead_Time_Days]]*0.8,0))</f>
        <v>8</v>
      </c>
      <c r="AD67" t="str">
        <f>IF(Table1[[#This Row],[Closing_Stock]]&lt;Table1[[#This Row],[Reorder_Point]],"Stock-out Risk","Adequate")</f>
        <v>Adequate</v>
      </c>
      <c r="AE67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67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67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67" s="11">
        <f>MAX(0,Table1[[#This Row],[Closing_Stock]]-Table1[[#This Row],[Reorder_Point]])</f>
        <v>17.013698630136986</v>
      </c>
      <c r="AI67" s="11">
        <f>Table1[[#This Row],[Excess_Stock_Units]]*Table1[[#This Row],[Unit_Cost_INR]]</f>
        <v>133897.80821917808</v>
      </c>
      <c r="AJ67" s="11">
        <f>IF(Table1[[#This Row],[Criticality]]="Critical",0,Table1[[#This Row],[Excess_Inventory_Value_INR]])</f>
        <v>133897.80821917808</v>
      </c>
      <c r="AK67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68" spans="1:37" x14ac:dyDescent="0.25">
      <c r="A68" t="s">
        <v>335</v>
      </c>
      <c r="B68" t="s">
        <v>104</v>
      </c>
      <c r="C68" t="s">
        <v>41</v>
      </c>
      <c r="D68" t="s">
        <v>21</v>
      </c>
      <c r="E68" t="s">
        <v>46</v>
      </c>
      <c r="F68">
        <v>26</v>
      </c>
      <c r="G68">
        <v>32</v>
      </c>
      <c r="H68">
        <v>25</v>
      </c>
      <c r="I68">
        <v>33</v>
      </c>
      <c r="J68">
        <v>8040</v>
      </c>
      <c r="K68">
        <v>28</v>
      </c>
      <c r="L68">
        <v>0</v>
      </c>
      <c r="M68">
        <v>189</v>
      </c>
      <c r="N68" t="s">
        <v>29</v>
      </c>
      <c r="O68">
        <v>0.29599999999999999</v>
      </c>
      <c r="P68">
        <v>78534.720000000001</v>
      </c>
      <c r="Q68">
        <f>(Table1[[#This Row],[Closing_Stock]]*Table1[[#This Row],[Unit_Cost_INR]])</f>
        <v>265320</v>
      </c>
      <c r="R68">
        <f>(Table1[[#This Row],[Unit_Cost_INR]]*Table1[[#This Row],[Consumption]])</f>
        <v>201000</v>
      </c>
      <c r="S68">
        <f>IFERROR(Table1[[#This Row],[Annual_Consumption_Value_INR]]/Table1[[#This Row],[Inventory_Value_INR]],0)</f>
        <v>0.75757575757575757</v>
      </c>
      <c r="T68">
        <f>IFERROR(365/Table1[[#This Row],[Inventory_Turnover]],0)</f>
        <v>481.8</v>
      </c>
      <c r="U68" t="str">
        <f>IF(Table1[[#This Row],[Consumption]]=0,"Non-Moving", IF(Table1[[#This Row],[Days_Since_Last_Movement]]&gt;90,"Slow-Moving","Active"))</f>
        <v>Slow-Moving</v>
      </c>
      <c r="V68">
        <f>SUM($Q$2:Q68)</f>
        <v>42550320</v>
      </c>
      <c r="W68">
        <f>Table1[[#This Row],[Cumulative_Inventory_Value]]/$AP$3</f>
        <v>0.56212579448386346</v>
      </c>
      <c r="X68" t="str">
        <f>IF(Table1[[#This Row],[Cumulative_Value_%]]&lt;80%,"A", IF(Table1[[#This Row],[Cumulative_Value_%]]&lt;=95%,"B","C"))</f>
        <v>A</v>
      </c>
      <c r="Y68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High Review</v>
      </c>
      <c r="Z68">
        <f>Table1[[#This Row],[Consumption]]/365</f>
        <v>6.8493150684931503E-2</v>
      </c>
      <c r="AA68">
        <f>Table1[[#This Row],[Avg_Daily_Consumption]]*Table1[[#This Row],[Lead_Time_Days]]+Table1[[#This Row],[Safety_Stock]]</f>
        <v>3.9178082191780819</v>
      </c>
      <c r="AB68">
        <f>IFERROR(Table1[[#This Row],[Closing_Stock]]/Table1[[#This Row],[Avg_Daily_Consumption]],9999)</f>
        <v>481.8</v>
      </c>
      <c r="AC68">
        <f>MAX(1,ROUNDUP(Table1[[#This Row],[Avg_Daily_Consumption]]*Table1[[#This Row],[Lead_Time_Days]]*0.8,0))</f>
        <v>2</v>
      </c>
      <c r="AD68" t="str">
        <f>IF(Table1[[#This Row],[Closing_Stock]]&lt;Table1[[#This Row],[Reorder_Point]],"Stock-out Risk","Adequate")</f>
        <v>Adequate</v>
      </c>
      <c r="AE68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68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 Safety Stock</v>
      </c>
      <c r="AG68">
        <f>IF(Table1[[#This Row],[Action_Recommendation]]="Review for Disposal/De-procurement",Table1[[#This Row],[Inventory_Value_INR]]*70%,IF(Table1[[#This Row],[Action_Recommendation]]="Review Safety Stock",Table1[[#This Row],[Inventory_Value_INR]]*20%,0))</f>
        <v>53064</v>
      </c>
      <c r="AH68" s="11">
        <f>MAX(0,Table1[[#This Row],[Closing_Stock]]-Table1[[#This Row],[Reorder_Point]])</f>
        <v>29.082191780821919</v>
      </c>
      <c r="AI68" s="11">
        <f>Table1[[#This Row],[Excess_Stock_Units]]*Table1[[#This Row],[Unit_Cost_INR]]</f>
        <v>233820.82191780824</v>
      </c>
      <c r="AJ68" s="11">
        <f>IF(Table1[[#This Row],[Criticality]]="Critical",0,Table1[[#This Row],[Excess_Inventory_Value_INR]])</f>
        <v>233820.82191780824</v>
      </c>
      <c r="AK68" s="11">
        <f>IF(AND(Table1[[#This Row],[Criticality]]&lt;&gt;"Critical",OR(Table1[[#This Row],[Movement_Class]]="Slow-Moving",Table1[[#This Row],[Movement_Class]]="Non-Moving")),Table1[[#This Row],[Excess_Inventory_Value_INR]],0)</f>
        <v>233820.82191780824</v>
      </c>
    </row>
    <row r="69" spans="1:37" x14ac:dyDescent="0.25">
      <c r="A69" t="s">
        <v>445</v>
      </c>
      <c r="B69" t="s">
        <v>73</v>
      </c>
      <c r="C69" t="s">
        <v>41</v>
      </c>
      <c r="D69" t="s">
        <v>21</v>
      </c>
      <c r="E69" t="s">
        <v>22</v>
      </c>
      <c r="F69">
        <v>58</v>
      </c>
      <c r="G69">
        <v>38</v>
      </c>
      <c r="H69">
        <v>33</v>
      </c>
      <c r="I69">
        <v>63</v>
      </c>
      <c r="J69">
        <v>4190</v>
      </c>
      <c r="K69">
        <v>22</v>
      </c>
      <c r="L69">
        <v>0</v>
      </c>
      <c r="M69">
        <v>24</v>
      </c>
      <c r="N69" t="s">
        <v>29</v>
      </c>
      <c r="O69">
        <v>0.27100000000000002</v>
      </c>
      <c r="P69">
        <v>71535.87000000001</v>
      </c>
      <c r="Q69">
        <f>(Table1[[#This Row],[Closing_Stock]]*Table1[[#This Row],[Unit_Cost_INR]])</f>
        <v>263970</v>
      </c>
      <c r="R69">
        <f>(Table1[[#This Row],[Unit_Cost_INR]]*Table1[[#This Row],[Consumption]])</f>
        <v>138270</v>
      </c>
      <c r="S69">
        <f>IFERROR(Table1[[#This Row],[Annual_Consumption_Value_INR]]/Table1[[#This Row],[Inventory_Value_INR]],0)</f>
        <v>0.52380952380952384</v>
      </c>
      <c r="T69">
        <f>IFERROR(365/Table1[[#This Row],[Inventory_Turnover]],0)</f>
        <v>696.81818181818176</v>
      </c>
      <c r="U69" t="str">
        <f>IF(Table1[[#This Row],[Consumption]]=0,"Non-Moving", IF(Table1[[#This Row],[Days_Since_Last_Movement]]&gt;90,"Slow-Moving","Active"))</f>
        <v>Active</v>
      </c>
      <c r="V69">
        <f>SUM($Q$2:Q69)</f>
        <v>42814290</v>
      </c>
      <c r="W69">
        <f>Table1[[#This Row],[Cumulative_Inventory_Value]]/$AP$3</f>
        <v>0.56561306193496375</v>
      </c>
      <c r="X69" t="str">
        <f>IF(Table1[[#This Row],[Cumulative_Value_%]]&lt;80%,"A", IF(Table1[[#This Row],[Cumulative_Value_%]]&lt;=95%,"B","C"))</f>
        <v>A</v>
      </c>
      <c r="Y69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69">
        <f>Table1[[#This Row],[Consumption]]/365</f>
        <v>9.0410958904109592E-2</v>
      </c>
      <c r="AA69">
        <f>Table1[[#This Row],[Avg_Daily_Consumption]]*Table1[[#This Row],[Lead_Time_Days]]+Table1[[#This Row],[Safety_Stock]]</f>
        <v>3.989041095890411</v>
      </c>
      <c r="AB69">
        <f>IFERROR(Table1[[#This Row],[Closing_Stock]]/Table1[[#This Row],[Avg_Daily_Consumption]],9999)</f>
        <v>696.81818181818176</v>
      </c>
      <c r="AC69">
        <f>MAX(1,ROUNDUP(Table1[[#This Row],[Avg_Daily_Consumption]]*Table1[[#This Row],[Lead_Time_Days]]*0.8,0))</f>
        <v>2</v>
      </c>
      <c r="AD69" t="str">
        <f>IF(Table1[[#This Row],[Closing_Stock]]&lt;Table1[[#This Row],[Reorder_Point]],"Stock-out Risk","Adequate")</f>
        <v>Adequate</v>
      </c>
      <c r="AE69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69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69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69" s="11">
        <f>MAX(0,Table1[[#This Row],[Closing_Stock]]-Table1[[#This Row],[Reorder_Point]])</f>
        <v>59.010958904109586</v>
      </c>
      <c r="AI69" s="11">
        <f>Table1[[#This Row],[Excess_Stock_Units]]*Table1[[#This Row],[Unit_Cost_INR]]</f>
        <v>247255.91780821918</v>
      </c>
      <c r="AJ69" s="11">
        <f>IF(Table1[[#This Row],[Criticality]]="Critical",0,Table1[[#This Row],[Excess_Inventory_Value_INR]])</f>
        <v>247255.91780821918</v>
      </c>
      <c r="AK69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70" spans="1:37" x14ac:dyDescent="0.25">
      <c r="A70" t="s">
        <v>411</v>
      </c>
      <c r="B70" t="s">
        <v>80</v>
      </c>
      <c r="C70" t="s">
        <v>20</v>
      </c>
      <c r="D70" t="s">
        <v>60</v>
      </c>
      <c r="E70" t="s">
        <v>22</v>
      </c>
      <c r="F70">
        <v>176</v>
      </c>
      <c r="G70">
        <v>203</v>
      </c>
      <c r="H70">
        <v>179</v>
      </c>
      <c r="I70">
        <v>200</v>
      </c>
      <c r="J70">
        <v>1290</v>
      </c>
      <c r="K70">
        <v>21</v>
      </c>
      <c r="L70">
        <v>1</v>
      </c>
      <c r="M70">
        <v>130</v>
      </c>
      <c r="N70" t="s">
        <v>33</v>
      </c>
      <c r="O70">
        <v>0.23400000000000001</v>
      </c>
      <c r="P70">
        <v>60372</v>
      </c>
      <c r="Q70">
        <f>(Table1[[#This Row],[Closing_Stock]]*Table1[[#This Row],[Unit_Cost_INR]])</f>
        <v>258000</v>
      </c>
      <c r="R70">
        <f>(Table1[[#This Row],[Unit_Cost_INR]]*Table1[[#This Row],[Consumption]])</f>
        <v>230910</v>
      </c>
      <c r="S70">
        <f>IFERROR(Table1[[#This Row],[Annual_Consumption_Value_INR]]/Table1[[#This Row],[Inventory_Value_INR]],0)</f>
        <v>0.89500000000000002</v>
      </c>
      <c r="T70">
        <f>IFERROR(365/Table1[[#This Row],[Inventory_Turnover]],0)</f>
        <v>407.82122905027933</v>
      </c>
      <c r="U70" t="str">
        <f>IF(Table1[[#This Row],[Consumption]]=0,"Non-Moving", IF(Table1[[#This Row],[Days_Since_Last_Movement]]&gt;90,"Slow-Moving","Active"))</f>
        <v>Slow-Moving</v>
      </c>
      <c r="V70">
        <f>SUM($Q$2:Q70)</f>
        <v>43072290</v>
      </c>
      <c r="W70">
        <f>Table1[[#This Row],[Cumulative_Inventory_Value]]/$AP$3</f>
        <v>0.56902146062566306</v>
      </c>
      <c r="X70" t="str">
        <f>IF(Table1[[#This Row],[Cumulative_Value_%]]&lt;80%,"A", IF(Table1[[#This Row],[Cumulative_Value_%]]&lt;=95%,"B","C"))</f>
        <v>A</v>
      </c>
      <c r="Y70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High Review</v>
      </c>
      <c r="Z70">
        <f>Table1[[#This Row],[Consumption]]/365</f>
        <v>0.49041095890410957</v>
      </c>
      <c r="AA70">
        <f>Table1[[#This Row],[Avg_Daily_Consumption]]*Table1[[#This Row],[Lead_Time_Days]]+Table1[[#This Row],[Safety_Stock]]</f>
        <v>19.298630136986301</v>
      </c>
      <c r="AB70">
        <f>IFERROR(Table1[[#This Row],[Closing_Stock]]/Table1[[#This Row],[Avg_Daily_Consumption]],9999)</f>
        <v>407.82122905027933</v>
      </c>
      <c r="AC70">
        <f>MAX(1,ROUNDUP(Table1[[#This Row],[Avg_Daily_Consumption]]*Table1[[#This Row],[Lead_Time_Days]]*0.8,0))</f>
        <v>9</v>
      </c>
      <c r="AD70" t="str">
        <f>IF(Table1[[#This Row],[Closing_Stock]]&lt;Table1[[#This Row],[Reorder_Point]],"Stock-out Risk","Adequate")</f>
        <v>Adequate</v>
      </c>
      <c r="AE70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70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 Safety Stock</v>
      </c>
      <c r="AG70">
        <f>IF(Table1[[#This Row],[Action_Recommendation]]="Review for Disposal/De-procurement",Table1[[#This Row],[Inventory_Value_INR]]*70%,IF(Table1[[#This Row],[Action_Recommendation]]="Review Safety Stock",Table1[[#This Row],[Inventory_Value_INR]]*20%,0))</f>
        <v>51600</v>
      </c>
      <c r="AH70" s="11">
        <f>MAX(0,Table1[[#This Row],[Closing_Stock]]-Table1[[#This Row],[Reorder_Point]])</f>
        <v>180.7013698630137</v>
      </c>
      <c r="AI70" s="11">
        <f>Table1[[#This Row],[Excess_Stock_Units]]*Table1[[#This Row],[Unit_Cost_INR]]</f>
        <v>233104.76712328766</v>
      </c>
      <c r="AJ70" s="11">
        <f>IF(Table1[[#This Row],[Criticality]]="Critical",0,Table1[[#This Row],[Excess_Inventory_Value_INR]])</f>
        <v>233104.76712328766</v>
      </c>
      <c r="AK70" s="11">
        <f>IF(AND(Table1[[#This Row],[Criticality]]&lt;&gt;"Critical",OR(Table1[[#This Row],[Movement_Class]]="Slow-Moving",Table1[[#This Row],[Movement_Class]]="Non-Moving")),Table1[[#This Row],[Excess_Inventory_Value_INR]],0)</f>
        <v>233104.76712328766</v>
      </c>
    </row>
    <row r="71" spans="1:37" x14ac:dyDescent="0.25">
      <c r="A71" t="s">
        <v>64</v>
      </c>
      <c r="B71" t="s">
        <v>44</v>
      </c>
      <c r="C71" t="s">
        <v>41</v>
      </c>
      <c r="D71" t="s">
        <v>21</v>
      </c>
      <c r="E71" t="s">
        <v>46</v>
      </c>
      <c r="F71">
        <v>59</v>
      </c>
      <c r="G71">
        <v>93</v>
      </c>
      <c r="H71">
        <v>0</v>
      </c>
      <c r="I71">
        <v>88</v>
      </c>
      <c r="J71">
        <v>2910</v>
      </c>
      <c r="K71">
        <v>36</v>
      </c>
      <c r="L71">
        <v>0</v>
      </c>
      <c r="M71">
        <v>436</v>
      </c>
      <c r="N71" t="s">
        <v>58</v>
      </c>
      <c r="O71">
        <v>0.248</v>
      </c>
      <c r="P71">
        <v>63507.839999999997</v>
      </c>
      <c r="Q71">
        <f>(Table1[[#This Row],[Closing_Stock]]*Table1[[#This Row],[Unit_Cost_INR]])</f>
        <v>256080</v>
      </c>
      <c r="R71">
        <f>(Table1[[#This Row],[Unit_Cost_INR]]*Table1[[#This Row],[Consumption]])</f>
        <v>0</v>
      </c>
      <c r="S71">
        <f>IFERROR(Table1[[#This Row],[Annual_Consumption_Value_INR]]/Table1[[#This Row],[Inventory_Value_INR]],0)</f>
        <v>0</v>
      </c>
      <c r="T71">
        <f>IFERROR(365/Table1[[#This Row],[Inventory_Turnover]],0)</f>
        <v>0</v>
      </c>
      <c r="U71" t="str">
        <f>IF(Table1[[#This Row],[Consumption]]=0,"Non-Moving", IF(Table1[[#This Row],[Days_Since_Last_Movement]]&gt;90,"Slow-Moving","Active"))</f>
        <v>Non-Moving</v>
      </c>
      <c r="V71">
        <f>SUM($Q$2:Q71)</f>
        <v>43328370</v>
      </c>
      <c r="W71">
        <f>Table1[[#This Row],[Cumulative_Inventory_Value]]/$AP$3</f>
        <v>0.57240449448889674</v>
      </c>
      <c r="X71" t="str">
        <f>IF(Table1[[#This Row],[Cumulative_Value_%]]&lt;80%,"A", IF(Table1[[#This Row],[Cumulative_Value_%]]&lt;=95%,"B","C"))</f>
        <v>A</v>
      </c>
      <c r="Y71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Critical Review</v>
      </c>
      <c r="Z71">
        <f>Table1[[#This Row],[Consumption]]/365</f>
        <v>0</v>
      </c>
      <c r="AA71">
        <f>Table1[[#This Row],[Avg_Daily_Consumption]]*Table1[[#This Row],[Lead_Time_Days]]+Table1[[#This Row],[Safety_Stock]]</f>
        <v>1</v>
      </c>
      <c r="AB71">
        <f>IFERROR(Table1[[#This Row],[Closing_Stock]]/Table1[[#This Row],[Avg_Daily_Consumption]],9999)</f>
        <v>9999</v>
      </c>
      <c r="AC71">
        <f>MAX(1,ROUNDUP(Table1[[#This Row],[Avg_Daily_Consumption]]*Table1[[#This Row],[Lead_Time_Days]]*0.8,0))</f>
        <v>1</v>
      </c>
      <c r="AD71" t="str">
        <f>IF(Table1[[#This Row],[Closing_Stock]]&lt;Table1[[#This Row],[Reorder_Point]],"Stock-out Risk","Adequate")</f>
        <v>Adequate</v>
      </c>
      <c r="AE71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71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 for Disposal/De-procurement</v>
      </c>
      <c r="AG71">
        <f>IF(Table1[[#This Row],[Action_Recommendation]]="Review for Disposal/De-procurement",Table1[[#This Row],[Inventory_Value_INR]]*70%,IF(Table1[[#This Row],[Action_Recommendation]]="Review Safety Stock",Table1[[#This Row],[Inventory_Value_INR]]*20%,0))</f>
        <v>179256</v>
      </c>
      <c r="AH71" s="11">
        <f>MAX(0,Table1[[#This Row],[Closing_Stock]]-Table1[[#This Row],[Reorder_Point]])</f>
        <v>87</v>
      </c>
      <c r="AI71" s="11">
        <f>Table1[[#This Row],[Excess_Stock_Units]]*Table1[[#This Row],[Unit_Cost_INR]]</f>
        <v>253170</v>
      </c>
      <c r="AJ71" s="11">
        <f>IF(Table1[[#This Row],[Criticality]]="Critical",0,Table1[[#This Row],[Excess_Inventory_Value_INR]])</f>
        <v>253170</v>
      </c>
      <c r="AK71" s="11">
        <f>IF(AND(Table1[[#This Row],[Criticality]]&lt;&gt;"Critical",OR(Table1[[#This Row],[Movement_Class]]="Slow-Moving",Table1[[#This Row],[Movement_Class]]="Non-Moving")),Table1[[#This Row],[Excess_Inventory_Value_INR]],0)</f>
        <v>253170</v>
      </c>
    </row>
    <row r="72" spans="1:37" x14ac:dyDescent="0.25">
      <c r="A72" t="s">
        <v>293</v>
      </c>
      <c r="B72" t="s">
        <v>35</v>
      </c>
      <c r="C72" t="s">
        <v>36</v>
      </c>
      <c r="D72" t="s">
        <v>45</v>
      </c>
      <c r="E72" t="s">
        <v>22</v>
      </c>
      <c r="F72">
        <v>19</v>
      </c>
      <c r="G72">
        <v>31</v>
      </c>
      <c r="H72">
        <v>19</v>
      </c>
      <c r="I72">
        <v>31</v>
      </c>
      <c r="J72">
        <v>8210</v>
      </c>
      <c r="K72">
        <v>22</v>
      </c>
      <c r="L72">
        <v>1</v>
      </c>
      <c r="M72">
        <v>95</v>
      </c>
      <c r="N72" t="s">
        <v>29</v>
      </c>
      <c r="O72">
        <v>0.23400000000000001</v>
      </c>
      <c r="P72">
        <v>59555.34</v>
      </c>
      <c r="Q72">
        <f>(Table1[[#This Row],[Closing_Stock]]*Table1[[#This Row],[Unit_Cost_INR]])</f>
        <v>254510</v>
      </c>
      <c r="R72">
        <f>(Table1[[#This Row],[Unit_Cost_INR]]*Table1[[#This Row],[Consumption]])</f>
        <v>155990</v>
      </c>
      <c r="S72">
        <f>IFERROR(Table1[[#This Row],[Annual_Consumption_Value_INR]]/Table1[[#This Row],[Inventory_Value_INR]],0)</f>
        <v>0.61290322580645162</v>
      </c>
      <c r="T72">
        <f>IFERROR(365/Table1[[#This Row],[Inventory_Turnover]],0)</f>
        <v>595.52631578947364</v>
      </c>
      <c r="U72" t="str">
        <f>IF(Table1[[#This Row],[Consumption]]=0,"Non-Moving", IF(Table1[[#This Row],[Days_Since_Last_Movement]]&gt;90,"Slow-Moving","Active"))</f>
        <v>Slow-Moving</v>
      </c>
      <c r="V72">
        <f>SUM($Q$2:Q72)</f>
        <v>43582880</v>
      </c>
      <c r="W72">
        <f>Table1[[#This Row],[Cumulative_Inventory_Value]]/$AP$3</f>
        <v>0.57576678732133812</v>
      </c>
      <c r="X72" t="str">
        <f>IF(Table1[[#This Row],[Cumulative_Value_%]]&lt;80%,"A", IF(Table1[[#This Row],[Cumulative_Value_%]]&lt;=95%,"B","C"))</f>
        <v>A</v>
      </c>
      <c r="Y72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High Review</v>
      </c>
      <c r="Z72">
        <f>Table1[[#This Row],[Consumption]]/365</f>
        <v>5.2054794520547946E-2</v>
      </c>
      <c r="AA72">
        <f>Table1[[#This Row],[Avg_Daily_Consumption]]*Table1[[#This Row],[Lead_Time_Days]]+Table1[[#This Row],[Safety_Stock]]</f>
        <v>2.1452054794520548</v>
      </c>
      <c r="AB72">
        <f>IFERROR(Table1[[#This Row],[Closing_Stock]]/Table1[[#This Row],[Avg_Daily_Consumption]],9999)</f>
        <v>595.52631578947364</v>
      </c>
      <c r="AC72">
        <f>MAX(1,ROUNDUP(Table1[[#This Row],[Avg_Daily_Consumption]]*Table1[[#This Row],[Lead_Time_Days]]*0.8,0))</f>
        <v>1</v>
      </c>
      <c r="AD72" t="str">
        <f>IF(Table1[[#This Row],[Closing_Stock]]&lt;Table1[[#This Row],[Reorder_Point]],"Stock-out Risk","Adequate")</f>
        <v>Adequate</v>
      </c>
      <c r="AE72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72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 Safety Stock</v>
      </c>
      <c r="AG72">
        <f>IF(Table1[[#This Row],[Action_Recommendation]]="Review for Disposal/De-procurement",Table1[[#This Row],[Inventory_Value_INR]]*70%,IF(Table1[[#This Row],[Action_Recommendation]]="Review Safety Stock",Table1[[#This Row],[Inventory_Value_INR]]*20%,0))</f>
        <v>50902</v>
      </c>
      <c r="AH72" s="11">
        <f>MAX(0,Table1[[#This Row],[Closing_Stock]]-Table1[[#This Row],[Reorder_Point]])</f>
        <v>28.854794520547944</v>
      </c>
      <c r="AI72" s="11">
        <f>Table1[[#This Row],[Excess_Stock_Units]]*Table1[[#This Row],[Unit_Cost_INR]]</f>
        <v>236897.86301369863</v>
      </c>
      <c r="AJ72" s="11">
        <f>IF(Table1[[#This Row],[Criticality]]="Critical",0,Table1[[#This Row],[Excess_Inventory_Value_INR]])</f>
        <v>236897.86301369863</v>
      </c>
      <c r="AK72" s="11">
        <f>IF(AND(Table1[[#This Row],[Criticality]]&lt;&gt;"Critical",OR(Table1[[#This Row],[Movement_Class]]="Slow-Moving",Table1[[#This Row],[Movement_Class]]="Non-Moving")),Table1[[#This Row],[Excess_Inventory_Value_INR]],0)</f>
        <v>236897.86301369863</v>
      </c>
    </row>
    <row r="73" spans="1:37" x14ac:dyDescent="0.25">
      <c r="A73" t="s">
        <v>361</v>
      </c>
      <c r="B73" t="s">
        <v>44</v>
      </c>
      <c r="C73" t="s">
        <v>41</v>
      </c>
      <c r="D73" t="s">
        <v>42</v>
      </c>
      <c r="E73" t="s">
        <v>28</v>
      </c>
      <c r="F73">
        <v>87</v>
      </c>
      <c r="G73">
        <v>87</v>
      </c>
      <c r="H73">
        <v>84</v>
      </c>
      <c r="I73">
        <v>90</v>
      </c>
      <c r="J73">
        <v>2780</v>
      </c>
      <c r="K73">
        <v>18</v>
      </c>
      <c r="L73">
        <v>0</v>
      </c>
      <c r="M73">
        <v>79</v>
      </c>
      <c r="N73" t="s">
        <v>23</v>
      </c>
      <c r="O73">
        <v>0.19700000000000001</v>
      </c>
      <c r="P73">
        <v>49289.4</v>
      </c>
      <c r="Q73">
        <f>(Table1[[#This Row],[Closing_Stock]]*Table1[[#This Row],[Unit_Cost_INR]])</f>
        <v>250200</v>
      </c>
      <c r="R73">
        <f>(Table1[[#This Row],[Unit_Cost_INR]]*Table1[[#This Row],[Consumption]])</f>
        <v>233520</v>
      </c>
      <c r="S73">
        <f>IFERROR(Table1[[#This Row],[Annual_Consumption_Value_INR]]/Table1[[#This Row],[Inventory_Value_INR]],0)</f>
        <v>0.93333333333333335</v>
      </c>
      <c r="T73">
        <f>IFERROR(365/Table1[[#This Row],[Inventory_Turnover]],0)</f>
        <v>391.07142857142856</v>
      </c>
      <c r="U73" t="str">
        <f>IF(Table1[[#This Row],[Consumption]]=0,"Non-Moving", IF(Table1[[#This Row],[Days_Since_Last_Movement]]&gt;90,"Slow-Moving","Active"))</f>
        <v>Active</v>
      </c>
      <c r="V73">
        <f>SUM($Q$2:Q73)</f>
        <v>43833080</v>
      </c>
      <c r="W73">
        <f>Table1[[#This Row],[Cumulative_Inventory_Value]]/$AP$3</f>
        <v>0.57907214140045815</v>
      </c>
      <c r="X73" t="str">
        <f>IF(Table1[[#This Row],[Cumulative_Value_%]]&lt;80%,"A", IF(Table1[[#This Row],[Cumulative_Value_%]]&lt;=95%,"B","C"))</f>
        <v>A</v>
      </c>
      <c r="Y73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73">
        <f>Table1[[#This Row],[Consumption]]/365</f>
        <v>0.23013698630136986</v>
      </c>
      <c r="AA73">
        <f>Table1[[#This Row],[Avg_Daily_Consumption]]*Table1[[#This Row],[Lead_Time_Days]]+Table1[[#This Row],[Safety_Stock]]</f>
        <v>8.1424657534246574</v>
      </c>
      <c r="AB73">
        <f>IFERROR(Table1[[#This Row],[Closing_Stock]]/Table1[[#This Row],[Avg_Daily_Consumption]],9999)</f>
        <v>391.07142857142856</v>
      </c>
      <c r="AC73">
        <f>MAX(1,ROUNDUP(Table1[[#This Row],[Avg_Daily_Consumption]]*Table1[[#This Row],[Lead_Time_Days]]*0.8,0))</f>
        <v>4</v>
      </c>
      <c r="AD73" t="str">
        <f>IF(Table1[[#This Row],[Closing_Stock]]&lt;Table1[[#This Row],[Reorder_Point]],"Stock-out Risk","Adequate")</f>
        <v>Adequate</v>
      </c>
      <c r="AE73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73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73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73" s="11">
        <f>MAX(0,Table1[[#This Row],[Closing_Stock]]-Table1[[#This Row],[Reorder_Point]])</f>
        <v>81.857534246575341</v>
      </c>
      <c r="AI73" s="11">
        <f>Table1[[#This Row],[Excess_Stock_Units]]*Table1[[#This Row],[Unit_Cost_INR]]</f>
        <v>227563.94520547945</v>
      </c>
      <c r="AJ73" s="11">
        <f>IF(Table1[[#This Row],[Criticality]]="Critical",0,Table1[[#This Row],[Excess_Inventory_Value_INR]])</f>
        <v>227563.94520547945</v>
      </c>
      <c r="AK73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74" spans="1:37" x14ac:dyDescent="0.25">
      <c r="A74" t="s">
        <v>354</v>
      </c>
      <c r="B74" t="s">
        <v>126</v>
      </c>
      <c r="C74" t="s">
        <v>20</v>
      </c>
      <c r="D74" t="s">
        <v>27</v>
      </c>
      <c r="E74" t="s">
        <v>28</v>
      </c>
      <c r="F74">
        <v>29</v>
      </c>
      <c r="G74">
        <v>84</v>
      </c>
      <c r="H74">
        <v>70</v>
      </c>
      <c r="I74">
        <v>43</v>
      </c>
      <c r="J74">
        <v>5790</v>
      </c>
      <c r="K74">
        <v>39</v>
      </c>
      <c r="L74">
        <v>0</v>
      </c>
      <c r="M74">
        <v>42</v>
      </c>
      <c r="N74" t="s">
        <v>33</v>
      </c>
      <c r="O74">
        <v>0.27</v>
      </c>
      <c r="P74">
        <v>67221.900000000009</v>
      </c>
      <c r="Q74">
        <f>(Table1[[#This Row],[Closing_Stock]]*Table1[[#This Row],[Unit_Cost_INR]])</f>
        <v>248970</v>
      </c>
      <c r="R74">
        <f>(Table1[[#This Row],[Unit_Cost_INR]]*Table1[[#This Row],[Consumption]])</f>
        <v>405300</v>
      </c>
      <c r="S74">
        <f>IFERROR(Table1[[#This Row],[Annual_Consumption_Value_INR]]/Table1[[#This Row],[Inventory_Value_INR]],0)</f>
        <v>1.6279069767441861</v>
      </c>
      <c r="T74">
        <f>IFERROR(365/Table1[[#This Row],[Inventory_Turnover]],0)</f>
        <v>224.21428571428572</v>
      </c>
      <c r="U74" t="str">
        <f>IF(Table1[[#This Row],[Consumption]]=0,"Non-Moving", IF(Table1[[#This Row],[Days_Since_Last_Movement]]&gt;90,"Slow-Moving","Active"))</f>
        <v>Active</v>
      </c>
      <c r="V74">
        <f>SUM($Q$2:Q74)</f>
        <v>44082050</v>
      </c>
      <c r="W74">
        <f>Table1[[#This Row],[Cumulative_Inventory_Value]]/$AP$3</f>
        <v>0.58236124613698304</v>
      </c>
      <c r="X74" t="str">
        <f>IF(Table1[[#This Row],[Cumulative_Value_%]]&lt;80%,"A", IF(Table1[[#This Row],[Cumulative_Value_%]]&lt;=95%,"B","C"))</f>
        <v>A</v>
      </c>
      <c r="Y74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74">
        <f>Table1[[#This Row],[Consumption]]/365</f>
        <v>0.19178082191780821</v>
      </c>
      <c r="AA74">
        <f>Table1[[#This Row],[Avg_Daily_Consumption]]*Table1[[#This Row],[Lead_Time_Days]]+Table1[[#This Row],[Safety_Stock]]</f>
        <v>13.479452054794521</v>
      </c>
      <c r="AB74">
        <f>IFERROR(Table1[[#This Row],[Closing_Stock]]/Table1[[#This Row],[Avg_Daily_Consumption]],9999)</f>
        <v>224.21428571428572</v>
      </c>
      <c r="AC74">
        <f>MAX(1,ROUNDUP(Table1[[#This Row],[Avg_Daily_Consumption]]*Table1[[#This Row],[Lead_Time_Days]]*0.8,0))</f>
        <v>6</v>
      </c>
      <c r="AD74" t="str">
        <f>IF(Table1[[#This Row],[Closing_Stock]]&lt;Table1[[#This Row],[Reorder_Point]],"Stock-out Risk","Adequate")</f>
        <v>Adequate</v>
      </c>
      <c r="AE74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74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74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74" s="11">
        <f>MAX(0,Table1[[#This Row],[Closing_Stock]]-Table1[[#This Row],[Reorder_Point]])</f>
        <v>29.520547945205479</v>
      </c>
      <c r="AI74" s="11">
        <f>Table1[[#This Row],[Excess_Stock_Units]]*Table1[[#This Row],[Unit_Cost_INR]]</f>
        <v>170923.97260273973</v>
      </c>
      <c r="AJ74" s="11">
        <f>IF(Table1[[#This Row],[Criticality]]="Critical",0,Table1[[#This Row],[Excess_Inventory_Value_INR]])</f>
        <v>170923.97260273973</v>
      </c>
      <c r="AK74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75" spans="1:37" x14ac:dyDescent="0.25">
      <c r="A75" t="s">
        <v>325</v>
      </c>
      <c r="B75" t="s">
        <v>129</v>
      </c>
      <c r="C75" t="s">
        <v>52</v>
      </c>
      <c r="D75" t="s">
        <v>42</v>
      </c>
      <c r="E75" t="s">
        <v>22</v>
      </c>
      <c r="F75">
        <v>28</v>
      </c>
      <c r="G75">
        <v>102</v>
      </c>
      <c r="H75">
        <v>66</v>
      </c>
      <c r="I75">
        <v>64</v>
      </c>
      <c r="J75">
        <v>3890</v>
      </c>
      <c r="K75">
        <v>21</v>
      </c>
      <c r="L75">
        <v>0</v>
      </c>
      <c r="M75">
        <v>86</v>
      </c>
      <c r="N75" t="s">
        <v>38</v>
      </c>
      <c r="O75">
        <v>0.253</v>
      </c>
      <c r="P75">
        <v>62986.879999999997</v>
      </c>
      <c r="Q75">
        <f>(Table1[[#This Row],[Closing_Stock]]*Table1[[#This Row],[Unit_Cost_INR]])</f>
        <v>248960</v>
      </c>
      <c r="R75">
        <f>(Table1[[#This Row],[Unit_Cost_INR]]*Table1[[#This Row],[Consumption]])</f>
        <v>256740</v>
      </c>
      <c r="S75">
        <f>IFERROR(Table1[[#This Row],[Annual_Consumption_Value_INR]]/Table1[[#This Row],[Inventory_Value_INR]],0)</f>
        <v>1.03125</v>
      </c>
      <c r="T75">
        <f>IFERROR(365/Table1[[#This Row],[Inventory_Turnover]],0)</f>
        <v>353.93939393939394</v>
      </c>
      <c r="U75" t="str">
        <f>IF(Table1[[#This Row],[Consumption]]=0,"Non-Moving", IF(Table1[[#This Row],[Days_Since_Last_Movement]]&gt;90,"Slow-Moving","Active"))</f>
        <v>Active</v>
      </c>
      <c r="V75">
        <f>SUM($Q$2:Q75)</f>
        <v>44331010</v>
      </c>
      <c r="W75">
        <f>Table1[[#This Row],[Cumulative_Inventory_Value]]/$AP$3</f>
        <v>0.58565021876503143</v>
      </c>
      <c r="X75" t="str">
        <f>IF(Table1[[#This Row],[Cumulative_Value_%]]&lt;80%,"A", IF(Table1[[#This Row],[Cumulative_Value_%]]&lt;=95%,"B","C"))</f>
        <v>A</v>
      </c>
      <c r="Y75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75">
        <f>Table1[[#This Row],[Consumption]]/365</f>
        <v>0.18082191780821918</v>
      </c>
      <c r="AA75">
        <f>Table1[[#This Row],[Avg_Daily_Consumption]]*Table1[[#This Row],[Lead_Time_Days]]+Table1[[#This Row],[Safety_Stock]]</f>
        <v>7.7972602739726025</v>
      </c>
      <c r="AB75">
        <f>IFERROR(Table1[[#This Row],[Closing_Stock]]/Table1[[#This Row],[Avg_Daily_Consumption]],9999)</f>
        <v>353.93939393939394</v>
      </c>
      <c r="AC75">
        <f>MAX(1,ROUNDUP(Table1[[#This Row],[Avg_Daily_Consumption]]*Table1[[#This Row],[Lead_Time_Days]]*0.8,0))</f>
        <v>4</v>
      </c>
      <c r="AD75" t="str">
        <f>IF(Table1[[#This Row],[Closing_Stock]]&lt;Table1[[#This Row],[Reorder_Point]],"Stock-out Risk","Adequate")</f>
        <v>Adequate</v>
      </c>
      <c r="AE75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75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75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75" s="11">
        <f>MAX(0,Table1[[#This Row],[Closing_Stock]]-Table1[[#This Row],[Reorder_Point]])</f>
        <v>56.202739726027396</v>
      </c>
      <c r="AI75" s="11">
        <f>Table1[[#This Row],[Excess_Stock_Units]]*Table1[[#This Row],[Unit_Cost_INR]]</f>
        <v>218628.65753424657</v>
      </c>
      <c r="AJ75" s="11">
        <f>IF(Table1[[#This Row],[Criticality]]="Critical",0,Table1[[#This Row],[Excess_Inventory_Value_INR]])</f>
        <v>218628.65753424657</v>
      </c>
      <c r="AK75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76" spans="1:37" x14ac:dyDescent="0.25">
      <c r="A76" t="s">
        <v>548</v>
      </c>
      <c r="B76" t="s">
        <v>137</v>
      </c>
      <c r="C76" t="s">
        <v>26</v>
      </c>
      <c r="D76" t="s">
        <v>21</v>
      </c>
      <c r="E76" t="s">
        <v>22</v>
      </c>
      <c r="F76">
        <v>22</v>
      </c>
      <c r="G76">
        <v>9</v>
      </c>
      <c r="H76">
        <v>6</v>
      </c>
      <c r="I76">
        <v>25</v>
      </c>
      <c r="J76">
        <v>9850</v>
      </c>
      <c r="K76">
        <v>19</v>
      </c>
      <c r="L76">
        <v>0</v>
      </c>
      <c r="M76">
        <v>43</v>
      </c>
      <c r="N76" t="s">
        <v>23</v>
      </c>
      <c r="O76">
        <v>0.187</v>
      </c>
      <c r="P76">
        <v>46048.75</v>
      </c>
      <c r="Q76">
        <f>(Table1[[#This Row],[Closing_Stock]]*Table1[[#This Row],[Unit_Cost_INR]])</f>
        <v>246250</v>
      </c>
      <c r="R76">
        <f>(Table1[[#This Row],[Unit_Cost_INR]]*Table1[[#This Row],[Consumption]])</f>
        <v>59100</v>
      </c>
      <c r="S76">
        <f>IFERROR(Table1[[#This Row],[Annual_Consumption_Value_INR]]/Table1[[#This Row],[Inventory_Value_INR]],0)</f>
        <v>0.24</v>
      </c>
      <c r="T76">
        <f>IFERROR(365/Table1[[#This Row],[Inventory_Turnover]],0)</f>
        <v>1520.8333333333335</v>
      </c>
      <c r="U76" t="str">
        <f>IF(Table1[[#This Row],[Consumption]]=0,"Non-Moving", IF(Table1[[#This Row],[Days_Since_Last_Movement]]&gt;90,"Slow-Moving","Active"))</f>
        <v>Active</v>
      </c>
      <c r="V76">
        <f>SUM($Q$2:Q76)</f>
        <v>44577260</v>
      </c>
      <c r="W76">
        <f>Table1[[#This Row],[Cumulative_Inventory_Value]]/$AP$3</f>
        <v>0.58890338999597991</v>
      </c>
      <c r="X76" t="str">
        <f>IF(Table1[[#This Row],[Cumulative_Value_%]]&lt;80%,"A", IF(Table1[[#This Row],[Cumulative_Value_%]]&lt;=95%,"B","C"))</f>
        <v>A</v>
      </c>
      <c r="Y76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76">
        <f>Table1[[#This Row],[Consumption]]/365</f>
        <v>1.643835616438356E-2</v>
      </c>
      <c r="AA76">
        <f>Table1[[#This Row],[Avg_Daily_Consumption]]*Table1[[#This Row],[Lead_Time_Days]]+Table1[[#This Row],[Safety_Stock]]</f>
        <v>1.3123287671232877</v>
      </c>
      <c r="AB76">
        <f>IFERROR(Table1[[#This Row],[Closing_Stock]]/Table1[[#This Row],[Avg_Daily_Consumption]],9999)</f>
        <v>1520.8333333333335</v>
      </c>
      <c r="AC76">
        <f>MAX(1,ROUNDUP(Table1[[#This Row],[Avg_Daily_Consumption]]*Table1[[#This Row],[Lead_Time_Days]]*0.8,0))</f>
        <v>1</v>
      </c>
      <c r="AD76" t="str">
        <f>IF(Table1[[#This Row],[Closing_Stock]]&lt;Table1[[#This Row],[Reorder_Point]],"Stock-out Risk","Adequate")</f>
        <v>Adequate</v>
      </c>
      <c r="AE76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76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76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76" s="11">
        <f>MAX(0,Table1[[#This Row],[Closing_Stock]]-Table1[[#This Row],[Reorder_Point]])</f>
        <v>23.687671232876713</v>
      </c>
      <c r="AI76" s="11">
        <f>Table1[[#This Row],[Excess_Stock_Units]]*Table1[[#This Row],[Unit_Cost_INR]]</f>
        <v>233323.56164383562</v>
      </c>
      <c r="AJ76" s="11">
        <f>IF(Table1[[#This Row],[Criticality]]="Critical",0,Table1[[#This Row],[Excess_Inventory_Value_INR]])</f>
        <v>233323.56164383562</v>
      </c>
      <c r="AK76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77" spans="1:37" x14ac:dyDescent="0.25">
      <c r="A77" t="s">
        <v>476</v>
      </c>
      <c r="B77" t="s">
        <v>129</v>
      </c>
      <c r="C77" t="s">
        <v>52</v>
      </c>
      <c r="D77" t="s">
        <v>21</v>
      </c>
      <c r="E77" t="s">
        <v>22</v>
      </c>
      <c r="F77">
        <v>97</v>
      </c>
      <c r="G77">
        <v>109</v>
      </c>
      <c r="H77">
        <v>92</v>
      </c>
      <c r="I77">
        <v>114</v>
      </c>
      <c r="J77">
        <v>2160</v>
      </c>
      <c r="K77">
        <v>31</v>
      </c>
      <c r="L77">
        <v>0</v>
      </c>
      <c r="M77">
        <v>97</v>
      </c>
      <c r="N77" t="s">
        <v>38</v>
      </c>
      <c r="O77">
        <v>0.25700000000000001</v>
      </c>
      <c r="P77">
        <v>63283.68</v>
      </c>
      <c r="Q77">
        <f>(Table1[[#This Row],[Closing_Stock]]*Table1[[#This Row],[Unit_Cost_INR]])</f>
        <v>246240</v>
      </c>
      <c r="R77">
        <f>(Table1[[#This Row],[Unit_Cost_INR]]*Table1[[#This Row],[Consumption]])</f>
        <v>198720</v>
      </c>
      <c r="S77">
        <f>IFERROR(Table1[[#This Row],[Annual_Consumption_Value_INR]]/Table1[[#This Row],[Inventory_Value_INR]],0)</f>
        <v>0.80701754385964908</v>
      </c>
      <c r="T77">
        <f>IFERROR(365/Table1[[#This Row],[Inventory_Turnover]],0)</f>
        <v>452.28260869565219</v>
      </c>
      <c r="U77" t="str">
        <f>IF(Table1[[#This Row],[Consumption]]=0,"Non-Moving", IF(Table1[[#This Row],[Days_Since_Last_Movement]]&gt;90,"Slow-Moving","Active"))</f>
        <v>Slow-Moving</v>
      </c>
      <c r="V77">
        <f>SUM($Q$2:Q77)</f>
        <v>44823500</v>
      </c>
      <c r="W77">
        <f>Table1[[#This Row],[Cumulative_Inventory_Value]]/$AP$3</f>
        <v>0.59215642911845201</v>
      </c>
      <c r="X77" t="str">
        <f>IF(Table1[[#This Row],[Cumulative_Value_%]]&lt;80%,"A", IF(Table1[[#This Row],[Cumulative_Value_%]]&lt;=95%,"B","C"))</f>
        <v>A</v>
      </c>
      <c r="Y77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High Review</v>
      </c>
      <c r="Z77">
        <f>Table1[[#This Row],[Consumption]]/365</f>
        <v>0.25205479452054796</v>
      </c>
      <c r="AA77">
        <f>Table1[[#This Row],[Avg_Daily_Consumption]]*Table1[[#This Row],[Lead_Time_Days]]+Table1[[#This Row],[Safety_Stock]]</f>
        <v>14.813698630136987</v>
      </c>
      <c r="AB77">
        <f>IFERROR(Table1[[#This Row],[Closing_Stock]]/Table1[[#This Row],[Avg_Daily_Consumption]],9999)</f>
        <v>452.28260869565213</v>
      </c>
      <c r="AC77">
        <f>MAX(1,ROUNDUP(Table1[[#This Row],[Avg_Daily_Consumption]]*Table1[[#This Row],[Lead_Time_Days]]*0.8,0))</f>
        <v>7</v>
      </c>
      <c r="AD77" t="str">
        <f>IF(Table1[[#This Row],[Closing_Stock]]&lt;Table1[[#This Row],[Reorder_Point]],"Stock-out Risk","Adequate")</f>
        <v>Adequate</v>
      </c>
      <c r="AE77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77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 Safety Stock</v>
      </c>
      <c r="AG77">
        <f>IF(Table1[[#This Row],[Action_Recommendation]]="Review for Disposal/De-procurement",Table1[[#This Row],[Inventory_Value_INR]]*70%,IF(Table1[[#This Row],[Action_Recommendation]]="Review Safety Stock",Table1[[#This Row],[Inventory_Value_INR]]*20%,0))</f>
        <v>49248</v>
      </c>
      <c r="AH77" s="11">
        <f>MAX(0,Table1[[#This Row],[Closing_Stock]]-Table1[[#This Row],[Reorder_Point]])</f>
        <v>99.186301369863017</v>
      </c>
      <c r="AI77" s="11">
        <f>Table1[[#This Row],[Excess_Stock_Units]]*Table1[[#This Row],[Unit_Cost_INR]]</f>
        <v>214242.4109589041</v>
      </c>
      <c r="AJ77" s="11">
        <f>IF(Table1[[#This Row],[Criticality]]="Critical",0,Table1[[#This Row],[Excess_Inventory_Value_INR]])</f>
        <v>214242.4109589041</v>
      </c>
      <c r="AK77" s="11">
        <f>IF(AND(Table1[[#This Row],[Criticality]]&lt;&gt;"Critical",OR(Table1[[#This Row],[Movement_Class]]="Slow-Moving",Table1[[#This Row],[Movement_Class]]="Non-Moving")),Table1[[#This Row],[Excess_Inventory_Value_INR]],0)</f>
        <v>214242.4109589041</v>
      </c>
    </row>
    <row r="78" spans="1:37" x14ac:dyDescent="0.25">
      <c r="A78" t="s">
        <v>143</v>
      </c>
      <c r="B78" t="s">
        <v>56</v>
      </c>
      <c r="C78" t="s">
        <v>32</v>
      </c>
      <c r="D78" t="s">
        <v>66</v>
      </c>
      <c r="E78" t="s">
        <v>28</v>
      </c>
      <c r="F78">
        <v>23</v>
      </c>
      <c r="G78">
        <v>11</v>
      </c>
      <c r="H78">
        <v>5</v>
      </c>
      <c r="I78">
        <v>24</v>
      </c>
      <c r="J78">
        <v>10010</v>
      </c>
      <c r="K78">
        <v>22</v>
      </c>
      <c r="L78">
        <v>0</v>
      </c>
      <c r="M78">
        <v>303</v>
      </c>
      <c r="N78" t="s">
        <v>61</v>
      </c>
      <c r="O78">
        <v>0.214</v>
      </c>
      <c r="P78">
        <v>51411.360000000001</v>
      </c>
      <c r="Q78">
        <f>(Table1[[#This Row],[Closing_Stock]]*Table1[[#This Row],[Unit_Cost_INR]])</f>
        <v>240240</v>
      </c>
      <c r="R78">
        <f>(Table1[[#This Row],[Unit_Cost_INR]]*Table1[[#This Row],[Consumption]])</f>
        <v>50050</v>
      </c>
      <c r="S78">
        <f>IFERROR(Table1[[#This Row],[Annual_Consumption_Value_INR]]/Table1[[#This Row],[Inventory_Value_INR]],0)</f>
        <v>0.20833333333333334</v>
      </c>
      <c r="T78">
        <f>IFERROR(365/Table1[[#This Row],[Inventory_Turnover]],0)</f>
        <v>1752</v>
      </c>
      <c r="U78" t="str">
        <f>IF(Table1[[#This Row],[Consumption]]=0,"Non-Moving", IF(Table1[[#This Row],[Days_Since_Last_Movement]]&gt;90,"Slow-Moving","Active"))</f>
        <v>Slow-Moving</v>
      </c>
      <c r="V78">
        <f>SUM($Q$2:Q78)</f>
        <v>45063740</v>
      </c>
      <c r="W78">
        <f>Table1[[#This Row],[Cumulative_Inventory_Value]]/$AP$3</f>
        <v>0.59533020315509388</v>
      </c>
      <c r="X78" t="str">
        <f>IF(Table1[[#This Row],[Cumulative_Value_%]]&lt;80%,"A", IF(Table1[[#This Row],[Cumulative_Value_%]]&lt;=95%,"B","C"))</f>
        <v>A</v>
      </c>
      <c r="Y78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High Review</v>
      </c>
      <c r="Z78">
        <f>Table1[[#This Row],[Consumption]]/365</f>
        <v>1.3698630136986301E-2</v>
      </c>
      <c r="AA78">
        <f>Table1[[#This Row],[Avg_Daily_Consumption]]*Table1[[#This Row],[Lead_Time_Days]]+Table1[[#This Row],[Safety_Stock]]</f>
        <v>1.3013698630136985</v>
      </c>
      <c r="AB78">
        <f>IFERROR(Table1[[#This Row],[Closing_Stock]]/Table1[[#This Row],[Avg_Daily_Consumption]],9999)</f>
        <v>1752</v>
      </c>
      <c r="AC78">
        <f>MAX(1,ROUNDUP(Table1[[#This Row],[Avg_Daily_Consumption]]*Table1[[#This Row],[Lead_Time_Days]]*0.8,0))</f>
        <v>1</v>
      </c>
      <c r="AD78" t="str">
        <f>IF(Table1[[#This Row],[Closing_Stock]]&lt;Table1[[#This Row],[Reorder_Point]],"Stock-out Risk","Adequate")</f>
        <v>Adequate</v>
      </c>
      <c r="AE78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78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 Safety Stock</v>
      </c>
      <c r="AG78">
        <f>IF(Table1[[#This Row],[Action_Recommendation]]="Review for Disposal/De-procurement",Table1[[#This Row],[Inventory_Value_INR]]*70%,IF(Table1[[#This Row],[Action_Recommendation]]="Review Safety Stock",Table1[[#This Row],[Inventory_Value_INR]]*20%,0))</f>
        <v>48048</v>
      </c>
      <c r="AH78" s="11">
        <f>MAX(0,Table1[[#This Row],[Closing_Stock]]-Table1[[#This Row],[Reorder_Point]])</f>
        <v>22.698630136986303</v>
      </c>
      <c r="AI78" s="11">
        <f>Table1[[#This Row],[Excess_Stock_Units]]*Table1[[#This Row],[Unit_Cost_INR]]</f>
        <v>227213.28767123289</v>
      </c>
      <c r="AJ78" s="11">
        <f>IF(Table1[[#This Row],[Criticality]]="Critical",0,Table1[[#This Row],[Excess_Inventory_Value_INR]])</f>
        <v>227213.28767123289</v>
      </c>
      <c r="AK78" s="11">
        <f>IF(AND(Table1[[#This Row],[Criticality]]&lt;&gt;"Critical",OR(Table1[[#This Row],[Movement_Class]]="Slow-Moving",Table1[[#This Row],[Movement_Class]]="Non-Moving")),Table1[[#This Row],[Excess_Inventory_Value_INR]],0)</f>
        <v>227213.28767123289</v>
      </c>
    </row>
    <row r="79" spans="1:37" x14ac:dyDescent="0.25">
      <c r="A79" t="s">
        <v>441</v>
      </c>
      <c r="B79" t="s">
        <v>73</v>
      </c>
      <c r="C79" t="s">
        <v>41</v>
      </c>
      <c r="D79" t="s">
        <v>66</v>
      </c>
      <c r="E79" t="s">
        <v>28</v>
      </c>
      <c r="F79">
        <v>34</v>
      </c>
      <c r="G79">
        <v>39</v>
      </c>
      <c r="H79">
        <v>37</v>
      </c>
      <c r="I79">
        <v>36</v>
      </c>
      <c r="J79">
        <v>6610</v>
      </c>
      <c r="K79">
        <v>44</v>
      </c>
      <c r="L79">
        <v>1</v>
      </c>
      <c r="M79">
        <v>42</v>
      </c>
      <c r="N79" t="s">
        <v>38</v>
      </c>
      <c r="O79">
        <v>0.23</v>
      </c>
      <c r="P79">
        <v>54730.8</v>
      </c>
      <c r="Q79">
        <f>(Table1[[#This Row],[Closing_Stock]]*Table1[[#This Row],[Unit_Cost_INR]])</f>
        <v>237960</v>
      </c>
      <c r="R79">
        <f>(Table1[[#This Row],[Unit_Cost_INR]]*Table1[[#This Row],[Consumption]])</f>
        <v>244570</v>
      </c>
      <c r="S79">
        <f>IFERROR(Table1[[#This Row],[Annual_Consumption_Value_INR]]/Table1[[#This Row],[Inventory_Value_INR]],0)</f>
        <v>1.0277777777777777</v>
      </c>
      <c r="T79">
        <f>IFERROR(365/Table1[[#This Row],[Inventory_Turnover]],0)</f>
        <v>355.13513513513516</v>
      </c>
      <c r="U79" t="str">
        <f>IF(Table1[[#This Row],[Consumption]]=0,"Non-Moving", IF(Table1[[#This Row],[Days_Since_Last_Movement]]&gt;90,"Slow-Moving","Active"))</f>
        <v>Active</v>
      </c>
      <c r="V79">
        <f>SUM($Q$2:Q79)</f>
        <v>45301700</v>
      </c>
      <c r="W79">
        <f>Table1[[#This Row],[Cumulative_Inventory_Value]]/$AP$3</f>
        <v>0.59847385645912032</v>
      </c>
      <c r="X79" t="str">
        <f>IF(Table1[[#This Row],[Cumulative_Value_%]]&lt;80%,"A", IF(Table1[[#This Row],[Cumulative_Value_%]]&lt;=95%,"B","C"))</f>
        <v>A</v>
      </c>
      <c r="Y79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79">
        <f>Table1[[#This Row],[Consumption]]/365</f>
        <v>0.10136986301369863</v>
      </c>
      <c r="AA79">
        <f>Table1[[#This Row],[Avg_Daily_Consumption]]*Table1[[#This Row],[Lead_Time_Days]]+Table1[[#This Row],[Safety_Stock]]</f>
        <v>8.4602739726027387</v>
      </c>
      <c r="AB79">
        <f>IFERROR(Table1[[#This Row],[Closing_Stock]]/Table1[[#This Row],[Avg_Daily_Consumption]],9999)</f>
        <v>355.13513513513516</v>
      </c>
      <c r="AC79">
        <f>MAX(1,ROUNDUP(Table1[[#This Row],[Avg_Daily_Consumption]]*Table1[[#This Row],[Lead_Time_Days]]*0.8,0))</f>
        <v>4</v>
      </c>
      <c r="AD79" t="str">
        <f>IF(Table1[[#This Row],[Closing_Stock]]&lt;Table1[[#This Row],[Reorder_Point]],"Stock-out Risk","Adequate")</f>
        <v>Adequate</v>
      </c>
      <c r="AE79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79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79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79" s="11">
        <f>MAX(0,Table1[[#This Row],[Closing_Stock]]-Table1[[#This Row],[Reorder_Point]])</f>
        <v>27.539726027397261</v>
      </c>
      <c r="AI79" s="11">
        <f>Table1[[#This Row],[Excess_Stock_Units]]*Table1[[#This Row],[Unit_Cost_INR]]</f>
        <v>182037.5890410959</v>
      </c>
      <c r="AJ79" s="11">
        <f>IF(Table1[[#This Row],[Criticality]]="Critical",0,Table1[[#This Row],[Excess_Inventory_Value_INR]])</f>
        <v>182037.5890410959</v>
      </c>
      <c r="AK79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80" spans="1:37" x14ac:dyDescent="0.25">
      <c r="A80" t="s">
        <v>55</v>
      </c>
      <c r="B80" t="s">
        <v>56</v>
      </c>
      <c r="C80" t="s">
        <v>32</v>
      </c>
      <c r="D80" t="s">
        <v>42</v>
      </c>
      <c r="E80" t="s">
        <v>46</v>
      </c>
      <c r="F80">
        <v>320</v>
      </c>
      <c r="G80">
        <v>596</v>
      </c>
      <c r="H80">
        <v>0</v>
      </c>
      <c r="I80">
        <v>316</v>
      </c>
      <c r="J80">
        <v>740</v>
      </c>
      <c r="K80">
        <v>6</v>
      </c>
      <c r="L80">
        <v>0</v>
      </c>
      <c r="M80">
        <v>492</v>
      </c>
      <c r="N80" t="s">
        <v>33</v>
      </c>
      <c r="O80">
        <v>0.28999999999999998</v>
      </c>
      <c r="P80">
        <v>67813.599999999991</v>
      </c>
      <c r="Q80">
        <f>(Table1[[#This Row],[Closing_Stock]]*Table1[[#This Row],[Unit_Cost_INR]])</f>
        <v>233840</v>
      </c>
      <c r="R80">
        <f>(Table1[[#This Row],[Unit_Cost_INR]]*Table1[[#This Row],[Consumption]])</f>
        <v>0</v>
      </c>
      <c r="S80">
        <f>IFERROR(Table1[[#This Row],[Annual_Consumption_Value_INR]]/Table1[[#This Row],[Inventory_Value_INR]],0)</f>
        <v>0</v>
      </c>
      <c r="T80">
        <f>IFERROR(365/Table1[[#This Row],[Inventory_Turnover]],0)</f>
        <v>0</v>
      </c>
      <c r="U80" t="str">
        <f>IF(Table1[[#This Row],[Consumption]]=0,"Non-Moving", IF(Table1[[#This Row],[Days_Since_Last_Movement]]&gt;90,"Slow-Moving","Active"))</f>
        <v>Non-Moving</v>
      </c>
      <c r="V80">
        <f>SUM($Q$2:Q80)</f>
        <v>45535540</v>
      </c>
      <c r="W80">
        <f>Table1[[#This Row],[Cumulative_Inventory_Value]]/$AP$3</f>
        <v>0.60156308107087664</v>
      </c>
      <c r="X80" t="str">
        <f>IF(Table1[[#This Row],[Cumulative_Value_%]]&lt;80%,"A", IF(Table1[[#This Row],[Cumulative_Value_%]]&lt;=95%,"B","C"))</f>
        <v>A</v>
      </c>
      <c r="Y80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Critical Review</v>
      </c>
      <c r="Z80">
        <f>Table1[[#This Row],[Consumption]]/365</f>
        <v>0</v>
      </c>
      <c r="AA80">
        <f>Table1[[#This Row],[Avg_Daily_Consumption]]*Table1[[#This Row],[Lead_Time_Days]]+Table1[[#This Row],[Safety_Stock]]</f>
        <v>1</v>
      </c>
      <c r="AB80">
        <f>IFERROR(Table1[[#This Row],[Closing_Stock]]/Table1[[#This Row],[Avg_Daily_Consumption]],9999)</f>
        <v>9999</v>
      </c>
      <c r="AC80">
        <f>MAX(1,ROUNDUP(Table1[[#This Row],[Avg_Daily_Consumption]]*Table1[[#This Row],[Lead_Time_Days]]*0.8,0))</f>
        <v>1</v>
      </c>
      <c r="AD80" t="str">
        <f>IF(Table1[[#This Row],[Closing_Stock]]&lt;Table1[[#This Row],[Reorder_Point]],"Stock-out Risk","Adequate")</f>
        <v>Adequate</v>
      </c>
      <c r="AE80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80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 for Disposal/De-procurement</v>
      </c>
      <c r="AG80">
        <f>IF(Table1[[#This Row],[Action_Recommendation]]="Review for Disposal/De-procurement",Table1[[#This Row],[Inventory_Value_INR]]*70%,IF(Table1[[#This Row],[Action_Recommendation]]="Review Safety Stock",Table1[[#This Row],[Inventory_Value_INR]]*20%,0))</f>
        <v>163688</v>
      </c>
      <c r="AH80" s="11">
        <f>MAX(0,Table1[[#This Row],[Closing_Stock]]-Table1[[#This Row],[Reorder_Point]])</f>
        <v>315</v>
      </c>
      <c r="AI80" s="11">
        <f>Table1[[#This Row],[Excess_Stock_Units]]*Table1[[#This Row],[Unit_Cost_INR]]</f>
        <v>233100</v>
      </c>
      <c r="AJ80" s="11">
        <f>IF(Table1[[#This Row],[Criticality]]="Critical",0,Table1[[#This Row],[Excess_Inventory_Value_INR]])</f>
        <v>233100</v>
      </c>
      <c r="AK80" s="11">
        <f>IF(AND(Table1[[#This Row],[Criticality]]&lt;&gt;"Critical",OR(Table1[[#This Row],[Movement_Class]]="Slow-Moving",Table1[[#This Row],[Movement_Class]]="Non-Moving")),Table1[[#This Row],[Excess_Inventory_Value_INR]],0)</f>
        <v>233100</v>
      </c>
    </row>
    <row r="81" spans="1:37" x14ac:dyDescent="0.25">
      <c r="A81" t="s">
        <v>100</v>
      </c>
      <c r="B81" t="s">
        <v>73</v>
      </c>
      <c r="C81" t="s">
        <v>41</v>
      </c>
      <c r="D81" t="s">
        <v>27</v>
      </c>
      <c r="E81" t="s">
        <v>22</v>
      </c>
      <c r="F81">
        <v>24</v>
      </c>
      <c r="G81">
        <v>15</v>
      </c>
      <c r="H81">
        <v>10</v>
      </c>
      <c r="I81">
        <v>29</v>
      </c>
      <c r="J81">
        <v>8030</v>
      </c>
      <c r="K81">
        <v>28</v>
      </c>
      <c r="L81">
        <v>0</v>
      </c>
      <c r="M81">
        <v>146</v>
      </c>
      <c r="N81" t="s">
        <v>38</v>
      </c>
      <c r="O81">
        <v>0.26900000000000002</v>
      </c>
      <c r="P81">
        <v>62642.030000000013</v>
      </c>
      <c r="Q81">
        <f>(Table1[[#This Row],[Closing_Stock]]*Table1[[#This Row],[Unit_Cost_INR]])</f>
        <v>232870</v>
      </c>
      <c r="R81">
        <f>(Table1[[#This Row],[Unit_Cost_INR]]*Table1[[#This Row],[Consumption]])</f>
        <v>80300</v>
      </c>
      <c r="S81">
        <f>IFERROR(Table1[[#This Row],[Annual_Consumption_Value_INR]]/Table1[[#This Row],[Inventory_Value_INR]],0)</f>
        <v>0.34482758620689657</v>
      </c>
      <c r="T81">
        <f>IFERROR(365/Table1[[#This Row],[Inventory_Turnover]],0)</f>
        <v>1058.5</v>
      </c>
      <c r="U81" t="str">
        <f>IF(Table1[[#This Row],[Consumption]]=0,"Non-Moving", IF(Table1[[#This Row],[Days_Since_Last_Movement]]&gt;90,"Slow-Moving","Active"))</f>
        <v>Slow-Moving</v>
      </c>
      <c r="V81">
        <f>SUM($Q$2:Q81)</f>
        <v>45768410</v>
      </c>
      <c r="W81">
        <f>Table1[[#This Row],[Cumulative_Inventory_Value]]/$AP$3</f>
        <v>0.6046394911604237</v>
      </c>
      <c r="X81" t="str">
        <f>IF(Table1[[#This Row],[Cumulative_Value_%]]&lt;80%,"A", IF(Table1[[#This Row],[Cumulative_Value_%]]&lt;=95%,"B","C"))</f>
        <v>A</v>
      </c>
      <c r="Y81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High Review</v>
      </c>
      <c r="Z81">
        <f>Table1[[#This Row],[Consumption]]/365</f>
        <v>2.7397260273972601E-2</v>
      </c>
      <c r="AA81">
        <f>Table1[[#This Row],[Avg_Daily_Consumption]]*Table1[[#This Row],[Lead_Time_Days]]+Table1[[#This Row],[Safety_Stock]]</f>
        <v>1.7671232876712328</v>
      </c>
      <c r="AB81">
        <f>IFERROR(Table1[[#This Row],[Closing_Stock]]/Table1[[#This Row],[Avg_Daily_Consumption]],9999)</f>
        <v>1058.5</v>
      </c>
      <c r="AC81">
        <f>MAX(1,ROUNDUP(Table1[[#This Row],[Avg_Daily_Consumption]]*Table1[[#This Row],[Lead_Time_Days]]*0.8,0))</f>
        <v>1</v>
      </c>
      <c r="AD81" t="str">
        <f>IF(Table1[[#This Row],[Closing_Stock]]&lt;Table1[[#This Row],[Reorder_Point]],"Stock-out Risk","Adequate")</f>
        <v>Adequate</v>
      </c>
      <c r="AE81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81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 Safety Stock</v>
      </c>
      <c r="AG81">
        <f>IF(Table1[[#This Row],[Action_Recommendation]]="Review for Disposal/De-procurement",Table1[[#This Row],[Inventory_Value_INR]]*70%,IF(Table1[[#This Row],[Action_Recommendation]]="Review Safety Stock",Table1[[#This Row],[Inventory_Value_INR]]*20%,0))</f>
        <v>46574</v>
      </c>
      <c r="AH81" s="11">
        <f>MAX(0,Table1[[#This Row],[Closing_Stock]]-Table1[[#This Row],[Reorder_Point]])</f>
        <v>27.232876712328768</v>
      </c>
      <c r="AI81" s="11">
        <f>Table1[[#This Row],[Excess_Stock_Units]]*Table1[[#This Row],[Unit_Cost_INR]]</f>
        <v>218680</v>
      </c>
      <c r="AJ81" s="11">
        <f>IF(Table1[[#This Row],[Criticality]]="Critical",0,Table1[[#This Row],[Excess_Inventory_Value_INR]])</f>
        <v>218680</v>
      </c>
      <c r="AK81" s="11">
        <f>IF(AND(Table1[[#This Row],[Criticality]]&lt;&gt;"Critical",OR(Table1[[#This Row],[Movement_Class]]="Slow-Moving",Table1[[#This Row],[Movement_Class]]="Non-Moving")),Table1[[#This Row],[Excess_Inventory_Value_INR]],0)</f>
        <v>218680</v>
      </c>
    </row>
    <row r="82" spans="1:37" x14ac:dyDescent="0.25">
      <c r="A82" t="s">
        <v>167</v>
      </c>
      <c r="B82" t="s">
        <v>35</v>
      </c>
      <c r="C82" t="s">
        <v>36</v>
      </c>
      <c r="D82" t="s">
        <v>60</v>
      </c>
      <c r="E82" t="s">
        <v>46</v>
      </c>
      <c r="F82">
        <v>17</v>
      </c>
      <c r="G82">
        <v>3</v>
      </c>
      <c r="H82">
        <v>3</v>
      </c>
      <c r="I82">
        <v>17</v>
      </c>
      <c r="J82">
        <v>13540</v>
      </c>
      <c r="K82">
        <v>20</v>
      </c>
      <c r="L82">
        <v>0</v>
      </c>
      <c r="M82">
        <v>15</v>
      </c>
      <c r="N82" t="s">
        <v>58</v>
      </c>
      <c r="O82">
        <v>0.26200000000000001</v>
      </c>
      <c r="P82">
        <v>60307.16</v>
      </c>
      <c r="Q82">
        <f>(Table1[[#This Row],[Closing_Stock]]*Table1[[#This Row],[Unit_Cost_INR]])</f>
        <v>230180</v>
      </c>
      <c r="R82">
        <f>(Table1[[#This Row],[Unit_Cost_INR]]*Table1[[#This Row],[Consumption]])</f>
        <v>40620</v>
      </c>
      <c r="S82">
        <f>IFERROR(Table1[[#This Row],[Annual_Consumption_Value_INR]]/Table1[[#This Row],[Inventory_Value_INR]],0)</f>
        <v>0.17647058823529413</v>
      </c>
      <c r="T82">
        <f>IFERROR(365/Table1[[#This Row],[Inventory_Turnover]],0)</f>
        <v>2068.333333333333</v>
      </c>
      <c r="U82" t="str">
        <f>IF(Table1[[#This Row],[Consumption]]=0,"Non-Moving", IF(Table1[[#This Row],[Days_Since_Last_Movement]]&gt;90,"Slow-Moving","Active"))</f>
        <v>Active</v>
      </c>
      <c r="V82">
        <f>SUM($Q$2:Q82)</f>
        <v>45998590</v>
      </c>
      <c r="W82">
        <f>Table1[[#This Row],[Cumulative_Inventory_Value]]/$AP$3</f>
        <v>0.60768036406982351</v>
      </c>
      <c r="X82" t="str">
        <f>IF(Table1[[#This Row],[Cumulative_Value_%]]&lt;80%,"A", IF(Table1[[#This Row],[Cumulative_Value_%]]&lt;=95%,"B","C"))</f>
        <v>A</v>
      </c>
      <c r="Y82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82">
        <f>Table1[[#This Row],[Consumption]]/365</f>
        <v>8.21917808219178E-3</v>
      </c>
      <c r="AA82">
        <f>Table1[[#This Row],[Avg_Daily_Consumption]]*Table1[[#This Row],[Lead_Time_Days]]+Table1[[#This Row],[Safety_Stock]]</f>
        <v>1.1643835616438356</v>
      </c>
      <c r="AB82">
        <f>IFERROR(Table1[[#This Row],[Closing_Stock]]/Table1[[#This Row],[Avg_Daily_Consumption]],9999)</f>
        <v>2068.3333333333335</v>
      </c>
      <c r="AC82">
        <f>MAX(1,ROUNDUP(Table1[[#This Row],[Avg_Daily_Consumption]]*Table1[[#This Row],[Lead_Time_Days]]*0.8,0))</f>
        <v>1</v>
      </c>
      <c r="AD82" t="str">
        <f>IF(Table1[[#This Row],[Closing_Stock]]&lt;Table1[[#This Row],[Reorder_Point]],"Stock-out Risk","Adequate")</f>
        <v>Adequate</v>
      </c>
      <c r="AE82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82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82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82" s="11">
        <f>MAX(0,Table1[[#This Row],[Closing_Stock]]-Table1[[#This Row],[Reorder_Point]])</f>
        <v>15.835616438356164</v>
      </c>
      <c r="AI82" s="11">
        <f>Table1[[#This Row],[Excess_Stock_Units]]*Table1[[#This Row],[Unit_Cost_INR]]</f>
        <v>214414.24657534246</v>
      </c>
      <c r="AJ82" s="11">
        <f>IF(Table1[[#This Row],[Criticality]]="Critical",0,Table1[[#This Row],[Excess_Inventory_Value_INR]])</f>
        <v>214414.24657534246</v>
      </c>
      <c r="AK82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83" spans="1:37" x14ac:dyDescent="0.25">
      <c r="A83" t="s">
        <v>504</v>
      </c>
      <c r="B83" t="s">
        <v>165</v>
      </c>
      <c r="C83" t="s">
        <v>32</v>
      </c>
      <c r="D83" t="s">
        <v>60</v>
      </c>
      <c r="E83" t="s">
        <v>22</v>
      </c>
      <c r="F83">
        <v>53</v>
      </c>
      <c r="G83">
        <v>116</v>
      </c>
      <c r="H83">
        <v>3</v>
      </c>
      <c r="I83">
        <v>56</v>
      </c>
      <c r="J83">
        <v>4060</v>
      </c>
      <c r="K83">
        <v>18</v>
      </c>
      <c r="L83">
        <v>1</v>
      </c>
      <c r="M83">
        <v>255</v>
      </c>
      <c r="N83" t="s">
        <v>61</v>
      </c>
      <c r="O83">
        <v>0.24399999999999999</v>
      </c>
      <c r="P83">
        <v>55475.839999999997</v>
      </c>
      <c r="Q83">
        <f>(Table1[[#This Row],[Closing_Stock]]*Table1[[#This Row],[Unit_Cost_INR]])</f>
        <v>227360</v>
      </c>
      <c r="R83">
        <f>(Table1[[#This Row],[Unit_Cost_INR]]*Table1[[#This Row],[Consumption]])</f>
        <v>12180</v>
      </c>
      <c r="S83">
        <f>IFERROR(Table1[[#This Row],[Annual_Consumption_Value_INR]]/Table1[[#This Row],[Inventory_Value_INR]],0)</f>
        <v>5.3571428571428568E-2</v>
      </c>
      <c r="T83">
        <f>IFERROR(365/Table1[[#This Row],[Inventory_Turnover]],0)</f>
        <v>6813.3333333333339</v>
      </c>
      <c r="U83" t="str">
        <f>IF(Table1[[#This Row],[Consumption]]=0,"Non-Moving", IF(Table1[[#This Row],[Days_Since_Last_Movement]]&gt;90,"Slow-Moving","Active"))</f>
        <v>Slow-Moving</v>
      </c>
      <c r="V83">
        <f>SUM($Q$2:Q83)</f>
        <v>46225950</v>
      </c>
      <c r="W83">
        <f>Table1[[#This Row],[Cumulative_Inventory_Value]]/$AP$3</f>
        <v>0.61068398238888322</v>
      </c>
      <c r="X83" t="str">
        <f>IF(Table1[[#This Row],[Cumulative_Value_%]]&lt;80%,"A", IF(Table1[[#This Row],[Cumulative_Value_%]]&lt;=95%,"B","C"))</f>
        <v>A</v>
      </c>
      <c r="Y83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High Review</v>
      </c>
      <c r="Z83">
        <f>Table1[[#This Row],[Consumption]]/365</f>
        <v>8.21917808219178E-3</v>
      </c>
      <c r="AA83">
        <f>Table1[[#This Row],[Avg_Daily_Consumption]]*Table1[[#This Row],[Lead_Time_Days]]+Table1[[#This Row],[Safety_Stock]]</f>
        <v>1.1479452054794521</v>
      </c>
      <c r="AB83">
        <f>IFERROR(Table1[[#This Row],[Closing_Stock]]/Table1[[#This Row],[Avg_Daily_Consumption]],9999)</f>
        <v>6813.3333333333339</v>
      </c>
      <c r="AC83">
        <f>MAX(1,ROUNDUP(Table1[[#This Row],[Avg_Daily_Consumption]]*Table1[[#This Row],[Lead_Time_Days]]*0.8,0))</f>
        <v>1</v>
      </c>
      <c r="AD83" t="str">
        <f>IF(Table1[[#This Row],[Closing_Stock]]&lt;Table1[[#This Row],[Reorder_Point]],"Stock-out Risk","Adequate")</f>
        <v>Adequate</v>
      </c>
      <c r="AE83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83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 Safety Stock</v>
      </c>
      <c r="AG83">
        <f>IF(Table1[[#This Row],[Action_Recommendation]]="Review for Disposal/De-procurement",Table1[[#This Row],[Inventory_Value_INR]]*70%,IF(Table1[[#This Row],[Action_Recommendation]]="Review Safety Stock",Table1[[#This Row],[Inventory_Value_INR]]*20%,0))</f>
        <v>45472</v>
      </c>
      <c r="AH83" s="11">
        <f>MAX(0,Table1[[#This Row],[Closing_Stock]]-Table1[[#This Row],[Reorder_Point]])</f>
        <v>54.852054794520548</v>
      </c>
      <c r="AI83" s="11">
        <f>Table1[[#This Row],[Excess_Stock_Units]]*Table1[[#This Row],[Unit_Cost_INR]]</f>
        <v>222699.34246575343</v>
      </c>
      <c r="AJ83" s="11">
        <f>IF(Table1[[#This Row],[Criticality]]="Critical",0,Table1[[#This Row],[Excess_Inventory_Value_INR]])</f>
        <v>222699.34246575343</v>
      </c>
      <c r="AK83" s="11">
        <f>IF(AND(Table1[[#This Row],[Criticality]]&lt;&gt;"Critical",OR(Table1[[#This Row],[Movement_Class]]="Slow-Moving",Table1[[#This Row],[Movement_Class]]="Non-Moving")),Table1[[#This Row],[Excess_Inventory_Value_INR]],0)</f>
        <v>222699.34246575343</v>
      </c>
    </row>
    <row r="84" spans="1:37" x14ac:dyDescent="0.25">
      <c r="A84" t="s">
        <v>231</v>
      </c>
      <c r="B84" t="s">
        <v>73</v>
      </c>
      <c r="C84" t="s">
        <v>41</v>
      </c>
      <c r="D84" t="s">
        <v>42</v>
      </c>
      <c r="E84" t="s">
        <v>22</v>
      </c>
      <c r="F84">
        <v>53</v>
      </c>
      <c r="G84">
        <v>67</v>
      </c>
      <c r="H84">
        <v>49</v>
      </c>
      <c r="I84">
        <v>71</v>
      </c>
      <c r="J84">
        <v>3180</v>
      </c>
      <c r="K84">
        <v>18</v>
      </c>
      <c r="L84">
        <v>0</v>
      </c>
      <c r="M84">
        <v>21</v>
      </c>
      <c r="N84" t="s">
        <v>29</v>
      </c>
      <c r="O84">
        <v>0.155</v>
      </c>
      <c r="P84">
        <v>34995.9</v>
      </c>
      <c r="Q84">
        <f>(Table1[[#This Row],[Closing_Stock]]*Table1[[#This Row],[Unit_Cost_INR]])</f>
        <v>225780</v>
      </c>
      <c r="R84">
        <f>(Table1[[#This Row],[Unit_Cost_INR]]*Table1[[#This Row],[Consumption]])</f>
        <v>155820</v>
      </c>
      <c r="S84">
        <f>IFERROR(Table1[[#This Row],[Annual_Consumption_Value_INR]]/Table1[[#This Row],[Inventory_Value_INR]],0)</f>
        <v>0.6901408450704225</v>
      </c>
      <c r="T84">
        <f>IFERROR(365/Table1[[#This Row],[Inventory_Turnover]],0)</f>
        <v>528.87755102040819</v>
      </c>
      <c r="U84" t="str">
        <f>IF(Table1[[#This Row],[Consumption]]=0,"Non-Moving", IF(Table1[[#This Row],[Days_Since_Last_Movement]]&gt;90,"Slow-Moving","Active"))</f>
        <v>Active</v>
      </c>
      <c r="V84">
        <f>SUM($Q$2:Q84)</f>
        <v>46451730</v>
      </c>
      <c r="W84">
        <f>Table1[[#This Row],[Cumulative_Inventory_Value]]/$AP$3</f>
        <v>0.61366672756867424</v>
      </c>
      <c r="X84" t="str">
        <f>IF(Table1[[#This Row],[Cumulative_Value_%]]&lt;80%,"A", IF(Table1[[#This Row],[Cumulative_Value_%]]&lt;=95%,"B","C"))</f>
        <v>A</v>
      </c>
      <c r="Y84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84">
        <f>Table1[[#This Row],[Consumption]]/365</f>
        <v>0.13424657534246576</v>
      </c>
      <c r="AA84">
        <f>Table1[[#This Row],[Avg_Daily_Consumption]]*Table1[[#This Row],[Lead_Time_Days]]+Table1[[#This Row],[Safety_Stock]]</f>
        <v>4.4164383561643836</v>
      </c>
      <c r="AB84">
        <f>IFERROR(Table1[[#This Row],[Closing_Stock]]/Table1[[#This Row],[Avg_Daily_Consumption]],9999)</f>
        <v>528.87755102040819</v>
      </c>
      <c r="AC84">
        <f>MAX(1,ROUNDUP(Table1[[#This Row],[Avg_Daily_Consumption]]*Table1[[#This Row],[Lead_Time_Days]]*0.8,0))</f>
        <v>2</v>
      </c>
      <c r="AD84" t="str">
        <f>IF(Table1[[#This Row],[Closing_Stock]]&lt;Table1[[#This Row],[Reorder_Point]],"Stock-out Risk","Adequate")</f>
        <v>Adequate</v>
      </c>
      <c r="AE84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84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84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84" s="11">
        <f>MAX(0,Table1[[#This Row],[Closing_Stock]]-Table1[[#This Row],[Reorder_Point]])</f>
        <v>66.583561643835623</v>
      </c>
      <c r="AI84" s="11">
        <f>Table1[[#This Row],[Excess_Stock_Units]]*Table1[[#This Row],[Unit_Cost_INR]]</f>
        <v>211735.72602739729</v>
      </c>
      <c r="AJ84" s="11">
        <f>IF(Table1[[#This Row],[Criticality]]="Critical",0,Table1[[#This Row],[Excess_Inventory_Value_INR]])</f>
        <v>211735.72602739729</v>
      </c>
      <c r="AK84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85" spans="1:37" x14ac:dyDescent="0.25">
      <c r="A85" t="s">
        <v>94</v>
      </c>
      <c r="B85" t="s">
        <v>95</v>
      </c>
      <c r="C85" t="s">
        <v>26</v>
      </c>
      <c r="D85" t="s">
        <v>21</v>
      </c>
      <c r="E85" t="s">
        <v>22</v>
      </c>
      <c r="F85">
        <v>22</v>
      </c>
      <c r="G85">
        <v>19</v>
      </c>
      <c r="H85">
        <v>14</v>
      </c>
      <c r="I85">
        <v>27</v>
      </c>
      <c r="J85">
        <v>8360</v>
      </c>
      <c r="K85">
        <v>33</v>
      </c>
      <c r="L85">
        <v>0</v>
      </c>
      <c r="M85">
        <v>34</v>
      </c>
      <c r="N85" t="s">
        <v>29</v>
      </c>
      <c r="O85">
        <v>0.24099999999999999</v>
      </c>
      <c r="P85">
        <v>54398.52</v>
      </c>
      <c r="Q85">
        <f>(Table1[[#This Row],[Closing_Stock]]*Table1[[#This Row],[Unit_Cost_INR]])</f>
        <v>225720</v>
      </c>
      <c r="R85">
        <f>(Table1[[#This Row],[Unit_Cost_INR]]*Table1[[#This Row],[Consumption]])</f>
        <v>117040</v>
      </c>
      <c r="S85">
        <f>IFERROR(Table1[[#This Row],[Annual_Consumption_Value_INR]]/Table1[[#This Row],[Inventory_Value_INR]],0)</f>
        <v>0.51851851851851849</v>
      </c>
      <c r="T85">
        <f>IFERROR(365/Table1[[#This Row],[Inventory_Turnover]],0)</f>
        <v>703.92857142857144</v>
      </c>
      <c r="U85" t="str">
        <f>IF(Table1[[#This Row],[Consumption]]=0,"Non-Moving", IF(Table1[[#This Row],[Days_Since_Last_Movement]]&gt;90,"Slow-Moving","Active"))</f>
        <v>Active</v>
      </c>
      <c r="V85">
        <f>SUM($Q$2:Q85)</f>
        <v>46677450</v>
      </c>
      <c r="W85">
        <f>Table1[[#This Row],[Cumulative_Inventory_Value]]/$AP$3</f>
        <v>0.61664868009760698</v>
      </c>
      <c r="X85" t="str">
        <f>IF(Table1[[#This Row],[Cumulative_Value_%]]&lt;80%,"A", IF(Table1[[#This Row],[Cumulative_Value_%]]&lt;=95%,"B","C"))</f>
        <v>A</v>
      </c>
      <c r="Y85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85">
        <f>Table1[[#This Row],[Consumption]]/365</f>
        <v>3.8356164383561646E-2</v>
      </c>
      <c r="AA85">
        <f>Table1[[#This Row],[Avg_Daily_Consumption]]*Table1[[#This Row],[Lead_Time_Days]]+Table1[[#This Row],[Safety_Stock]]</f>
        <v>3.2657534246575342</v>
      </c>
      <c r="AB85">
        <f>IFERROR(Table1[[#This Row],[Closing_Stock]]/Table1[[#This Row],[Avg_Daily_Consumption]],9999)</f>
        <v>703.92857142857144</v>
      </c>
      <c r="AC85">
        <f>MAX(1,ROUNDUP(Table1[[#This Row],[Avg_Daily_Consumption]]*Table1[[#This Row],[Lead_Time_Days]]*0.8,0))</f>
        <v>2</v>
      </c>
      <c r="AD85" t="str">
        <f>IF(Table1[[#This Row],[Closing_Stock]]&lt;Table1[[#This Row],[Reorder_Point]],"Stock-out Risk","Adequate")</f>
        <v>Adequate</v>
      </c>
      <c r="AE85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85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85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85" s="11">
        <f>MAX(0,Table1[[#This Row],[Closing_Stock]]-Table1[[#This Row],[Reorder_Point]])</f>
        <v>23.734246575342468</v>
      </c>
      <c r="AI85" s="11">
        <f>Table1[[#This Row],[Excess_Stock_Units]]*Table1[[#This Row],[Unit_Cost_INR]]</f>
        <v>198418.30136986304</v>
      </c>
      <c r="AJ85" s="11">
        <f>IF(Table1[[#This Row],[Criticality]]="Critical",0,Table1[[#This Row],[Excess_Inventory_Value_INR]])</f>
        <v>198418.30136986304</v>
      </c>
      <c r="AK85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86" spans="1:37" x14ac:dyDescent="0.25">
      <c r="A86" t="s">
        <v>214</v>
      </c>
      <c r="B86" t="s">
        <v>48</v>
      </c>
      <c r="C86" t="s">
        <v>41</v>
      </c>
      <c r="D86" t="s">
        <v>45</v>
      </c>
      <c r="E86" t="s">
        <v>28</v>
      </c>
      <c r="F86">
        <v>24</v>
      </c>
      <c r="G86">
        <v>59</v>
      </c>
      <c r="H86">
        <v>59</v>
      </c>
      <c r="I86">
        <v>24</v>
      </c>
      <c r="J86">
        <v>9020</v>
      </c>
      <c r="K86">
        <v>31</v>
      </c>
      <c r="L86">
        <v>0</v>
      </c>
      <c r="M86">
        <v>58</v>
      </c>
      <c r="N86" t="s">
        <v>23</v>
      </c>
      <c r="O86">
        <v>0.153</v>
      </c>
      <c r="P86">
        <v>33121.440000000002</v>
      </c>
      <c r="Q86">
        <f>(Table1[[#This Row],[Closing_Stock]]*Table1[[#This Row],[Unit_Cost_INR]])</f>
        <v>216480</v>
      </c>
      <c r="R86">
        <f>(Table1[[#This Row],[Unit_Cost_INR]]*Table1[[#This Row],[Consumption]])</f>
        <v>532180</v>
      </c>
      <c r="S86">
        <f>IFERROR(Table1[[#This Row],[Annual_Consumption_Value_INR]]/Table1[[#This Row],[Inventory_Value_INR]],0)</f>
        <v>2.4583333333333335</v>
      </c>
      <c r="T86">
        <f>IFERROR(365/Table1[[#This Row],[Inventory_Turnover]],0)</f>
        <v>148.47457627118644</v>
      </c>
      <c r="U86" t="str">
        <f>IF(Table1[[#This Row],[Consumption]]=0,"Non-Moving", IF(Table1[[#This Row],[Days_Since_Last_Movement]]&gt;90,"Slow-Moving","Active"))</f>
        <v>Active</v>
      </c>
      <c r="V86">
        <f>SUM($Q$2:Q86)</f>
        <v>46893930</v>
      </c>
      <c r="W86">
        <f>Table1[[#This Row],[Cumulative_Inventory_Value]]/$AP$3</f>
        <v>0.61950856439436119</v>
      </c>
      <c r="X86" t="str">
        <f>IF(Table1[[#This Row],[Cumulative_Value_%]]&lt;80%,"A", IF(Table1[[#This Row],[Cumulative_Value_%]]&lt;=95%,"B","C"))</f>
        <v>A</v>
      </c>
      <c r="Y86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86">
        <f>Table1[[#This Row],[Consumption]]/365</f>
        <v>0.16164383561643836</v>
      </c>
      <c r="AA86">
        <f>Table1[[#This Row],[Avg_Daily_Consumption]]*Table1[[#This Row],[Lead_Time_Days]]+Table1[[#This Row],[Safety_Stock]]</f>
        <v>10.010958904109589</v>
      </c>
      <c r="AB86">
        <f>IFERROR(Table1[[#This Row],[Closing_Stock]]/Table1[[#This Row],[Avg_Daily_Consumption]],9999)</f>
        <v>148.47457627118644</v>
      </c>
      <c r="AC86">
        <f>MAX(1,ROUNDUP(Table1[[#This Row],[Avg_Daily_Consumption]]*Table1[[#This Row],[Lead_Time_Days]]*0.8,0))</f>
        <v>5</v>
      </c>
      <c r="AD86" t="str">
        <f>IF(Table1[[#This Row],[Closing_Stock]]&lt;Table1[[#This Row],[Reorder_Point]],"Stock-out Risk","Adequate")</f>
        <v>Adequate</v>
      </c>
      <c r="AE86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86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86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86" s="11">
        <f>MAX(0,Table1[[#This Row],[Closing_Stock]]-Table1[[#This Row],[Reorder_Point]])</f>
        <v>13.989041095890411</v>
      </c>
      <c r="AI86" s="11">
        <f>Table1[[#This Row],[Excess_Stock_Units]]*Table1[[#This Row],[Unit_Cost_INR]]</f>
        <v>126181.1506849315</v>
      </c>
      <c r="AJ86" s="11">
        <f>IF(Table1[[#This Row],[Criticality]]="Critical",0,Table1[[#This Row],[Excess_Inventory_Value_INR]])</f>
        <v>126181.1506849315</v>
      </c>
      <c r="AK86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87" spans="1:37" x14ac:dyDescent="0.25">
      <c r="A87" t="s">
        <v>566</v>
      </c>
      <c r="B87" t="s">
        <v>85</v>
      </c>
      <c r="C87" t="s">
        <v>41</v>
      </c>
      <c r="D87" t="s">
        <v>45</v>
      </c>
      <c r="E87" t="s">
        <v>22</v>
      </c>
      <c r="F87">
        <v>20</v>
      </c>
      <c r="G87">
        <v>31</v>
      </c>
      <c r="H87">
        <v>20</v>
      </c>
      <c r="I87">
        <v>31</v>
      </c>
      <c r="J87">
        <v>6910</v>
      </c>
      <c r="K87">
        <v>42</v>
      </c>
      <c r="L87">
        <v>1</v>
      </c>
      <c r="M87">
        <v>11</v>
      </c>
      <c r="N87" t="s">
        <v>58</v>
      </c>
      <c r="O87">
        <v>0.159</v>
      </c>
      <c r="P87">
        <v>34059.39</v>
      </c>
      <c r="Q87">
        <f>(Table1[[#This Row],[Closing_Stock]]*Table1[[#This Row],[Unit_Cost_INR]])</f>
        <v>214210</v>
      </c>
      <c r="R87">
        <f>(Table1[[#This Row],[Unit_Cost_INR]]*Table1[[#This Row],[Consumption]])</f>
        <v>138200</v>
      </c>
      <c r="S87">
        <f>IFERROR(Table1[[#This Row],[Annual_Consumption_Value_INR]]/Table1[[#This Row],[Inventory_Value_INR]],0)</f>
        <v>0.64516129032258063</v>
      </c>
      <c r="T87">
        <f>IFERROR(365/Table1[[#This Row],[Inventory_Turnover]],0)</f>
        <v>565.75</v>
      </c>
      <c r="U87" t="str">
        <f>IF(Table1[[#This Row],[Consumption]]=0,"Non-Moving", IF(Table1[[#This Row],[Days_Since_Last_Movement]]&gt;90,"Slow-Moving","Active"))</f>
        <v>Active</v>
      </c>
      <c r="V87">
        <f>SUM($Q$2:Q87)</f>
        <v>47108140</v>
      </c>
      <c r="W87">
        <f>Table1[[#This Row],[Cumulative_Inventory_Value]]/$AP$3</f>
        <v>0.62233846006697635</v>
      </c>
      <c r="X87" t="str">
        <f>IF(Table1[[#This Row],[Cumulative_Value_%]]&lt;80%,"A", IF(Table1[[#This Row],[Cumulative_Value_%]]&lt;=95%,"B","C"))</f>
        <v>A</v>
      </c>
      <c r="Y87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87">
        <f>Table1[[#This Row],[Consumption]]/365</f>
        <v>5.4794520547945202E-2</v>
      </c>
      <c r="AA87">
        <f>Table1[[#This Row],[Avg_Daily_Consumption]]*Table1[[#This Row],[Lead_Time_Days]]+Table1[[#This Row],[Safety_Stock]]</f>
        <v>4.3013698630136989</v>
      </c>
      <c r="AB87">
        <f>IFERROR(Table1[[#This Row],[Closing_Stock]]/Table1[[#This Row],[Avg_Daily_Consumption]],9999)</f>
        <v>565.75</v>
      </c>
      <c r="AC87">
        <f>MAX(1,ROUNDUP(Table1[[#This Row],[Avg_Daily_Consumption]]*Table1[[#This Row],[Lead_Time_Days]]*0.8,0))</f>
        <v>2</v>
      </c>
      <c r="AD87" t="str">
        <f>IF(Table1[[#This Row],[Closing_Stock]]&lt;Table1[[#This Row],[Reorder_Point]],"Stock-out Risk","Adequate")</f>
        <v>Adequate</v>
      </c>
      <c r="AE87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87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87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87" s="11">
        <f>MAX(0,Table1[[#This Row],[Closing_Stock]]-Table1[[#This Row],[Reorder_Point]])</f>
        <v>26.698630136986303</v>
      </c>
      <c r="AI87" s="11">
        <f>Table1[[#This Row],[Excess_Stock_Units]]*Table1[[#This Row],[Unit_Cost_INR]]</f>
        <v>184487.53424657535</v>
      </c>
      <c r="AJ87" s="11">
        <f>IF(Table1[[#This Row],[Criticality]]="Critical",0,Table1[[#This Row],[Excess_Inventory_Value_INR]])</f>
        <v>184487.53424657535</v>
      </c>
      <c r="AK87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88" spans="1:37" x14ac:dyDescent="0.25">
      <c r="A88" t="s">
        <v>558</v>
      </c>
      <c r="B88" t="s">
        <v>93</v>
      </c>
      <c r="C88" t="s">
        <v>26</v>
      </c>
      <c r="D88" t="s">
        <v>27</v>
      </c>
      <c r="E88" t="s">
        <v>22</v>
      </c>
      <c r="F88">
        <v>21</v>
      </c>
      <c r="G88">
        <v>12</v>
      </c>
      <c r="H88">
        <v>0</v>
      </c>
      <c r="I88">
        <v>128</v>
      </c>
      <c r="J88">
        <v>1660</v>
      </c>
      <c r="K88">
        <v>17</v>
      </c>
      <c r="L88">
        <v>0</v>
      </c>
      <c r="M88">
        <v>472</v>
      </c>
      <c r="N88" t="s">
        <v>38</v>
      </c>
      <c r="O88">
        <v>0.29099999999999998</v>
      </c>
      <c r="P88">
        <v>61831.679999999993</v>
      </c>
      <c r="Q88">
        <f>(Table1[[#This Row],[Closing_Stock]]*Table1[[#This Row],[Unit_Cost_INR]])</f>
        <v>212480</v>
      </c>
      <c r="R88">
        <f>(Table1[[#This Row],[Unit_Cost_INR]]*Table1[[#This Row],[Consumption]])</f>
        <v>0</v>
      </c>
      <c r="S88">
        <f>IFERROR(Table1[[#This Row],[Annual_Consumption_Value_INR]]/Table1[[#This Row],[Inventory_Value_INR]],0)</f>
        <v>0</v>
      </c>
      <c r="T88">
        <f>IFERROR(365/Table1[[#This Row],[Inventory_Turnover]],0)</f>
        <v>0</v>
      </c>
      <c r="U88" t="str">
        <f>IF(Table1[[#This Row],[Consumption]]=0,"Non-Moving", IF(Table1[[#This Row],[Days_Since_Last_Movement]]&gt;90,"Slow-Moving","Active"))</f>
        <v>Non-Moving</v>
      </c>
      <c r="V88">
        <f>SUM($Q$2:Q88)</f>
        <v>47320620</v>
      </c>
      <c r="W88">
        <f>Table1[[#This Row],[Cumulative_Inventory_Value]]/$AP$3</f>
        <v>0.62514550097317712</v>
      </c>
      <c r="X88" t="str">
        <f>IF(Table1[[#This Row],[Cumulative_Value_%]]&lt;80%,"A", IF(Table1[[#This Row],[Cumulative_Value_%]]&lt;=95%,"B","C"))</f>
        <v>A</v>
      </c>
      <c r="Y88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Critical Review</v>
      </c>
      <c r="Z88">
        <f>Table1[[#This Row],[Consumption]]/365</f>
        <v>0</v>
      </c>
      <c r="AA88">
        <f>Table1[[#This Row],[Avg_Daily_Consumption]]*Table1[[#This Row],[Lead_Time_Days]]+Table1[[#This Row],[Safety_Stock]]</f>
        <v>1</v>
      </c>
      <c r="AB88">
        <f>IFERROR(Table1[[#This Row],[Closing_Stock]]/Table1[[#This Row],[Avg_Daily_Consumption]],9999)</f>
        <v>9999</v>
      </c>
      <c r="AC88">
        <f>MAX(1,ROUNDUP(Table1[[#This Row],[Avg_Daily_Consumption]]*Table1[[#This Row],[Lead_Time_Days]]*0.8,0))</f>
        <v>1</v>
      </c>
      <c r="AD88" t="str">
        <f>IF(Table1[[#This Row],[Closing_Stock]]&lt;Table1[[#This Row],[Reorder_Point]],"Stock-out Risk","Adequate")</f>
        <v>Adequate</v>
      </c>
      <c r="AE88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88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 for Disposal/De-procurement</v>
      </c>
      <c r="AG88">
        <f>IF(Table1[[#This Row],[Action_Recommendation]]="Review for Disposal/De-procurement",Table1[[#This Row],[Inventory_Value_INR]]*70%,IF(Table1[[#This Row],[Action_Recommendation]]="Review Safety Stock",Table1[[#This Row],[Inventory_Value_INR]]*20%,0))</f>
        <v>148736</v>
      </c>
      <c r="AH88" s="11">
        <f>MAX(0,Table1[[#This Row],[Closing_Stock]]-Table1[[#This Row],[Reorder_Point]])</f>
        <v>127</v>
      </c>
      <c r="AI88" s="11">
        <f>Table1[[#This Row],[Excess_Stock_Units]]*Table1[[#This Row],[Unit_Cost_INR]]</f>
        <v>210820</v>
      </c>
      <c r="AJ88" s="11">
        <f>IF(Table1[[#This Row],[Criticality]]="Critical",0,Table1[[#This Row],[Excess_Inventory_Value_INR]])</f>
        <v>210820</v>
      </c>
      <c r="AK88" s="11">
        <f>IF(AND(Table1[[#This Row],[Criticality]]&lt;&gt;"Critical",OR(Table1[[#This Row],[Movement_Class]]="Slow-Moving",Table1[[#This Row],[Movement_Class]]="Non-Moving")),Table1[[#This Row],[Excess_Inventory_Value_INR]],0)</f>
        <v>210820</v>
      </c>
    </row>
    <row r="89" spans="1:37" x14ac:dyDescent="0.25">
      <c r="A89" t="s">
        <v>385</v>
      </c>
      <c r="B89" t="s">
        <v>104</v>
      </c>
      <c r="C89" t="s">
        <v>41</v>
      </c>
      <c r="D89" t="s">
        <v>66</v>
      </c>
      <c r="E89" t="s">
        <v>28</v>
      </c>
      <c r="F89">
        <v>66</v>
      </c>
      <c r="G89">
        <v>78</v>
      </c>
      <c r="H89">
        <v>60</v>
      </c>
      <c r="I89">
        <v>84</v>
      </c>
      <c r="J89">
        <v>2500</v>
      </c>
      <c r="K89">
        <v>21</v>
      </c>
      <c r="L89">
        <v>0</v>
      </c>
      <c r="M89">
        <v>2</v>
      </c>
      <c r="N89" t="s">
        <v>29</v>
      </c>
      <c r="O89">
        <v>0.23</v>
      </c>
      <c r="P89">
        <v>48300</v>
      </c>
      <c r="Q89">
        <f>(Table1[[#This Row],[Closing_Stock]]*Table1[[#This Row],[Unit_Cost_INR]])</f>
        <v>210000</v>
      </c>
      <c r="R89">
        <f>(Table1[[#This Row],[Unit_Cost_INR]]*Table1[[#This Row],[Consumption]])</f>
        <v>150000</v>
      </c>
      <c r="S89">
        <f>IFERROR(Table1[[#This Row],[Annual_Consumption_Value_INR]]/Table1[[#This Row],[Inventory_Value_INR]],0)</f>
        <v>0.7142857142857143</v>
      </c>
      <c r="T89">
        <f>IFERROR(365/Table1[[#This Row],[Inventory_Turnover]],0)</f>
        <v>511</v>
      </c>
      <c r="U89" t="str">
        <f>IF(Table1[[#This Row],[Consumption]]=0,"Non-Moving", IF(Table1[[#This Row],[Days_Since_Last_Movement]]&gt;90,"Slow-Moving","Active"))</f>
        <v>Active</v>
      </c>
      <c r="V89">
        <f>SUM($Q$2:Q89)</f>
        <v>47530620</v>
      </c>
      <c r="W89">
        <f>Table1[[#This Row],[Cumulative_Inventory_Value]]/$AP$3</f>
        <v>0.62791977897723472</v>
      </c>
      <c r="X89" t="str">
        <f>IF(Table1[[#This Row],[Cumulative_Value_%]]&lt;80%,"A", IF(Table1[[#This Row],[Cumulative_Value_%]]&lt;=95%,"B","C"))</f>
        <v>A</v>
      </c>
      <c r="Y89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89">
        <f>Table1[[#This Row],[Consumption]]/365</f>
        <v>0.16438356164383561</v>
      </c>
      <c r="AA89">
        <f>Table1[[#This Row],[Avg_Daily_Consumption]]*Table1[[#This Row],[Lead_Time_Days]]+Table1[[#This Row],[Safety_Stock]]</f>
        <v>6.4520547945205475</v>
      </c>
      <c r="AB89">
        <f>IFERROR(Table1[[#This Row],[Closing_Stock]]/Table1[[#This Row],[Avg_Daily_Consumption]],9999)</f>
        <v>511</v>
      </c>
      <c r="AC89">
        <f>MAX(1,ROUNDUP(Table1[[#This Row],[Avg_Daily_Consumption]]*Table1[[#This Row],[Lead_Time_Days]]*0.8,0))</f>
        <v>3</v>
      </c>
      <c r="AD89" t="str">
        <f>IF(Table1[[#This Row],[Closing_Stock]]&lt;Table1[[#This Row],[Reorder_Point]],"Stock-out Risk","Adequate")</f>
        <v>Adequate</v>
      </c>
      <c r="AE89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89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89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89" s="11">
        <f>MAX(0,Table1[[#This Row],[Closing_Stock]]-Table1[[#This Row],[Reorder_Point]])</f>
        <v>77.547945205479451</v>
      </c>
      <c r="AI89" s="11">
        <f>Table1[[#This Row],[Excess_Stock_Units]]*Table1[[#This Row],[Unit_Cost_INR]]</f>
        <v>193869.86301369863</v>
      </c>
      <c r="AJ89" s="11">
        <f>IF(Table1[[#This Row],[Criticality]]="Critical",0,Table1[[#This Row],[Excess_Inventory_Value_INR]])</f>
        <v>193869.86301369863</v>
      </c>
      <c r="AK89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90" spans="1:37" x14ac:dyDescent="0.25">
      <c r="A90" t="s">
        <v>228</v>
      </c>
      <c r="B90" t="s">
        <v>73</v>
      </c>
      <c r="C90" t="s">
        <v>41</v>
      </c>
      <c r="D90" t="s">
        <v>66</v>
      </c>
      <c r="E90" t="s">
        <v>46</v>
      </c>
      <c r="F90">
        <v>18</v>
      </c>
      <c r="G90">
        <v>9</v>
      </c>
      <c r="H90">
        <v>6</v>
      </c>
      <c r="I90">
        <v>21</v>
      </c>
      <c r="J90">
        <v>9920</v>
      </c>
      <c r="K90">
        <v>40</v>
      </c>
      <c r="L90">
        <v>1</v>
      </c>
      <c r="M90">
        <v>126</v>
      </c>
      <c r="N90" t="s">
        <v>61</v>
      </c>
      <c r="O90">
        <v>0.25</v>
      </c>
      <c r="P90">
        <v>52080</v>
      </c>
      <c r="Q90">
        <f>(Table1[[#This Row],[Closing_Stock]]*Table1[[#This Row],[Unit_Cost_INR]])</f>
        <v>208320</v>
      </c>
      <c r="R90">
        <f>(Table1[[#This Row],[Unit_Cost_INR]]*Table1[[#This Row],[Consumption]])</f>
        <v>59520</v>
      </c>
      <c r="S90">
        <f>IFERROR(Table1[[#This Row],[Annual_Consumption_Value_INR]]/Table1[[#This Row],[Inventory_Value_INR]],0)</f>
        <v>0.2857142857142857</v>
      </c>
      <c r="T90">
        <f>IFERROR(365/Table1[[#This Row],[Inventory_Turnover]],0)</f>
        <v>1277.5</v>
      </c>
      <c r="U90" t="str">
        <f>IF(Table1[[#This Row],[Consumption]]=0,"Non-Moving", IF(Table1[[#This Row],[Days_Since_Last_Movement]]&gt;90,"Slow-Moving","Active"))</f>
        <v>Slow-Moving</v>
      </c>
      <c r="V90">
        <f>SUM($Q$2:Q90)</f>
        <v>47738940</v>
      </c>
      <c r="W90">
        <f>Table1[[#This Row],[Cumulative_Inventory_Value]]/$AP$3</f>
        <v>0.63067186275725984</v>
      </c>
      <c r="X90" t="str">
        <f>IF(Table1[[#This Row],[Cumulative_Value_%]]&lt;80%,"A", IF(Table1[[#This Row],[Cumulative_Value_%]]&lt;=95%,"B","C"))</f>
        <v>A</v>
      </c>
      <c r="Y90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High Review</v>
      </c>
      <c r="Z90">
        <f>Table1[[#This Row],[Consumption]]/365</f>
        <v>1.643835616438356E-2</v>
      </c>
      <c r="AA90">
        <f>Table1[[#This Row],[Avg_Daily_Consumption]]*Table1[[#This Row],[Lead_Time_Days]]+Table1[[#This Row],[Safety_Stock]]</f>
        <v>1.6575342465753424</v>
      </c>
      <c r="AB90">
        <f>IFERROR(Table1[[#This Row],[Closing_Stock]]/Table1[[#This Row],[Avg_Daily_Consumption]],9999)</f>
        <v>1277.5000000000002</v>
      </c>
      <c r="AC90">
        <f>MAX(1,ROUNDUP(Table1[[#This Row],[Avg_Daily_Consumption]]*Table1[[#This Row],[Lead_Time_Days]]*0.8,0))</f>
        <v>1</v>
      </c>
      <c r="AD90" t="str">
        <f>IF(Table1[[#This Row],[Closing_Stock]]&lt;Table1[[#This Row],[Reorder_Point]],"Stock-out Risk","Adequate")</f>
        <v>Adequate</v>
      </c>
      <c r="AE90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90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 Safety Stock</v>
      </c>
      <c r="AG90">
        <f>IF(Table1[[#This Row],[Action_Recommendation]]="Review for Disposal/De-procurement",Table1[[#This Row],[Inventory_Value_INR]]*70%,IF(Table1[[#This Row],[Action_Recommendation]]="Review Safety Stock",Table1[[#This Row],[Inventory_Value_INR]]*20%,0))</f>
        <v>41664</v>
      </c>
      <c r="AH90" s="11">
        <f>MAX(0,Table1[[#This Row],[Closing_Stock]]-Table1[[#This Row],[Reorder_Point]])</f>
        <v>19.342465753424658</v>
      </c>
      <c r="AI90" s="11">
        <f>Table1[[#This Row],[Excess_Stock_Units]]*Table1[[#This Row],[Unit_Cost_INR]]</f>
        <v>191877.26027397261</v>
      </c>
      <c r="AJ90" s="11">
        <f>IF(Table1[[#This Row],[Criticality]]="Critical",0,Table1[[#This Row],[Excess_Inventory_Value_INR]])</f>
        <v>191877.26027397261</v>
      </c>
      <c r="AK90" s="11">
        <f>IF(AND(Table1[[#This Row],[Criticality]]&lt;&gt;"Critical",OR(Table1[[#This Row],[Movement_Class]]="Slow-Moving",Table1[[#This Row],[Movement_Class]]="Non-Moving")),Table1[[#This Row],[Excess_Inventory_Value_INR]],0)</f>
        <v>191877.26027397261</v>
      </c>
    </row>
    <row r="91" spans="1:37" x14ac:dyDescent="0.25">
      <c r="A91" t="s">
        <v>462</v>
      </c>
      <c r="B91" t="s">
        <v>63</v>
      </c>
      <c r="C91" t="s">
        <v>52</v>
      </c>
      <c r="D91" t="s">
        <v>42</v>
      </c>
      <c r="E91" t="s">
        <v>22</v>
      </c>
      <c r="F91">
        <v>18</v>
      </c>
      <c r="G91">
        <v>42</v>
      </c>
      <c r="H91">
        <v>25</v>
      </c>
      <c r="I91">
        <v>35</v>
      </c>
      <c r="J91">
        <v>5930</v>
      </c>
      <c r="K91">
        <v>43</v>
      </c>
      <c r="L91">
        <v>0</v>
      </c>
      <c r="M91">
        <v>8</v>
      </c>
      <c r="N91" t="s">
        <v>58</v>
      </c>
      <c r="O91">
        <v>0.21299999999999999</v>
      </c>
      <c r="P91">
        <v>44208.15</v>
      </c>
      <c r="Q91">
        <f>(Table1[[#This Row],[Closing_Stock]]*Table1[[#This Row],[Unit_Cost_INR]])</f>
        <v>207550</v>
      </c>
      <c r="R91">
        <f>(Table1[[#This Row],[Unit_Cost_INR]]*Table1[[#This Row],[Consumption]])</f>
        <v>148250</v>
      </c>
      <c r="S91">
        <f>IFERROR(Table1[[#This Row],[Annual_Consumption_Value_INR]]/Table1[[#This Row],[Inventory_Value_INR]],0)</f>
        <v>0.7142857142857143</v>
      </c>
      <c r="T91">
        <f>IFERROR(365/Table1[[#This Row],[Inventory_Turnover]],0)</f>
        <v>511</v>
      </c>
      <c r="U91" t="str">
        <f>IF(Table1[[#This Row],[Consumption]]=0,"Non-Moving", IF(Table1[[#This Row],[Days_Since_Last_Movement]]&gt;90,"Slow-Moving","Active"))</f>
        <v>Active</v>
      </c>
      <c r="V91">
        <f>SUM($Q$2:Q91)</f>
        <v>47946490</v>
      </c>
      <c r="W91">
        <f>Table1[[#This Row],[Cumulative_Inventory_Value]]/$AP$3</f>
        <v>0.63341377418460332</v>
      </c>
      <c r="X91" t="str">
        <f>IF(Table1[[#This Row],[Cumulative_Value_%]]&lt;80%,"A", IF(Table1[[#This Row],[Cumulative_Value_%]]&lt;=95%,"B","C"))</f>
        <v>A</v>
      </c>
      <c r="Y91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91">
        <f>Table1[[#This Row],[Consumption]]/365</f>
        <v>6.8493150684931503E-2</v>
      </c>
      <c r="AA91">
        <f>Table1[[#This Row],[Avg_Daily_Consumption]]*Table1[[#This Row],[Lead_Time_Days]]+Table1[[#This Row],[Safety_Stock]]</f>
        <v>5.9452054794520546</v>
      </c>
      <c r="AB91">
        <f>IFERROR(Table1[[#This Row],[Closing_Stock]]/Table1[[#This Row],[Avg_Daily_Consumption]],9999)</f>
        <v>511</v>
      </c>
      <c r="AC91">
        <f>MAX(1,ROUNDUP(Table1[[#This Row],[Avg_Daily_Consumption]]*Table1[[#This Row],[Lead_Time_Days]]*0.8,0))</f>
        <v>3</v>
      </c>
      <c r="AD91" t="str">
        <f>IF(Table1[[#This Row],[Closing_Stock]]&lt;Table1[[#This Row],[Reorder_Point]],"Stock-out Risk","Adequate")</f>
        <v>Adequate</v>
      </c>
      <c r="AE91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91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91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91" s="11">
        <f>MAX(0,Table1[[#This Row],[Closing_Stock]]-Table1[[#This Row],[Reorder_Point]])</f>
        <v>29.054794520547944</v>
      </c>
      <c r="AI91" s="11">
        <f>Table1[[#This Row],[Excess_Stock_Units]]*Table1[[#This Row],[Unit_Cost_INR]]</f>
        <v>172294.9315068493</v>
      </c>
      <c r="AJ91" s="11">
        <f>IF(Table1[[#This Row],[Criticality]]="Critical",0,Table1[[#This Row],[Excess_Inventory_Value_INR]])</f>
        <v>172294.9315068493</v>
      </c>
      <c r="AK91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92" spans="1:37" x14ac:dyDescent="0.25">
      <c r="A92" t="s">
        <v>414</v>
      </c>
      <c r="B92" t="s">
        <v>126</v>
      </c>
      <c r="C92" t="s">
        <v>20</v>
      </c>
      <c r="D92" t="s">
        <v>45</v>
      </c>
      <c r="E92" t="s">
        <v>46</v>
      </c>
      <c r="F92">
        <v>43</v>
      </c>
      <c r="G92">
        <v>95</v>
      </c>
      <c r="H92">
        <v>63</v>
      </c>
      <c r="I92">
        <v>75</v>
      </c>
      <c r="J92">
        <v>2760</v>
      </c>
      <c r="K92">
        <v>44</v>
      </c>
      <c r="L92">
        <v>0</v>
      </c>
      <c r="M92">
        <v>81</v>
      </c>
      <c r="N92" t="s">
        <v>23</v>
      </c>
      <c r="O92">
        <v>0.29299999999999998</v>
      </c>
      <c r="P92">
        <v>60651</v>
      </c>
      <c r="Q92">
        <f>(Table1[[#This Row],[Closing_Stock]]*Table1[[#This Row],[Unit_Cost_INR]])</f>
        <v>207000</v>
      </c>
      <c r="R92">
        <f>(Table1[[#This Row],[Unit_Cost_INR]]*Table1[[#This Row],[Consumption]])</f>
        <v>173880</v>
      </c>
      <c r="S92">
        <f>IFERROR(Table1[[#This Row],[Annual_Consumption_Value_INR]]/Table1[[#This Row],[Inventory_Value_INR]],0)</f>
        <v>0.84</v>
      </c>
      <c r="T92">
        <f>IFERROR(365/Table1[[#This Row],[Inventory_Turnover]],0)</f>
        <v>434.52380952380952</v>
      </c>
      <c r="U92" t="str">
        <f>IF(Table1[[#This Row],[Consumption]]=0,"Non-Moving", IF(Table1[[#This Row],[Days_Since_Last_Movement]]&gt;90,"Slow-Moving","Active"))</f>
        <v>Active</v>
      </c>
      <c r="V92">
        <f>SUM($Q$2:Q92)</f>
        <v>48153490</v>
      </c>
      <c r="W92">
        <f>Table1[[#This Row],[Cumulative_Inventory_Value]]/$AP$3</f>
        <v>0.63614841964574587</v>
      </c>
      <c r="X92" t="str">
        <f>IF(Table1[[#This Row],[Cumulative_Value_%]]&lt;80%,"A", IF(Table1[[#This Row],[Cumulative_Value_%]]&lt;=95%,"B","C"))</f>
        <v>A</v>
      </c>
      <c r="Y92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92">
        <f>Table1[[#This Row],[Consumption]]/365</f>
        <v>0.17260273972602741</v>
      </c>
      <c r="AA92">
        <f>Table1[[#This Row],[Avg_Daily_Consumption]]*Table1[[#This Row],[Lead_Time_Days]]+Table1[[#This Row],[Safety_Stock]]</f>
        <v>14.594520547945205</v>
      </c>
      <c r="AB92">
        <f>IFERROR(Table1[[#This Row],[Closing_Stock]]/Table1[[#This Row],[Avg_Daily_Consumption]],9999)</f>
        <v>434.52380952380952</v>
      </c>
      <c r="AC92">
        <f>MAX(1,ROUNDUP(Table1[[#This Row],[Avg_Daily_Consumption]]*Table1[[#This Row],[Lead_Time_Days]]*0.8,0))</f>
        <v>7</v>
      </c>
      <c r="AD92" t="str">
        <f>IF(Table1[[#This Row],[Closing_Stock]]&lt;Table1[[#This Row],[Reorder_Point]],"Stock-out Risk","Adequate")</f>
        <v>Adequate</v>
      </c>
      <c r="AE92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92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92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92" s="11">
        <f>MAX(0,Table1[[#This Row],[Closing_Stock]]-Table1[[#This Row],[Reorder_Point]])</f>
        <v>60.405479452054792</v>
      </c>
      <c r="AI92" s="11">
        <f>Table1[[#This Row],[Excess_Stock_Units]]*Table1[[#This Row],[Unit_Cost_INR]]</f>
        <v>166719.12328767122</v>
      </c>
      <c r="AJ92" s="11">
        <f>IF(Table1[[#This Row],[Criticality]]="Critical",0,Table1[[#This Row],[Excess_Inventory_Value_INR]])</f>
        <v>166719.12328767122</v>
      </c>
      <c r="AK92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93" spans="1:37" x14ac:dyDescent="0.25">
      <c r="A93" t="s">
        <v>508</v>
      </c>
      <c r="B93" t="s">
        <v>165</v>
      </c>
      <c r="C93" t="s">
        <v>32</v>
      </c>
      <c r="D93" t="s">
        <v>60</v>
      </c>
      <c r="E93" t="s">
        <v>28</v>
      </c>
      <c r="F93">
        <v>64</v>
      </c>
      <c r="G93">
        <v>236</v>
      </c>
      <c r="H93">
        <v>7</v>
      </c>
      <c r="I93">
        <v>162</v>
      </c>
      <c r="J93">
        <v>1270</v>
      </c>
      <c r="K93">
        <v>34</v>
      </c>
      <c r="L93">
        <v>1</v>
      </c>
      <c r="M93">
        <v>154</v>
      </c>
      <c r="N93" t="s">
        <v>61</v>
      </c>
      <c r="O93">
        <v>0.20699999999999999</v>
      </c>
      <c r="P93">
        <v>42588.18</v>
      </c>
      <c r="Q93">
        <f>(Table1[[#This Row],[Closing_Stock]]*Table1[[#This Row],[Unit_Cost_INR]])</f>
        <v>205740</v>
      </c>
      <c r="R93">
        <f>(Table1[[#This Row],[Unit_Cost_INR]]*Table1[[#This Row],[Consumption]])</f>
        <v>8890</v>
      </c>
      <c r="S93">
        <f>IFERROR(Table1[[#This Row],[Annual_Consumption_Value_INR]]/Table1[[#This Row],[Inventory_Value_INR]],0)</f>
        <v>4.3209876543209874E-2</v>
      </c>
      <c r="T93">
        <f>IFERROR(365/Table1[[#This Row],[Inventory_Turnover]],0)</f>
        <v>8447.1428571428569</v>
      </c>
      <c r="U93" t="str">
        <f>IF(Table1[[#This Row],[Consumption]]=0,"Non-Moving", IF(Table1[[#This Row],[Days_Since_Last_Movement]]&gt;90,"Slow-Moving","Active"))</f>
        <v>Slow-Moving</v>
      </c>
      <c r="V93">
        <f>SUM($Q$2:Q93)</f>
        <v>48359230</v>
      </c>
      <c r="W93">
        <f>Table1[[#This Row],[Cumulative_Inventory_Value]]/$AP$3</f>
        <v>0.63886641943886391</v>
      </c>
      <c r="X93" t="str">
        <f>IF(Table1[[#This Row],[Cumulative_Value_%]]&lt;80%,"A", IF(Table1[[#This Row],[Cumulative_Value_%]]&lt;=95%,"B","C"))</f>
        <v>A</v>
      </c>
      <c r="Y93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High Review</v>
      </c>
      <c r="Z93">
        <f>Table1[[#This Row],[Consumption]]/365</f>
        <v>1.9178082191780823E-2</v>
      </c>
      <c r="AA93">
        <f>Table1[[#This Row],[Avg_Daily_Consumption]]*Table1[[#This Row],[Lead_Time_Days]]+Table1[[#This Row],[Safety_Stock]]</f>
        <v>1.6520547945205479</v>
      </c>
      <c r="AB93">
        <f>IFERROR(Table1[[#This Row],[Closing_Stock]]/Table1[[#This Row],[Avg_Daily_Consumption]],9999)</f>
        <v>8447.1428571428569</v>
      </c>
      <c r="AC93">
        <f>MAX(1,ROUNDUP(Table1[[#This Row],[Avg_Daily_Consumption]]*Table1[[#This Row],[Lead_Time_Days]]*0.8,0))</f>
        <v>1</v>
      </c>
      <c r="AD93" t="str">
        <f>IF(Table1[[#This Row],[Closing_Stock]]&lt;Table1[[#This Row],[Reorder_Point]],"Stock-out Risk","Adequate")</f>
        <v>Adequate</v>
      </c>
      <c r="AE93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93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 Safety Stock</v>
      </c>
      <c r="AG93">
        <f>IF(Table1[[#This Row],[Action_Recommendation]]="Review for Disposal/De-procurement",Table1[[#This Row],[Inventory_Value_INR]]*70%,IF(Table1[[#This Row],[Action_Recommendation]]="Review Safety Stock",Table1[[#This Row],[Inventory_Value_INR]]*20%,0))</f>
        <v>41148</v>
      </c>
      <c r="AH93" s="11">
        <f>MAX(0,Table1[[#This Row],[Closing_Stock]]-Table1[[#This Row],[Reorder_Point]])</f>
        <v>160.34794520547945</v>
      </c>
      <c r="AI93" s="11">
        <f>Table1[[#This Row],[Excess_Stock_Units]]*Table1[[#This Row],[Unit_Cost_INR]]</f>
        <v>203641.89041095891</v>
      </c>
      <c r="AJ93" s="11">
        <f>IF(Table1[[#This Row],[Criticality]]="Critical",0,Table1[[#This Row],[Excess_Inventory_Value_INR]])</f>
        <v>203641.89041095891</v>
      </c>
      <c r="AK93" s="11">
        <f>IF(AND(Table1[[#This Row],[Criticality]]&lt;&gt;"Critical",OR(Table1[[#This Row],[Movement_Class]]="Slow-Moving",Table1[[#This Row],[Movement_Class]]="Non-Moving")),Table1[[#This Row],[Excess_Inventory_Value_INR]],0)</f>
        <v>203641.89041095891</v>
      </c>
    </row>
    <row r="94" spans="1:37" x14ac:dyDescent="0.25">
      <c r="A94" t="s">
        <v>375</v>
      </c>
      <c r="B94" t="s">
        <v>35</v>
      </c>
      <c r="C94" t="s">
        <v>36</v>
      </c>
      <c r="D94" t="s">
        <v>21</v>
      </c>
      <c r="E94" t="s">
        <v>22</v>
      </c>
      <c r="F94">
        <v>63</v>
      </c>
      <c r="G94">
        <v>126</v>
      </c>
      <c r="H94">
        <v>78</v>
      </c>
      <c r="I94">
        <v>111</v>
      </c>
      <c r="J94">
        <v>1850</v>
      </c>
      <c r="K94">
        <v>6</v>
      </c>
      <c r="L94">
        <v>0</v>
      </c>
      <c r="M94">
        <v>5</v>
      </c>
      <c r="N94" t="s">
        <v>81</v>
      </c>
      <c r="O94">
        <v>0.23400000000000001</v>
      </c>
      <c r="P94">
        <v>48051.9</v>
      </c>
      <c r="Q94">
        <f>(Table1[[#This Row],[Closing_Stock]]*Table1[[#This Row],[Unit_Cost_INR]])</f>
        <v>205350</v>
      </c>
      <c r="R94">
        <f>(Table1[[#This Row],[Unit_Cost_INR]]*Table1[[#This Row],[Consumption]])</f>
        <v>144300</v>
      </c>
      <c r="S94">
        <f>IFERROR(Table1[[#This Row],[Annual_Consumption_Value_INR]]/Table1[[#This Row],[Inventory_Value_INR]],0)</f>
        <v>0.70270270270270274</v>
      </c>
      <c r="T94">
        <f>IFERROR(365/Table1[[#This Row],[Inventory_Turnover]],0)</f>
        <v>519.42307692307691</v>
      </c>
      <c r="U94" t="str">
        <f>IF(Table1[[#This Row],[Consumption]]=0,"Non-Moving", IF(Table1[[#This Row],[Days_Since_Last_Movement]]&gt;90,"Slow-Moving","Active"))</f>
        <v>Active</v>
      </c>
      <c r="V94">
        <f>SUM($Q$2:Q94)</f>
        <v>48564580</v>
      </c>
      <c r="W94">
        <f>Table1[[#This Row],[Cumulative_Inventory_Value]]/$AP$3</f>
        <v>0.64157926700140311</v>
      </c>
      <c r="X94" t="str">
        <f>IF(Table1[[#This Row],[Cumulative_Value_%]]&lt;80%,"A", IF(Table1[[#This Row],[Cumulative_Value_%]]&lt;=95%,"B","C"))</f>
        <v>A</v>
      </c>
      <c r="Y94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94">
        <f>Table1[[#This Row],[Consumption]]/365</f>
        <v>0.21369863013698631</v>
      </c>
      <c r="AA94">
        <f>Table1[[#This Row],[Avg_Daily_Consumption]]*Table1[[#This Row],[Lead_Time_Days]]+Table1[[#This Row],[Safety_Stock]]</f>
        <v>3.2821917808219179</v>
      </c>
      <c r="AB94">
        <f>IFERROR(Table1[[#This Row],[Closing_Stock]]/Table1[[#This Row],[Avg_Daily_Consumption]],9999)</f>
        <v>519.42307692307691</v>
      </c>
      <c r="AC94">
        <f>MAX(1,ROUNDUP(Table1[[#This Row],[Avg_Daily_Consumption]]*Table1[[#This Row],[Lead_Time_Days]]*0.8,0))</f>
        <v>2</v>
      </c>
      <c r="AD94" t="str">
        <f>IF(Table1[[#This Row],[Closing_Stock]]&lt;Table1[[#This Row],[Reorder_Point]],"Stock-out Risk","Adequate")</f>
        <v>Adequate</v>
      </c>
      <c r="AE94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94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94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94" s="11">
        <f>MAX(0,Table1[[#This Row],[Closing_Stock]]-Table1[[#This Row],[Reorder_Point]])</f>
        <v>107.71780821917808</v>
      </c>
      <c r="AI94" s="11">
        <f>Table1[[#This Row],[Excess_Stock_Units]]*Table1[[#This Row],[Unit_Cost_INR]]</f>
        <v>199277.94520547945</v>
      </c>
      <c r="AJ94" s="11">
        <f>IF(Table1[[#This Row],[Criticality]]="Critical",0,Table1[[#This Row],[Excess_Inventory_Value_INR]])</f>
        <v>199277.94520547945</v>
      </c>
      <c r="AK94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95" spans="1:37" x14ac:dyDescent="0.25">
      <c r="A95" t="s">
        <v>460</v>
      </c>
      <c r="B95" t="s">
        <v>40</v>
      </c>
      <c r="C95" t="s">
        <v>41</v>
      </c>
      <c r="D95" t="s">
        <v>66</v>
      </c>
      <c r="E95" t="s">
        <v>46</v>
      </c>
      <c r="F95">
        <v>37</v>
      </c>
      <c r="G95">
        <v>69</v>
      </c>
      <c r="H95">
        <v>2</v>
      </c>
      <c r="I95">
        <v>82</v>
      </c>
      <c r="J95">
        <v>2500</v>
      </c>
      <c r="K95">
        <v>41</v>
      </c>
      <c r="L95">
        <v>0</v>
      </c>
      <c r="M95">
        <v>261</v>
      </c>
      <c r="N95" t="s">
        <v>33</v>
      </c>
      <c r="O95">
        <v>0.214</v>
      </c>
      <c r="P95">
        <v>43870</v>
      </c>
      <c r="Q95">
        <f>(Table1[[#This Row],[Closing_Stock]]*Table1[[#This Row],[Unit_Cost_INR]])</f>
        <v>205000</v>
      </c>
      <c r="R95">
        <f>(Table1[[#This Row],[Unit_Cost_INR]]*Table1[[#This Row],[Consumption]])</f>
        <v>5000</v>
      </c>
      <c r="S95">
        <f>IFERROR(Table1[[#This Row],[Annual_Consumption_Value_INR]]/Table1[[#This Row],[Inventory_Value_INR]],0)</f>
        <v>2.4390243902439025E-2</v>
      </c>
      <c r="T95">
        <f>IFERROR(365/Table1[[#This Row],[Inventory_Turnover]],0)</f>
        <v>14965</v>
      </c>
      <c r="U95" t="str">
        <f>IF(Table1[[#This Row],[Consumption]]=0,"Non-Moving", IF(Table1[[#This Row],[Days_Since_Last_Movement]]&gt;90,"Slow-Moving","Active"))</f>
        <v>Slow-Moving</v>
      </c>
      <c r="V95">
        <f>SUM($Q$2:Q95)</f>
        <v>48769580</v>
      </c>
      <c r="W95">
        <f>Table1[[#This Row],[Cumulative_Inventory_Value]]/$AP$3</f>
        <v>0.64428749076726888</v>
      </c>
      <c r="X95" t="str">
        <f>IF(Table1[[#This Row],[Cumulative_Value_%]]&lt;80%,"A", IF(Table1[[#This Row],[Cumulative_Value_%]]&lt;=95%,"B","C"))</f>
        <v>A</v>
      </c>
      <c r="Y95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High Review</v>
      </c>
      <c r="Z95">
        <f>Table1[[#This Row],[Consumption]]/365</f>
        <v>5.4794520547945206E-3</v>
      </c>
      <c r="AA95">
        <f>Table1[[#This Row],[Avg_Daily_Consumption]]*Table1[[#This Row],[Lead_Time_Days]]+Table1[[#This Row],[Safety_Stock]]</f>
        <v>1.2246575342465753</v>
      </c>
      <c r="AB95">
        <f>IFERROR(Table1[[#This Row],[Closing_Stock]]/Table1[[#This Row],[Avg_Daily_Consumption]],9999)</f>
        <v>14965</v>
      </c>
      <c r="AC95">
        <f>MAX(1,ROUNDUP(Table1[[#This Row],[Avg_Daily_Consumption]]*Table1[[#This Row],[Lead_Time_Days]]*0.8,0))</f>
        <v>1</v>
      </c>
      <c r="AD95" t="str">
        <f>IF(Table1[[#This Row],[Closing_Stock]]&lt;Table1[[#This Row],[Reorder_Point]],"Stock-out Risk","Adequate")</f>
        <v>Adequate</v>
      </c>
      <c r="AE95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95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 Safety Stock</v>
      </c>
      <c r="AG95">
        <f>IF(Table1[[#This Row],[Action_Recommendation]]="Review for Disposal/De-procurement",Table1[[#This Row],[Inventory_Value_INR]]*70%,IF(Table1[[#This Row],[Action_Recommendation]]="Review Safety Stock",Table1[[#This Row],[Inventory_Value_INR]]*20%,0))</f>
        <v>41000</v>
      </c>
      <c r="AH95" s="11">
        <f>MAX(0,Table1[[#This Row],[Closing_Stock]]-Table1[[#This Row],[Reorder_Point]])</f>
        <v>80.775342465753425</v>
      </c>
      <c r="AI95" s="11">
        <f>Table1[[#This Row],[Excess_Stock_Units]]*Table1[[#This Row],[Unit_Cost_INR]]</f>
        <v>201938.35616438356</v>
      </c>
      <c r="AJ95" s="11">
        <f>IF(Table1[[#This Row],[Criticality]]="Critical",0,Table1[[#This Row],[Excess_Inventory_Value_INR]])</f>
        <v>201938.35616438356</v>
      </c>
      <c r="AK95" s="11">
        <f>IF(AND(Table1[[#This Row],[Criticality]]&lt;&gt;"Critical",OR(Table1[[#This Row],[Movement_Class]]="Slow-Moving",Table1[[#This Row],[Movement_Class]]="Non-Moving")),Table1[[#This Row],[Excess_Inventory_Value_INR]],0)</f>
        <v>201938.35616438356</v>
      </c>
    </row>
    <row r="96" spans="1:37" x14ac:dyDescent="0.25">
      <c r="A96" t="s">
        <v>248</v>
      </c>
      <c r="B96" t="s">
        <v>40</v>
      </c>
      <c r="C96" t="s">
        <v>41</v>
      </c>
      <c r="D96" t="s">
        <v>66</v>
      </c>
      <c r="E96" t="s">
        <v>22</v>
      </c>
      <c r="F96">
        <v>104</v>
      </c>
      <c r="G96">
        <v>455</v>
      </c>
      <c r="H96">
        <v>350</v>
      </c>
      <c r="I96">
        <v>209</v>
      </c>
      <c r="J96">
        <v>980</v>
      </c>
      <c r="K96">
        <v>3</v>
      </c>
      <c r="L96">
        <v>0</v>
      </c>
      <c r="M96">
        <v>95</v>
      </c>
      <c r="N96" t="s">
        <v>81</v>
      </c>
      <c r="O96">
        <v>0.23799999999999999</v>
      </c>
      <c r="P96">
        <v>48747.16</v>
      </c>
      <c r="Q96">
        <f>(Table1[[#This Row],[Closing_Stock]]*Table1[[#This Row],[Unit_Cost_INR]])</f>
        <v>204820</v>
      </c>
      <c r="R96">
        <f>(Table1[[#This Row],[Unit_Cost_INR]]*Table1[[#This Row],[Consumption]])</f>
        <v>343000</v>
      </c>
      <c r="S96">
        <f>IFERROR(Table1[[#This Row],[Annual_Consumption_Value_INR]]/Table1[[#This Row],[Inventory_Value_INR]],0)</f>
        <v>1.6746411483253589</v>
      </c>
      <c r="T96">
        <f>IFERROR(365/Table1[[#This Row],[Inventory_Turnover]],0)</f>
        <v>217.95714285714286</v>
      </c>
      <c r="U96" t="str">
        <f>IF(Table1[[#This Row],[Consumption]]=0,"Non-Moving", IF(Table1[[#This Row],[Days_Since_Last_Movement]]&gt;90,"Slow-Moving","Active"))</f>
        <v>Slow-Moving</v>
      </c>
      <c r="V96">
        <f>SUM($Q$2:Q96)</f>
        <v>48974400</v>
      </c>
      <c r="W96">
        <f>Table1[[#This Row],[Cumulative_Inventory_Value]]/$AP$3</f>
        <v>0.64699333658055969</v>
      </c>
      <c r="X96" t="str">
        <f>IF(Table1[[#This Row],[Cumulative_Value_%]]&lt;80%,"A", IF(Table1[[#This Row],[Cumulative_Value_%]]&lt;=95%,"B","C"))</f>
        <v>A</v>
      </c>
      <c r="Y96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High Review</v>
      </c>
      <c r="Z96">
        <f>Table1[[#This Row],[Consumption]]/365</f>
        <v>0.95890410958904104</v>
      </c>
      <c r="AA96">
        <f>Table1[[#This Row],[Avg_Daily_Consumption]]*Table1[[#This Row],[Lead_Time_Days]]+Table1[[#This Row],[Safety_Stock]]</f>
        <v>5.8767123287671232</v>
      </c>
      <c r="AB96">
        <f>IFERROR(Table1[[#This Row],[Closing_Stock]]/Table1[[#This Row],[Avg_Daily_Consumption]],9999)</f>
        <v>217.95714285714286</v>
      </c>
      <c r="AC96">
        <f>MAX(1,ROUNDUP(Table1[[#This Row],[Avg_Daily_Consumption]]*Table1[[#This Row],[Lead_Time_Days]]*0.8,0))</f>
        <v>3</v>
      </c>
      <c r="AD96" t="str">
        <f>IF(Table1[[#This Row],[Closing_Stock]]&lt;Table1[[#This Row],[Reorder_Point]],"Stock-out Risk","Adequate")</f>
        <v>Adequate</v>
      </c>
      <c r="AE96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96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 Safety Stock</v>
      </c>
      <c r="AG96">
        <f>IF(Table1[[#This Row],[Action_Recommendation]]="Review for Disposal/De-procurement",Table1[[#This Row],[Inventory_Value_INR]]*70%,IF(Table1[[#This Row],[Action_Recommendation]]="Review Safety Stock",Table1[[#This Row],[Inventory_Value_INR]]*20%,0))</f>
        <v>40964</v>
      </c>
      <c r="AH96" s="11">
        <f>MAX(0,Table1[[#This Row],[Closing_Stock]]-Table1[[#This Row],[Reorder_Point]])</f>
        <v>203.12328767123287</v>
      </c>
      <c r="AI96" s="11">
        <f>Table1[[#This Row],[Excess_Stock_Units]]*Table1[[#This Row],[Unit_Cost_INR]]</f>
        <v>199060.82191780821</v>
      </c>
      <c r="AJ96" s="11">
        <f>IF(Table1[[#This Row],[Criticality]]="Critical",0,Table1[[#This Row],[Excess_Inventory_Value_INR]])</f>
        <v>199060.82191780821</v>
      </c>
      <c r="AK96" s="11">
        <f>IF(AND(Table1[[#This Row],[Criticality]]&lt;&gt;"Critical",OR(Table1[[#This Row],[Movement_Class]]="Slow-Moving",Table1[[#This Row],[Movement_Class]]="Non-Moving")),Table1[[#This Row],[Excess_Inventory_Value_INR]],0)</f>
        <v>199060.82191780821</v>
      </c>
    </row>
    <row r="97" spans="1:37" x14ac:dyDescent="0.25">
      <c r="A97" t="s">
        <v>147</v>
      </c>
      <c r="B97" t="s">
        <v>73</v>
      </c>
      <c r="C97" t="s">
        <v>41</v>
      </c>
      <c r="D97" t="s">
        <v>60</v>
      </c>
      <c r="E97" t="s">
        <v>22</v>
      </c>
      <c r="F97">
        <v>126</v>
      </c>
      <c r="G97">
        <v>129</v>
      </c>
      <c r="H97">
        <v>117</v>
      </c>
      <c r="I97">
        <v>138</v>
      </c>
      <c r="J97">
        <v>1470</v>
      </c>
      <c r="K97">
        <v>42</v>
      </c>
      <c r="L97">
        <v>0</v>
      </c>
      <c r="M97">
        <v>62</v>
      </c>
      <c r="N97" t="s">
        <v>23</v>
      </c>
      <c r="O97">
        <v>0.29699999999999999</v>
      </c>
      <c r="P97">
        <v>60249.42</v>
      </c>
      <c r="Q97">
        <f>(Table1[[#This Row],[Closing_Stock]]*Table1[[#This Row],[Unit_Cost_INR]])</f>
        <v>202860</v>
      </c>
      <c r="R97">
        <f>(Table1[[#This Row],[Unit_Cost_INR]]*Table1[[#This Row],[Consumption]])</f>
        <v>171990</v>
      </c>
      <c r="S97">
        <f>IFERROR(Table1[[#This Row],[Annual_Consumption_Value_INR]]/Table1[[#This Row],[Inventory_Value_INR]],0)</f>
        <v>0.84782608695652173</v>
      </c>
      <c r="T97">
        <f>IFERROR(365/Table1[[#This Row],[Inventory_Turnover]],0)</f>
        <v>430.5128205128205</v>
      </c>
      <c r="U97" t="str">
        <f>IF(Table1[[#This Row],[Consumption]]=0,"Non-Moving", IF(Table1[[#This Row],[Days_Since_Last_Movement]]&gt;90,"Slow-Moving","Active"))</f>
        <v>Active</v>
      </c>
      <c r="V97">
        <f>SUM($Q$2:Q97)</f>
        <v>49177260</v>
      </c>
      <c r="W97">
        <f>Table1[[#This Row],[Cumulative_Inventory_Value]]/$AP$3</f>
        <v>0.64967328913247935</v>
      </c>
      <c r="X97" t="str">
        <f>IF(Table1[[#This Row],[Cumulative_Value_%]]&lt;80%,"A", IF(Table1[[#This Row],[Cumulative_Value_%]]&lt;=95%,"B","C"))</f>
        <v>A</v>
      </c>
      <c r="Y97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97">
        <f>Table1[[#This Row],[Consumption]]/365</f>
        <v>0.32054794520547947</v>
      </c>
      <c r="AA97">
        <f>Table1[[#This Row],[Avg_Daily_Consumption]]*Table1[[#This Row],[Lead_Time_Days]]+Table1[[#This Row],[Safety_Stock]]</f>
        <v>24.463013698630135</v>
      </c>
      <c r="AB97">
        <f>IFERROR(Table1[[#This Row],[Closing_Stock]]/Table1[[#This Row],[Avg_Daily_Consumption]],9999)</f>
        <v>430.5128205128205</v>
      </c>
      <c r="AC97">
        <f>MAX(1,ROUNDUP(Table1[[#This Row],[Avg_Daily_Consumption]]*Table1[[#This Row],[Lead_Time_Days]]*0.8,0))</f>
        <v>11</v>
      </c>
      <c r="AD97" t="str">
        <f>IF(Table1[[#This Row],[Closing_Stock]]&lt;Table1[[#This Row],[Reorder_Point]],"Stock-out Risk","Adequate")</f>
        <v>Adequate</v>
      </c>
      <c r="AE97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97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97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97" s="11">
        <f>MAX(0,Table1[[#This Row],[Closing_Stock]]-Table1[[#This Row],[Reorder_Point]])</f>
        <v>113.53698630136986</v>
      </c>
      <c r="AI97" s="11">
        <f>Table1[[#This Row],[Excess_Stock_Units]]*Table1[[#This Row],[Unit_Cost_INR]]</f>
        <v>166899.36986301371</v>
      </c>
      <c r="AJ97" s="11">
        <f>IF(Table1[[#This Row],[Criticality]]="Critical",0,Table1[[#This Row],[Excess_Inventory_Value_INR]])</f>
        <v>166899.36986301371</v>
      </c>
      <c r="AK97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98" spans="1:37" x14ac:dyDescent="0.25">
      <c r="A98" t="s">
        <v>188</v>
      </c>
      <c r="B98" t="s">
        <v>97</v>
      </c>
      <c r="C98" t="s">
        <v>52</v>
      </c>
      <c r="D98" t="s">
        <v>60</v>
      </c>
      <c r="E98" t="s">
        <v>22</v>
      </c>
      <c r="F98">
        <v>20</v>
      </c>
      <c r="G98">
        <v>5</v>
      </c>
      <c r="H98">
        <v>1</v>
      </c>
      <c r="I98">
        <v>71</v>
      </c>
      <c r="J98">
        <v>2850</v>
      </c>
      <c r="K98">
        <v>33</v>
      </c>
      <c r="L98">
        <v>0</v>
      </c>
      <c r="M98">
        <v>103</v>
      </c>
      <c r="N98" t="s">
        <v>33</v>
      </c>
      <c r="O98">
        <v>0.27700000000000002</v>
      </c>
      <c r="P98">
        <v>56050.95</v>
      </c>
      <c r="Q98">
        <f>(Table1[[#This Row],[Closing_Stock]]*Table1[[#This Row],[Unit_Cost_INR]])</f>
        <v>202350</v>
      </c>
      <c r="R98">
        <f>(Table1[[#This Row],[Unit_Cost_INR]]*Table1[[#This Row],[Consumption]])</f>
        <v>2850</v>
      </c>
      <c r="S98">
        <f>IFERROR(Table1[[#This Row],[Annual_Consumption_Value_INR]]/Table1[[#This Row],[Inventory_Value_INR]],0)</f>
        <v>1.4084507042253521E-2</v>
      </c>
      <c r="T98">
        <f>IFERROR(365/Table1[[#This Row],[Inventory_Turnover]],0)</f>
        <v>25915</v>
      </c>
      <c r="U98" t="str">
        <f>IF(Table1[[#This Row],[Consumption]]=0,"Non-Moving", IF(Table1[[#This Row],[Days_Since_Last_Movement]]&gt;90,"Slow-Moving","Active"))</f>
        <v>Slow-Moving</v>
      </c>
      <c r="V98">
        <f>SUM($Q$2:Q98)</f>
        <v>49379610</v>
      </c>
      <c r="W98">
        <f>Table1[[#This Row],[Cumulative_Inventory_Value]]/$AP$3</f>
        <v>0.65234650415210338</v>
      </c>
      <c r="X98" t="str">
        <f>IF(Table1[[#This Row],[Cumulative_Value_%]]&lt;80%,"A", IF(Table1[[#This Row],[Cumulative_Value_%]]&lt;=95%,"B","C"))</f>
        <v>A</v>
      </c>
      <c r="Y98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High Review</v>
      </c>
      <c r="Z98">
        <f>Table1[[#This Row],[Consumption]]/365</f>
        <v>2.7397260273972603E-3</v>
      </c>
      <c r="AA98">
        <f>Table1[[#This Row],[Avg_Daily_Consumption]]*Table1[[#This Row],[Lead_Time_Days]]+Table1[[#This Row],[Safety_Stock]]</f>
        <v>1.0904109589041096</v>
      </c>
      <c r="AB98">
        <f>IFERROR(Table1[[#This Row],[Closing_Stock]]/Table1[[#This Row],[Avg_Daily_Consumption]],9999)</f>
        <v>25915</v>
      </c>
      <c r="AC98">
        <f>MAX(1,ROUNDUP(Table1[[#This Row],[Avg_Daily_Consumption]]*Table1[[#This Row],[Lead_Time_Days]]*0.8,0))</f>
        <v>1</v>
      </c>
      <c r="AD98" t="str">
        <f>IF(Table1[[#This Row],[Closing_Stock]]&lt;Table1[[#This Row],[Reorder_Point]],"Stock-out Risk","Adequate")</f>
        <v>Adequate</v>
      </c>
      <c r="AE98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98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 Safety Stock</v>
      </c>
      <c r="AG98">
        <f>IF(Table1[[#This Row],[Action_Recommendation]]="Review for Disposal/De-procurement",Table1[[#This Row],[Inventory_Value_INR]]*70%,IF(Table1[[#This Row],[Action_Recommendation]]="Review Safety Stock",Table1[[#This Row],[Inventory_Value_INR]]*20%,0))</f>
        <v>40470</v>
      </c>
      <c r="AH98" s="11">
        <f>MAX(0,Table1[[#This Row],[Closing_Stock]]-Table1[[#This Row],[Reorder_Point]])</f>
        <v>69.909589041095884</v>
      </c>
      <c r="AI98" s="11">
        <f>Table1[[#This Row],[Excess_Stock_Units]]*Table1[[#This Row],[Unit_Cost_INR]]</f>
        <v>199242.32876712328</v>
      </c>
      <c r="AJ98" s="11">
        <f>IF(Table1[[#This Row],[Criticality]]="Critical",0,Table1[[#This Row],[Excess_Inventory_Value_INR]])</f>
        <v>199242.32876712328</v>
      </c>
      <c r="AK98" s="11">
        <f>IF(AND(Table1[[#This Row],[Criticality]]&lt;&gt;"Critical",OR(Table1[[#This Row],[Movement_Class]]="Slow-Moving",Table1[[#This Row],[Movement_Class]]="Non-Moving")),Table1[[#This Row],[Excess_Inventory_Value_INR]],0)</f>
        <v>199242.32876712328</v>
      </c>
    </row>
    <row r="99" spans="1:37" x14ac:dyDescent="0.25">
      <c r="A99" t="s">
        <v>404</v>
      </c>
      <c r="B99" t="s">
        <v>165</v>
      </c>
      <c r="C99" t="s">
        <v>32</v>
      </c>
      <c r="D99" t="s">
        <v>42</v>
      </c>
      <c r="E99" t="s">
        <v>22</v>
      </c>
      <c r="F99">
        <v>30</v>
      </c>
      <c r="G99">
        <v>48</v>
      </c>
      <c r="H99">
        <v>47</v>
      </c>
      <c r="I99">
        <v>31</v>
      </c>
      <c r="J99">
        <v>6510</v>
      </c>
      <c r="K99">
        <v>38</v>
      </c>
      <c r="L99">
        <v>0</v>
      </c>
      <c r="M99">
        <v>38</v>
      </c>
      <c r="N99" t="s">
        <v>81</v>
      </c>
      <c r="O99">
        <v>0.255</v>
      </c>
      <c r="P99">
        <v>51461.55</v>
      </c>
      <c r="Q99">
        <f>(Table1[[#This Row],[Closing_Stock]]*Table1[[#This Row],[Unit_Cost_INR]])</f>
        <v>201810</v>
      </c>
      <c r="R99">
        <f>(Table1[[#This Row],[Unit_Cost_INR]]*Table1[[#This Row],[Consumption]])</f>
        <v>305970</v>
      </c>
      <c r="S99">
        <f>IFERROR(Table1[[#This Row],[Annual_Consumption_Value_INR]]/Table1[[#This Row],[Inventory_Value_INR]],0)</f>
        <v>1.5161290322580645</v>
      </c>
      <c r="T99">
        <f>IFERROR(365/Table1[[#This Row],[Inventory_Turnover]],0)</f>
        <v>240.74468085106383</v>
      </c>
      <c r="U99" t="str">
        <f>IF(Table1[[#This Row],[Consumption]]=0,"Non-Moving", IF(Table1[[#This Row],[Days_Since_Last_Movement]]&gt;90,"Slow-Moving","Active"))</f>
        <v>Active</v>
      </c>
      <c r="V99">
        <f>SUM($Q$2:Q99)</f>
        <v>49581420</v>
      </c>
      <c r="W99">
        <f>Table1[[#This Row],[Cumulative_Inventory_Value]]/$AP$3</f>
        <v>0.65501258531400264</v>
      </c>
      <c r="X99" t="str">
        <f>IF(Table1[[#This Row],[Cumulative_Value_%]]&lt;80%,"A", IF(Table1[[#This Row],[Cumulative_Value_%]]&lt;=95%,"B","C"))</f>
        <v>A</v>
      </c>
      <c r="Y99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99">
        <f>Table1[[#This Row],[Consumption]]/365</f>
        <v>0.12876712328767123</v>
      </c>
      <c r="AA99">
        <f>Table1[[#This Row],[Avg_Daily_Consumption]]*Table1[[#This Row],[Lead_Time_Days]]+Table1[[#This Row],[Safety_Stock]]</f>
        <v>8.8931506849315056</v>
      </c>
      <c r="AB99">
        <f>IFERROR(Table1[[#This Row],[Closing_Stock]]/Table1[[#This Row],[Avg_Daily_Consumption]],9999)</f>
        <v>240.74468085106383</v>
      </c>
      <c r="AC99">
        <f>MAX(1,ROUNDUP(Table1[[#This Row],[Avg_Daily_Consumption]]*Table1[[#This Row],[Lead_Time_Days]]*0.8,0))</f>
        <v>4</v>
      </c>
      <c r="AD99" t="str">
        <f>IF(Table1[[#This Row],[Closing_Stock]]&lt;Table1[[#This Row],[Reorder_Point]],"Stock-out Risk","Adequate")</f>
        <v>Adequate</v>
      </c>
      <c r="AE99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99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99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99" s="11">
        <f>MAX(0,Table1[[#This Row],[Closing_Stock]]-Table1[[#This Row],[Reorder_Point]])</f>
        <v>22.106849315068494</v>
      </c>
      <c r="AI99" s="11">
        <f>Table1[[#This Row],[Excess_Stock_Units]]*Table1[[#This Row],[Unit_Cost_INR]]</f>
        <v>143915.5890410959</v>
      </c>
      <c r="AJ99" s="11">
        <f>IF(Table1[[#This Row],[Criticality]]="Critical",0,Table1[[#This Row],[Excess_Inventory_Value_INR]])</f>
        <v>143915.5890410959</v>
      </c>
      <c r="AK99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100" spans="1:37" x14ac:dyDescent="0.25">
      <c r="A100" t="s">
        <v>455</v>
      </c>
      <c r="B100" t="s">
        <v>150</v>
      </c>
      <c r="C100" t="s">
        <v>36</v>
      </c>
      <c r="D100" t="s">
        <v>60</v>
      </c>
      <c r="E100" t="s">
        <v>28</v>
      </c>
      <c r="F100">
        <v>31</v>
      </c>
      <c r="G100">
        <v>28</v>
      </c>
      <c r="H100">
        <v>18</v>
      </c>
      <c r="I100">
        <v>41</v>
      </c>
      <c r="J100">
        <v>4910</v>
      </c>
      <c r="K100">
        <v>49</v>
      </c>
      <c r="L100">
        <v>0</v>
      </c>
      <c r="M100">
        <v>57</v>
      </c>
      <c r="N100" t="s">
        <v>58</v>
      </c>
      <c r="O100">
        <v>0.23699999999999999</v>
      </c>
      <c r="P100">
        <v>47710.47</v>
      </c>
      <c r="Q100">
        <f>(Table1[[#This Row],[Closing_Stock]]*Table1[[#This Row],[Unit_Cost_INR]])</f>
        <v>201310</v>
      </c>
      <c r="R100">
        <f>(Table1[[#This Row],[Unit_Cost_INR]]*Table1[[#This Row],[Consumption]])</f>
        <v>88380</v>
      </c>
      <c r="S100">
        <f>IFERROR(Table1[[#This Row],[Annual_Consumption_Value_INR]]/Table1[[#This Row],[Inventory_Value_INR]],0)</f>
        <v>0.43902439024390244</v>
      </c>
      <c r="T100">
        <f>IFERROR(365/Table1[[#This Row],[Inventory_Turnover]],0)</f>
        <v>831.38888888888891</v>
      </c>
      <c r="U100" t="str">
        <f>IF(Table1[[#This Row],[Consumption]]=0,"Non-Moving", IF(Table1[[#This Row],[Days_Since_Last_Movement]]&gt;90,"Slow-Moving","Active"))</f>
        <v>Active</v>
      </c>
      <c r="V100">
        <f>SUM($Q$2:Q100)</f>
        <v>49782730</v>
      </c>
      <c r="W100">
        <f>Table1[[#This Row],[Cumulative_Inventory_Value]]/$AP$3</f>
        <v>0.65767206105208287</v>
      </c>
      <c r="X100" t="str">
        <f>IF(Table1[[#This Row],[Cumulative_Value_%]]&lt;80%,"A", IF(Table1[[#This Row],[Cumulative_Value_%]]&lt;=95%,"B","C"))</f>
        <v>A</v>
      </c>
      <c r="Y100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100">
        <f>Table1[[#This Row],[Consumption]]/365</f>
        <v>4.9315068493150684E-2</v>
      </c>
      <c r="AA100">
        <f>Table1[[#This Row],[Avg_Daily_Consumption]]*Table1[[#This Row],[Lead_Time_Days]]+Table1[[#This Row],[Safety_Stock]]</f>
        <v>4.4164383561643836</v>
      </c>
      <c r="AB100">
        <f>IFERROR(Table1[[#This Row],[Closing_Stock]]/Table1[[#This Row],[Avg_Daily_Consumption]],9999)</f>
        <v>831.38888888888891</v>
      </c>
      <c r="AC100">
        <f>MAX(1,ROUNDUP(Table1[[#This Row],[Avg_Daily_Consumption]]*Table1[[#This Row],[Lead_Time_Days]]*0.8,0))</f>
        <v>2</v>
      </c>
      <c r="AD100" t="str">
        <f>IF(Table1[[#This Row],[Closing_Stock]]&lt;Table1[[#This Row],[Reorder_Point]],"Stock-out Risk","Adequate")</f>
        <v>Adequate</v>
      </c>
      <c r="AE100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100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100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100" s="11">
        <f>MAX(0,Table1[[#This Row],[Closing_Stock]]-Table1[[#This Row],[Reorder_Point]])</f>
        <v>36.583561643835615</v>
      </c>
      <c r="AI100" s="11">
        <f>Table1[[#This Row],[Excess_Stock_Units]]*Table1[[#This Row],[Unit_Cost_INR]]</f>
        <v>179625.28767123286</v>
      </c>
      <c r="AJ100" s="11">
        <f>IF(Table1[[#This Row],[Criticality]]="Critical",0,Table1[[#This Row],[Excess_Inventory_Value_INR]])</f>
        <v>179625.28767123286</v>
      </c>
      <c r="AK100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101" spans="1:37" x14ac:dyDescent="0.25">
      <c r="A101" t="s">
        <v>302</v>
      </c>
      <c r="B101" t="s">
        <v>54</v>
      </c>
      <c r="C101" t="s">
        <v>36</v>
      </c>
      <c r="D101" t="s">
        <v>27</v>
      </c>
      <c r="E101" t="s">
        <v>37</v>
      </c>
      <c r="F101">
        <v>29</v>
      </c>
      <c r="G101">
        <v>39</v>
      </c>
      <c r="H101">
        <v>31</v>
      </c>
      <c r="I101">
        <v>37</v>
      </c>
      <c r="J101">
        <v>5370</v>
      </c>
      <c r="K101">
        <v>27</v>
      </c>
      <c r="L101">
        <v>0</v>
      </c>
      <c r="M101">
        <v>238</v>
      </c>
      <c r="N101" t="s">
        <v>23</v>
      </c>
      <c r="O101">
        <v>0.23200000000000001</v>
      </c>
      <c r="P101">
        <v>46096.08</v>
      </c>
      <c r="Q101">
        <f>(Table1[[#This Row],[Closing_Stock]]*Table1[[#This Row],[Unit_Cost_INR]])</f>
        <v>198690</v>
      </c>
      <c r="R101">
        <f>(Table1[[#This Row],[Unit_Cost_INR]]*Table1[[#This Row],[Consumption]])</f>
        <v>166470</v>
      </c>
      <c r="S101">
        <f>IFERROR(Table1[[#This Row],[Annual_Consumption_Value_INR]]/Table1[[#This Row],[Inventory_Value_INR]],0)</f>
        <v>0.83783783783783783</v>
      </c>
      <c r="T101">
        <f>IFERROR(365/Table1[[#This Row],[Inventory_Turnover]],0)</f>
        <v>435.64516129032256</v>
      </c>
      <c r="U101" t="str">
        <f>IF(Table1[[#This Row],[Consumption]]=0,"Non-Moving", IF(Table1[[#This Row],[Days_Since_Last_Movement]]&gt;90,"Slow-Moving","Active"))</f>
        <v>Slow-Moving</v>
      </c>
      <c r="V101">
        <f>SUM($Q$2:Q101)</f>
        <v>49981420</v>
      </c>
      <c r="W101">
        <f>Table1[[#This Row],[Cumulative_Inventory_Value]]/$AP$3</f>
        <v>0.6602969243693505</v>
      </c>
      <c r="X101" t="str">
        <f>IF(Table1[[#This Row],[Cumulative_Value_%]]&lt;80%,"A", IF(Table1[[#This Row],[Cumulative_Value_%]]&lt;=95%,"B","C"))</f>
        <v>A</v>
      </c>
      <c r="Y101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High Review</v>
      </c>
      <c r="Z101">
        <f>Table1[[#This Row],[Consumption]]/365</f>
        <v>8.4931506849315067E-2</v>
      </c>
      <c r="AA101">
        <f>Table1[[#This Row],[Avg_Daily_Consumption]]*Table1[[#This Row],[Lead_Time_Days]]+Table1[[#This Row],[Safety_Stock]]</f>
        <v>4.2931506849315069</v>
      </c>
      <c r="AB101">
        <f>IFERROR(Table1[[#This Row],[Closing_Stock]]/Table1[[#This Row],[Avg_Daily_Consumption]],9999)</f>
        <v>435.64516129032256</v>
      </c>
      <c r="AC101">
        <f>MAX(1,ROUNDUP(Table1[[#This Row],[Avg_Daily_Consumption]]*Table1[[#This Row],[Lead_Time_Days]]*0.8,0))</f>
        <v>2</v>
      </c>
      <c r="AD101" t="str">
        <f>IF(Table1[[#This Row],[Closing_Stock]]&lt;Table1[[#This Row],[Reorder_Point]],"Stock-out Risk","Adequate")</f>
        <v>Adequate</v>
      </c>
      <c r="AE101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101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101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101" s="11">
        <f>MAX(0,Table1[[#This Row],[Closing_Stock]]-Table1[[#This Row],[Reorder_Point]])</f>
        <v>32.706849315068496</v>
      </c>
      <c r="AI101" s="11">
        <f>Table1[[#This Row],[Excess_Stock_Units]]*Table1[[#This Row],[Unit_Cost_INR]]</f>
        <v>175635.78082191781</v>
      </c>
      <c r="AJ101" s="11">
        <f>IF(Table1[[#This Row],[Criticality]]="Critical",0,Table1[[#This Row],[Excess_Inventory_Value_INR]])</f>
        <v>0</v>
      </c>
      <c r="AK101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102" spans="1:37" x14ac:dyDescent="0.25">
      <c r="A102" t="s">
        <v>286</v>
      </c>
      <c r="B102" t="s">
        <v>85</v>
      </c>
      <c r="C102" t="s">
        <v>41</v>
      </c>
      <c r="D102" t="s">
        <v>45</v>
      </c>
      <c r="E102" t="s">
        <v>22</v>
      </c>
      <c r="F102">
        <v>23</v>
      </c>
      <c r="G102">
        <v>6</v>
      </c>
      <c r="H102">
        <v>4</v>
      </c>
      <c r="I102">
        <v>25</v>
      </c>
      <c r="J102">
        <v>7920</v>
      </c>
      <c r="K102">
        <v>36</v>
      </c>
      <c r="L102">
        <v>0</v>
      </c>
      <c r="M102">
        <v>98</v>
      </c>
      <c r="N102" t="s">
        <v>49</v>
      </c>
      <c r="O102">
        <v>0.218</v>
      </c>
      <c r="P102">
        <v>43164</v>
      </c>
      <c r="Q102">
        <f>(Table1[[#This Row],[Closing_Stock]]*Table1[[#This Row],[Unit_Cost_INR]])</f>
        <v>198000</v>
      </c>
      <c r="R102">
        <f>(Table1[[#This Row],[Unit_Cost_INR]]*Table1[[#This Row],[Consumption]])</f>
        <v>31680</v>
      </c>
      <c r="S102">
        <f>IFERROR(Table1[[#This Row],[Annual_Consumption_Value_INR]]/Table1[[#This Row],[Inventory_Value_INR]],0)</f>
        <v>0.16</v>
      </c>
      <c r="T102">
        <f>IFERROR(365/Table1[[#This Row],[Inventory_Turnover]],0)</f>
        <v>2281.25</v>
      </c>
      <c r="U102" t="str">
        <f>IF(Table1[[#This Row],[Consumption]]=0,"Non-Moving", IF(Table1[[#This Row],[Days_Since_Last_Movement]]&gt;90,"Slow-Moving","Active"))</f>
        <v>Slow-Moving</v>
      </c>
      <c r="V102">
        <f>SUM($Q$2:Q102)</f>
        <v>50179420</v>
      </c>
      <c r="W102">
        <f>Table1[[#This Row],[Cumulative_Inventory_Value]]/$AP$3</f>
        <v>0.66291267220174765</v>
      </c>
      <c r="X102" t="str">
        <f>IF(Table1[[#This Row],[Cumulative_Value_%]]&lt;80%,"A", IF(Table1[[#This Row],[Cumulative_Value_%]]&lt;=95%,"B","C"))</f>
        <v>A</v>
      </c>
      <c r="Y102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High Review</v>
      </c>
      <c r="Z102">
        <f>Table1[[#This Row],[Consumption]]/365</f>
        <v>1.0958904109589041E-2</v>
      </c>
      <c r="AA102">
        <f>Table1[[#This Row],[Avg_Daily_Consumption]]*Table1[[#This Row],[Lead_Time_Days]]+Table1[[#This Row],[Safety_Stock]]</f>
        <v>1.3945205479452054</v>
      </c>
      <c r="AB102">
        <f>IFERROR(Table1[[#This Row],[Closing_Stock]]/Table1[[#This Row],[Avg_Daily_Consumption]],9999)</f>
        <v>2281.25</v>
      </c>
      <c r="AC102">
        <f>MAX(1,ROUNDUP(Table1[[#This Row],[Avg_Daily_Consumption]]*Table1[[#This Row],[Lead_Time_Days]]*0.8,0))</f>
        <v>1</v>
      </c>
      <c r="AD102" t="str">
        <f>IF(Table1[[#This Row],[Closing_Stock]]&lt;Table1[[#This Row],[Reorder_Point]],"Stock-out Risk","Adequate")</f>
        <v>Adequate</v>
      </c>
      <c r="AE102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102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 Safety Stock</v>
      </c>
      <c r="AG102">
        <f>IF(Table1[[#This Row],[Action_Recommendation]]="Review for Disposal/De-procurement",Table1[[#This Row],[Inventory_Value_INR]]*70%,IF(Table1[[#This Row],[Action_Recommendation]]="Review Safety Stock",Table1[[#This Row],[Inventory_Value_INR]]*20%,0))</f>
        <v>39600</v>
      </c>
      <c r="AH102" s="11">
        <f>MAX(0,Table1[[#This Row],[Closing_Stock]]-Table1[[#This Row],[Reorder_Point]])</f>
        <v>23.605479452054794</v>
      </c>
      <c r="AI102" s="11">
        <f>Table1[[#This Row],[Excess_Stock_Units]]*Table1[[#This Row],[Unit_Cost_INR]]</f>
        <v>186955.39726027398</v>
      </c>
      <c r="AJ102" s="11">
        <f>IF(Table1[[#This Row],[Criticality]]="Critical",0,Table1[[#This Row],[Excess_Inventory_Value_INR]])</f>
        <v>186955.39726027398</v>
      </c>
      <c r="AK102" s="11">
        <f>IF(AND(Table1[[#This Row],[Criticality]]&lt;&gt;"Critical",OR(Table1[[#This Row],[Movement_Class]]="Slow-Moving",Table1[[#This Row],[Movement_Class]]="Non-Moving")),Table1[[#This Row],[Excess_Inventory_Value_INR]],0)</f>
        <v>186955.39726027398</v>
      </c>
    </row>
    <row r="103" spans="1:37" x14ac:dyDescent="0.25">
      <c r="A103" t="s">
        <v>397</v>
      </c>
      <c r="B103" t="s">
        <v>25</v>
      </c>
      <c r="C103" t="s">
        <v>26</v>
      </c>
      <c r="D103" t="s">
        <v>27</v>
      </c>
      <c r="E103" t="s">
        <v>46</v>
      </c>
      <c r="F103">
        <v>14</v>
      </c>
      <c r="G103">
        <v>55</v>
      </c>
      <c r="H103">
        <v>4</v>
      </c>
      <c r="I103">
        <v>98</v>
      </c>
      <c r="J103">
        <v>2020</v>
      </c>
      <c r="K103">
        <v>54</v>
      </c>
      <c r="L103">
        <v>0</v>
      </c>
      <c r="M103">
        <v>188</v>
      </c>
      <c r="N103" t="s">
        <v>29</v>
      </c>
      <c r="O103">
        <v>0.20599999999999999</v>
      </c>
      <c r="P103">
        <v>40779.759999999987</v>
      </c>
      <c r="Q103">
        <f>(Table1[[#This Row],[Closing_Stock]]*Table1[[#This Row],[Unit_Cost_INR]])</f>
        <v>197960</v>
      </c>
      <c r="R103">
        <f>(Table1[[#This Row],[Unit_Cost_INR]]*Table1[[#This Row],[Consumption]])</f>
        <v>8080</v>
      </c>
      <c r="S103">
        <f>IFERROR(Table1[[#This Row],[Annual_Consumption_Value_INR]]/Table1[[#This Row],[Inventory_Value_INR]],0)</f>
        <v>4.0816326530612242E-2</v>
      </c>
      <c r="T103">
        <f>IFERROR(365/Table1[[#This Row],[Inventory_Turnover]],0)</f>
        <v>8942.5</v>
      </c>
      <c r="U103" t="str">
        <f>IF(Table1[[#This Row],[Consumption]]=0,"Non-Moving", IF(Table1[[#This Row],[Days_Since_Last_Movement]]&gt;90,"Slow-Moving","Active"))</f>
        <v>Slow-Moving</v>
      </c>
      <c r="V103">
        <f>SUM($Q$2:Q103)</f>
        <v>50377380</v>
      </c>
      <c r="W103">
        <f>Table1[[#This Row],[Cumulative_Inventory_Value]]/$AP$3</f>
        <v>0.66552789160023917</v>
      </c>
      <c r="X103" t="str">
        <f>IF(Table1[[#This Row],[Cumulative_Value_%]]&lt;80%,"A", IF(Table1[[#This Row],[Cumulative_Value_%]]&lt;=95%,"B","C"))</f>
        <v>A</v>
      </c>
      <c r="Y103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High Review</v>
      </c>
      <c r="Z103">
        <f>Table1[[#This Row],[Consumption]]/365</f>
        <v>1.0958904109589041E-2</v>
      </c>
      <c r="AA103">
        <f>Table1[[#This Row],[Avg_Daily_Consumption]]*Table1[[#This Row],[Lead_Time_Days]]+Table1[[#This Row],[Safety_Stock]]</f>
        <v>1.5917808219178082</v>
      </c>
      <c r="AB103">
        <f>IFERROR(Table1[[#This Row],[Closing_Stock]]/Table1[[#This Row],[Avg_Daily_Consumption]],9999)</f>
        <v>8942.5</v>
      </c>
      <c r="AC103">
        <f>MAX(1,ROUNDUP(Table1[[#This Row],[Avg_Daily_Consumption]]*Table1[[#This Row],[Lead_Time_Days]]*0.8,0))</f>
        <v>1</v>
      </c>
      <c r="AD103" t="str">
        <f>IF(Table1[[#This Row],[Closing_Stock]]&lt;Table1[[#This Row],[Reorder_Point]],"Stock-out Risk","Adequate")</f>
        <v>Adequate</v>
      </c>
      <c r="AE103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103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 Safety Stock</v>
      </c>
      <c r="AG103">
        <f>IF(Table1[[#This Row],[Action_Recommendation]]="Review for Disposal/De-procurement",Table1[[#This Row],[Inventory_Value_INR]]*70%,IF(Table1[[#This Row],[Action_Recommendation]]="Review Safety Stock",Table1[[#This Row],[Inventory_Value_INR]]*20%,0))</f>
        <v>39592</v>
      </c>
      <c r="AH103" s="11">
        <f>MAX(0,Table1[[#This Row],[Closing_Stock]]-Table1[[#This Row],[Reorder_Point]])</f>
        <v>96.408219178082192</v>
      </c>
      <c r="AI103" s="11">
        <f>Table1[[#This Row],[Excess_Stock_Units]]*Table1[[#This Row],[Unit_Cost_INR]]</f>
        <v>194744.60273972602</v>
      </c>
      <c r="AJ103" s="11">
        <f>IF(Table1[[#This Row],[Criticality]]="Critical",0,Table1[[#This Row],[Excess_Inventory_Value_INR]])</f>
        <v>194744.60273972602</v>
      </c>
      <c r="AK103" s="11">
        <f>IF(AND(Table1[[#This Row],[Criticality]]&lt;&gt;"Critical",OR(Table1[[#This Row],[Movement_Class]]="Slow-Moving",Table1[[#This Row],[Movement_Class]]="Non-Moving")),Table1[[#This Row],[Excess_Inventory_Value_INR]],0)</f>
        <v>194744.60273972602</v>
      </c>
    </row>
    <row r="104" spans="1:37" x14ac:dyDescent="0.25">
      <c r="A104" t="s">
        <v>340</v>
      </c>
      <c r="B104" t="s">
        <v>31</v>
      </c>
      <c r="C104" t="s">
        <v>32</v>
      </c>
      <c r="D104" t="s">
        <v>45</v>
      </c>
      <c r="E104" t="s">
        <v>37</v>
      </c>
      <c r="F104">
        <v>36</v>
      </c>
      <c r="G104">
        <v>31</v>
      </c>
      <c r="H104">
        <v>22</v>
      </c>
      <c r="I104">
        <v>45</v>
      </c>
      <c r="J104">
        <v>4380</v>
      </c>
      <c r="K104">
        <v>24</v>
      </c>
      <c r="L104">
        <v>0</v>
      </c>
      <c r="M104">
        <v>136</v>
      </c>
      <c r="N104" t="s">
        <v>29</v>
      </c>
      <c r="O104">
        <v>0.27600000000000002</v>
      </c>
      <c r="P104">
        <v>54399.600000000013</v>
      </c>
      <c r="Q104">
        <f>(Table1[[#This Row],[Closing_Stock]]*Table1[[#This Row],[Unit_Cost_INR]])</f>
        <v>197100</v>
      </c>
      <c r="R104">
        <f>(Table1[[#This Row],[Unit_Cost_INR]]*Table1[[#This Row],[Consumption]])</f>
        <v>96360</v>
      </c>
      <c r="S104">
        <f>IFERROR(Table1[[#This Row],[Annual_Consumption_Value_INR]]/Table1[[#This Row],[Inventory_Value_INR]],0)</f>
        <v>0.48888888888888887</v>
      </c>
      <c r="T104">
        <f>IFERROR(365/Table1[[#This Row],[Inventory_Turnover]],0)</f>
        <v>746.59090909090912</v>
      </c>
      <c r="U104" t="str">
        <f>IF(Table1[[#This Row],[Consumption]]=0,"Non-Moving", IF(Table1[[#This Row],[Days_Since_Last_Movement]]&gt;90,"Slow-Moving","Active"))</f>
        <v>Slow-Moving</v>
      </c>
      <c r="V104">
        <f>SUM($Q$2:Q104)</f>
        <v>50574480</v>
      </c>
      <c r="W104">
        <f>Table1[[#This Row],[Cumulative_Inventory_Value]]/$AP$3</f>
        <v>0.66813174966976185</v>
      </c>
      <c r="X104" t="str">
        <f>IF(Table1[[#This Row],[Cumulative_Value_%]]&lt;80%,"A", IF(Table1[[#This Row],[Cumulative_Value_%]]&lt;=95%,"B","C"))</f>
        <v>A</v>
      </c>
      <c r="Y104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High Review</v>
      </c>
      <c r="Z104">
        <f>Table1[[#This Row],[Consumption]]/365</f>
        <v>6.0273972602739728E-2</v>
      </c>
      <c r="AA104">
        <f>Table1[[#This Row],[Avg_Daily_Consumption]]*Table1[[#This Row],[Lead_Time_Days]]+Table1[[#This Row],[Safety_Stock]]</f>
        <v>3.4465753424657537</v>
      </c>
      <c r="AB104">
        <f>IFERROR(Table1[[#This Row],[Closing_Stock]]/Table1[[#This Row],[Avg_Daily_Consumption]],9999)</f>
        <v>746.59090909090901</v>
      </c>
      <c r="AC104">
        <f>MAX(1,ROUNDUP(Table1[[#This Row],[Avg_Daily_Consumption]]*Table1[[#This Row],[Lead_Time_Days]]*0.8,0))</f>
        <v>2</v>
      </c>
      <c r="AD104" t="str">
        <f>IF(Table1[[#This Row],[Closing_Stock]]&lt;Table1[[#This Row],[Reorder_Point]],"Stock-out Risk","Adequate")</f>
        <v>Adequate</v>
      </c>
      <c r="AE104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104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104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104" s="11">
        <f>MAX(0,Table1[[#This Row],[Closing_Stock]]-Table1[[#This Row],[Reorder_Point]])</f>
        <v>41.553424657534244</v>
      </c>
      <c r="AI104" s="11">
        <f>Table1[[#This Row],[Excess_Stock_Units]]*Table1[[#This Row],[Unit_Cost_INR]]</f>
        <v>182004</v>
      </c>
      <c r="AJ104" s="11">
        <f>IF(Table1[[#This Row],[Criticality]]="Critical",0,Table1[[#This Row],[Excess_Inventory_Value_INR]])</f>
        <v>0</v>
      </c>
      <c r="AK104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105" spans="1:37" x14ac:dyDescent="0.25">
      <c r="A105" t="s">
        <v>68</v>
      </c>
      <c r="B105" t="s">
        <v>19</v>
      </c>
      <c r="C105" t="s">
        <v>20</v>
      </c>
      <c r="D105" t="s">
        <v>42</v>
      </c>
      <c r="E105" t="s">
        <v>22</v>
      </c>
      <c r="F105">
        <v>18</v>
      </c>
      <c r="G105">
        <v>36</v>
      </c>
      <c r="H105">
        <v>27</v>
      </c>
      <c r="I105">
        <v>27</v>
      </c>
      <c r="J105">
        <v>7260</v>
      </c>
      <c r="K105">
        <v>44</v>
      </c>
      <c r="L105">
        <v>0</v>
      </c>
      <c r="M105">
        <v>1</v>
      </c>
      <c r="N105" t="s">
        <v>58</v>
      </c>
      <c r="O105">
        <v>0.183</v>
      </c>
      <c r="P105">
        <v>35871.660000000003</v>
      </c>
      <c r="Q105">
        <f>(Table1[[#This Row],[Closing_Stock]]*Table1[[#This Row],[Unit_Cost_INR]])</f>
        <v>196020</v>
      </c>
      <c r="R105">
        <f>(Table1[[#This Row],[Unit_Cost_INR]]*Table1[[#This Row],[Consumption]])</f>
        <v>196020</v>
      </c>
      <c r="S105">
        <f>IFERROR(Table1[[#This Row],[Annual_Consumption_Value_INR]]/Table1[[#This Row],[Inventory_Value_INR]],0)</f>
        <v>1</v>
      </c>
      <c r="T105">
        <f>IFERROR(365/Table1[[#This Row],[Inventory_Turnover]],0)</f>
        <v>365</v>
      </c>
      <c r="U105" t="str">
        <f>IF(Table1[[#This Row],[Consumption]]=0,"Non-Moving", IF(Table1[[#This Row],[Days_Since_Last_Movement]]&gt;90,"Slow-Moving","Active"))</f>
        <v>Active</v>
      </c>
      <c r="V105">
        <f>SUM($Q$2:Q105)</f>
        <v>50770500</v>
      </c>
      <c r="W105">
        <f>Table1[[#This Row],[Cumulative_Inventory_Value]]/$AP$3</f>
        <v>0.67072134002383499</v>
      </c>
      <c r="X105" t="str">
        <f>IF(Table1[[#This Row],[Cumulative_Value_%]]&lt;80%,"A", IF(Table1[[#This Row],[Cumulative_Value_%]]&lt;=95%,"B","C"))</f>
        <v>A</v>
      </c>
      <c r="Y105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105">
        <f>Table1[[#This Row],[Consumption]]/365</f>
        <v>7.3972602739726029E-2</v>
      </c>
      <c r="AA105">
        <f>Table1[[#This Row],[Avg_Daily_Consumption]]*Table1[[#This Row],[Lead_Time_Days]]+Table1[[#This Row],[Safety_Stock]]</f>
        <v>6.2547945205479447</v>
      </c>
      <c r="AB105">
        <f>IFERROR(Table1[[#This Row],[Closing_Stock]]/Table1[[#This Row],[Avg_Daily_Consumption]],9999)</f>
        <v>365</v>
      </c>
      <c r="AC105">
        <f>MAX(1,ROUNDUP(Table1[[#This Row],[Avg_Daily_Consumption]]*Table1[[#This Row],[Lead_Time_Days]]*0.8,0))</f>
        <v>3</v>
      </c>
      <c r="AD105" t="str">
        <f>IF(Table1[[#This Row],[Closing_Stock]]&lt;Table1[[#This Row],[Reorder_Point]],"Stock-out Risk","Adequate")</f>
        <v>Adequate</v>
      </c>
      <c r="AE105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105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105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105" s="11">
        <f>MAX(0,Table1[[#This Row],[Closing_Stock]]-Table1[[#This Row],[Reorder_Point]])</f>
        <v>20.745205479452054</v>
      </c>
      <c r="AI105" s="11">
        <f>Table1[[#This Row],[Excess_Stock_Units]]*Table1[[#This Row],[Unit_Cost_INR]]</f>
        <v>150610.19178082192</v>
      </c>
      <c r="AJ105" s="11">
        <f>IF(Table1[[#This Row],[Criticality]]="Critical",0,Table1[[#This Row],[Excess_Inventory_Value_INR]])</f>
        <v>150610.19178082192</v>
      </c>
      <c r="AK105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106" spans="1:37" x14ac:dyDescent="0.25">
      <c r="A106" t="s">
        <v>252</v>
      </c>
      <c r="B106" t="s">
        <v>48</v>
      </c>
      <c r="C106" t="s">
        <v>41</v>
      </c>
      <c r="D106" t="s">
        <v>21</v>
      </c>
      <c r="E106" t="s">
        <v>22</v>
      </c>
      <c r="F106">
        <v>24</v>
      </c>
      <c r="G106">
        <v>72</v>
      </c>
      <c r="H106">
        <v>4</v>
      </c>
      <c r="I106">
        <v>56</v>
      </c>
      <c r="J106">
        <v>3460</v>
      </c>
      <c r="K106">
        <v>20</v>
      </c>
      <c r="L106">
        <v>0</v>
      </c>
      <c r="M106">
        <v>131</v>
      </c>
      <c r="N106" t="s">
        <v>58</v>
      </c>
      <c r="O106">
        <v>0.26700000000000002</v>
      </c>
      <c r="P106">
        <v>51733.920000000013</v>
      </c>
      <c r="Q106">
        <f>(Table1[[#This Row],[Closing_Stock]]*Table1[[#This Row],[Unit_Cost_INR]])</f>
        <v>193760</v>
      </c>
      <c r="R106">
        <f>(Table1[[#This Row],[Unit_Cost_INR]]*Table1[[#This Row],[Consumption]])</f>
        <v>13840</v>
      </c>
      <c r="S106">
        <f>IFERROR(Table1[[#This Row],[Annual_Consumption_Value_INR]]/Table1[[#This Row],[Inventory_Value_INR]],0)</f>
        <v>7.1428571428571425E-2</v>
      </c>
      <c r="T106">
        <f>IFERROR(365/Table1[[#This Row],[Inventory_Turnover]],0)</f>
        <v>5110</v>
      </c>
      <c r="U106" t="str">
        <f>IF(Table1[[#This Row],[Consumption]]=0,"Non-Moving", IF(Table1[[#This Row],[Days_Since_Last_Movement]]&gt;90,"Slow-Moving","Active"))</f>
        <v>Slow-Moving</v>
      </c>
      <c r="V106">
        <f>SUM($Q$2:Q106)</f>
        <v>50964260</v>
      </c>
      <c r="W106">
        <f>Table1[[#This Row],[Cumulative_Inventory_Value]]/$AP$3</f>
        <v>0.67328107386224545</v>
      </c>
      <c r="X106" t="str">
        <f>IF(Table1[[#This Row],[Cumulative_Value_%]]&lt;80%,"A", IF(Table1[[#This Row],[Cumulative_Value_%]]&lt;=95%,"B","C"))</f>
        <v>A</v>
      </c>
      <c r="Y106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High Review</v>
      </c>
      <c r="Z106">
        <f>Table1[[#This Row],[Consumption]]/365</f>
        <v>1.0958904109589041E-2</v>
      </c>
      <c r="AA106">
        <f>Table1[[#This Row],[Avg_Daily_Consumption]]*Table1[[#This Row],[Lead_Time_Days]]+Table1[[#This Row],[Safety_Stock]]</f>
        <v>1.2191780821917808</v>
      </c>
      <c r="AB106">
        <f>IFERROR(Table1[[#This Row],[Closing_Stock]]/Table1[[#This Row],[Avg_Daily_Consumption]],9999)</f>
        <v>5110</v>
      </c>
      <c r="AC106">
        <f>MAX(1,ROUNDUP(Table1[[#This Row],[Avg_Daily_Consumption]]*Table1[[#This Row],[Lead_Time_Days]]*0.8,0))</f>
        <v>1</v>
      </c>
      <c r="AD106" t="str">
        <f>IF(Table1[[#This Row],[Closing_Stock]]&lt;Table1[[#This Row],[Reorder_Point]],"Stock-out Risk","Adequate")</f>
        <v>Adequate</v>
      </c>
      <c r="AE106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106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 Safety Stock</v>
      </c>
      <c r="AG106">
        <f>IF(Table1[[#This Row],[Action_Recommendation]]="Review for Disposal/De-procurement",Table1[[#This Row],[Inventory_Value_INR]]*70%,IF(Table1[[#This Row],[Action_Recommendation]]="Review Safety Stock",Table1[[#This Row],[Inventory_Value_INR]]*20%,0))</f>
        <v>38752</v>
      </c>
      <c r="AH106" s="11">
        <f>MAX(0,Table1[[#This Row],[Closing_Stock]]-Table1[[#This Row],[Reorder_Point]])</f>
        <v>54.780821917808218</v>
      </c>
      <c r="AI106" s="11">
        <f>Table1[[#This Row],[Excess_Stock_Units]]*Table1[[#This Row],[Unit_Cost_INR]]</f>
        <v>189541.64383561644</v>
      </c>
      <c r="AJ106" s="11">
        <f>IF(Table1[[#This Row],[Criticality]]="Critical",0,Table1[[#This Row],[Excess_Inventory_Value_INR]])</f>
        <v>189541.64383561644</v>
      </c>
      <c r="AK106" s="11">
        <f>IF(AND(Table1[[#This Row],[Criticality]]&lt;&gt;"Critical",OR(Table1[[#This Row],[Movement_Class]]="Slow-Moving",Table1[[#This Row],[Movement_Class]]="Non-Moving")),Table1[[#This Row],[Excess_Inventory_Value_INR]],0)</f>
        <v>189541.64383561644</v>
      </c>
    </row>
    <row r="107" spans="1:37" x14ac:dyDescent="0.25">
      <c r="A107" t="s">
        <v>506</v>
      </c>
      <c r="B107" t="s">
        <v>40</v>
      </c>
      <c r="C107" t="s">
        <v>41</v>
      </c>
      <c r="D107" t="s">
        <v>42</v>
      </c>
      <c r="E107" t="s">
        <v>22</v>
      </c>
      <c r="F107">
        <v>14</v>
      </c>
      <c r="G107">
        <v>11</v>
      </c>
      <c r="H107">
        <v>8</v>
      </c>
      <c r="I107">
        <v>17</v>
      </c>
      <c r="J107">
        <v>11360</v>
      </c>
      <c r="K107">
        <v>37</v>
      </c>
      <c r="L107">
        <v>0</v>
      </c>
      <c r="M107">
        <v>86</v>
      </c>
      <c r="N107" t="s">
        <v>58</v>
      </c>
      <c r="O107">
        <v>0.27</v>
      </c>
      <c r="P107">
        <v>52142.400000000001</v>
      </c>
      <c r="Q107">
        <f>(Table1[[#This Row],[Closing_Stock]]*Table1[[#This Row],[Unit_Cost_INR]])</f>
        <v>193120</v>
      </c>
      <c r="R107">
        <f>(Table1[[#This Row],[Unit_Cost_INR]]*Table1[[#This Row],[Consumption]])</f>
        <v>90880</v>
      </c>
      <c r="S107">
        <f>IFERROR(Table1[[#This Row],[Annual_Consumption_Value_INR]]/Table1[[#This Row],[Inventory_Value_INR]],0)</f>
        <v>0.47058823529411764</v>
      </c>
      <c r="T107">
        <f>IFERROR(365/Table1[[#This Row],[Inventory_Turnover]],0)</f>
        <v>775.625</v>
      </c>
      <c r="U107" t="str">
        <f>IF(Table1[[#This Row],[Consumption]]=0,"Non-Moving", IF(Table1[[#This Row],[Days_Since_Last_Movement]]&gt;90,"Slow-Moving","Active"))</f>
        <v>Active</v>
      </c>
      <c r="V107">
        <f>SUM($Q$2:Q107)</f>
        <v>51157380</v>
      </c>
      <c r="W107">
        <f>Table1[[#This Row],[Cumulative_Inventory_Value]]/$AP$3</f>
        <v>0.67583235275816733</v>
      </c>
      <c r="X107" t="str">
        <f>IF(Table1[[#This Row],[Cumulative_Value_%]]&lt;80%,"A", IF(Table1[[#This Row],[Cumulative_Value_%]]&lt;=95%,"B","C"))</f>
        <v>A</v>
      </c>
      <c r="Y107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107">
        <f>Table1[[#This Row],[Consumption]]/365</f>
        <v>2.1917808219178082E-2</v>
      </c>
      <c r="AA107">
        <f>Table1[[#This Row],[Avg_Daily_Consumption]]*Table1[[#This Row],[Lead_Time_Days]]+Table1[[#This Row],[Safety_Stock]]</f>
        <v>1.810958904109589</v>
      </c>
      <c r="AB107">
        <f>IFERROR(Table1[[#This Row],[Closing_Stock]]/Table1[[#This Row],[Avg_Daily_Consumption]],9999)</f>
        <v>775.625</v>
      </c>
      <c r="AC107">
        <f>MAX(1,ROUNDUP(Table1[[#This Row],[Avg_Daily_Consumption]]*Table1[[#This Row],[Lead_Time_Days]]*0.8,0))</f>
        <v>1</v>
      </c>
      <c r="AD107" t="str">
        <f>IF(Table1[[#This Row],[Closing_Stock]]&lt;Table1[[#This Row],[Reorder_Point]],"Stock-out Risk","Adequate")</f>
        <v>Adequate</v>
      </c>
      <c r="AE107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107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107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107" s="11">
        <f>MAX(0,Table1[[#This Row],[Closing_Stock]]-Table1[[#This Row],[Reorder_Point]])</f>
        <v>15.189041095890412</v>
      </c>
      <c r="AI107" s="11">
        <f>Table1[[#This Row],[Excess_Stock_Units]]*Table1[[#This Row],[Unit_Cost_INR]]</f>
        <v>172547.50684931508</v>
      </c>
      <c r="AJ107" s="11">
        <f>IF(Table1[[#This Row],[Criticality]]="Critical",0,Table1[[#This Row],[Excess_Inventory_Value_INR]])</f>
        <v>172547.50684931508</v>
      </c>
      <c r="AK107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108" spans="1:37" x14ac:dyDescent="0.25">
      <c r="A108" t="s">
        <v>277</v>
      </c>
      <c r="B108" t="s">
        <v>150</v>
      </c>
      <c r="C108" t="s">
        <v>36</v>
      </c>
      <c r="D108" t="s">
        <v>45</v>
      </c>
      <c r="E108" t="s">
        <v>46</v>
      </c>
      <c r="F108">
        <v>28</v>
      </c>
      <c r="G108">
        <v>54</v>
      </c>
      <c r="H108">
        <v>33</v>
      </c>
      <c r="I108">
        <v>49</v>
      </c>
      <c r="J108">
        <v>3940</v>
      </c>
      <c r="K108">
        <v>17</v>
      </c>
      <c r="L108">
        <v>0</v>
      </c>
      <c r="M108">
        <v>155</v>
      </c>
      <c r="N108" t="s">
        <v>61</v>
      </c>
      <c r="O108">
        <v>0.16600000000000001</v>
      </c>
      <c r="P108">
        <v>32047.96</v>
      </c>
      <c r="Q108">
        <f>(Table1[[#This Row],[Closing_Stock]]*Table1[[#This Row],[Unit_Cost_INR]])</f>
        <v>193060</v>
      </c>
      <c r="R108">
        <f>(Table1[[#This Row],[Unit_Cost_INR]]*Table1[[#This Row],[Consumption]])</f>
        <v>130020</v>
      </c>
      <c r="S108">
        <f>IFERROR(Table1[[#This Row],[Annual_Consumption_Value_INR]]/Table1[[#This Row],[Inventory_Value_INR]],0)</f>
        <v>0.67346938775510201</v>
      </c>
      <c r="T108">
        <f>IFERROR(365/Table1[[#This Row],[Inventory_Turnover]],0)</f>
        <v>541.969696969697</v>
      </c>
      <c r="U108" t="str">
        <f>IF(Table1[[#This Row],[Consumption]]=0,"Non-Moving", IF(Table1[[#This Row],[Days_Since_Last_Movement]]&gt;90,"Slow-Moving","Active"))</f>
        <v>Slow-Moving</v>
      </c>
      <c r="V108">
        <f>SUM($Q$2:Q108)</f>
        <v>51350440</v>
      </c>
      <c r="W108">
        <f>Table1[[#This Row],[Cumulative_Inventory_Value]]/$AP$3</f>
        <v>0.67838283900323093</v>
      </c>
      <c r="X108" t="str">
        <f>IF(Table1[[#This Row],[Cumulative_Value_%]]&lt;80%,"A", IF(Table1[[#This Row],[Cumulative_Value_%]]&lt;=95%,"B","C"))</f>
        <v>A</v>
      </c>
      <c r="Y108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High Review</v>
      </c>
      <c r="Z108">
        <f>Table1[[#This Row],[Consumption]]/365</f>
        <v>9.0410958904109592E-2</v>
      </c>
      <c r="AA108">
        <f>Table1[[#This Row],[Avg_Daily_Consumption]]*Table1[[#This Row],[Lead_Time_Days]]+Table1[[#This Row],[Safety_Stock]]</f>
        <v>3.536986301369863</v>
      </c>
      <c r="AB108">
        <f>IFERROR(Table1[[#This Row],[Closing_Stock]]/Table1[[#This Row],[Avg_Daily_Consumption]],9999)</f>
        <v>541.969696969697</v>
      </c>
      <c r="AC108">
        <f>MAX(1,ROUNDUP(Table1[[#This Row],[Avg_Daily_Consumption]]*Table1[[#This Row],[Lead_Time_Days]]*0.8,0))</f>
        <v>2</v>
      </c>
      <c r="AD108" t="str">
        <f>IF(Table1[[#This Row],[Closing_Stock]]&lt;Table1[[#This Row],[Reorder_Point]],"Stock-out Risk","Adequate")</f>
        <v>Adequate</v>
      </c>
      <c r="AE108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108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 Safety Stock</v>
      </c>
      <c r="AG108">
        <f>IF(Table1[[#This Row],[Action_Recommendation]]="Review for Disposal/De-procurement",Table1[[#This Row],[Inventory_Value_INR]]*70%,IF(Table1[[#This Row],[Action_Recommendation]]="Review Safety Stock",Table1[[#This Row],[Inventory_Value_INR]]*20%,0))</f>
        <v>38612</v>
      </c>
      <c r="AH108" s="11">
        <f>MAX(0,Table1[[#This Row],[Closing_Stock]]-Table1[[#This Row],[Reorder_Point]])</f>
        <v>45.463013698630135</v>
      </c>
      <c r="AI108" s="11">
        <f>Table1[[#This Row],[Excess_Stock_Units]]*Table1[[#This Row],[Unit_Cost_INR]]</f>
        <v>179124.27397260274</v>
      </c>
      <c r="AJ108" s="11">
        <f>IF(Table1[[#This Row],[Criticality]]="Critical",0,Table1[[#This Row],[Excess_Inventory_Value_INR]])</f>
        <v>179124.27397260274</v>
      </c>
      <c r="AK108" s="11">
        <f>IF(AND(Table1[[#This Row],[Criticality]]&lt;&gt;"Critical",OR(Table1[[#This Row],[Movement_Class]]="Slow-Moving",Table1[[#This Row],[Movement_Class]]="Non-Moving")),Table1[[#This Row],[Excess_Inventory_Value_INR]],0)</f>
        <v>179124.27397260274</v>
      </c>
    </row>
    <row r="109" spans="1:37" x14ac:dyDescent="0.25">
      <c r="A109" t="s">
        <v>457</v>
      </c>
      <c r="B109" t="s">
        <v>210</v>
      </c>
      <c r="C109" t="s">
        <v>32</v>
      </c>
      <c r="D109" t="s">
        <v>21</v>
      </c>
      <c r="E109" t="s">
        <v>28</v>
      </c>
      <c r="F109">
        <v>51</v>
      </c>
      <c r="G109">
        <v>62</v>
      </c>
      <c r="H109">
        <v>0</v>
      </c>
      <c r="I109">
        <v>71</v>
      </c>
      <c r="J109">
        <v>2710</v>
      </c>
      <c r="K109">
        <v>23</v>
      </c>
      <c r="L109">
        <v>2</v>
      </c>
      <c r="M109">
        <v>691</v>
      </c>
      <c r="N109" t="s">
        <v>61</v>
      </c>
      <c r="O109">
        <v>0.245</v>
      </c>
      <c r="P109">
        <v>47140.45</v>
      </c>
      <c r="Q109">
        <f>(Table1[[#This Row],[Closing_Stock]]*Table1[[#This Row],[Unit_Cost_INR]])</f>
        <v>192410</v>
      </c>
      <c r="R109">
        <f>(Table1[[#This Row],[Unit_Cost_INR]]*Table1[[#This Row],[Consumption]])</f>
        <v>0</v>
      </c>
      <c r="S109">
        <f>IFERROR(Table1[[#This Row],[Annual_Consumption_Value_INR]]/Table1[[#This Row],[Inventory_Value_INR]],0)</f>
        <v>0</v>
      </c>
      <c r="T109">
        <f>IFERROR(365/Table1[[#This Row],[Inventory_Turnover]],0)</f>
        <v>0</v>
      </c>
      <c r="U109" t="str">
        <f>IF(Table1[[#This Row],[Consumption]]=0,"Non-Moving", IF(Table1[[#This Row],[Days_Since_Last_Movement]]&gt;90,"Slow-Moving","Active"))</f>
        <v>Non-Moving</v>
      </c>
      <c r="V109">
        <f>SUM($Q$2:Q109)</f>
        <v>51542850</v>
      </c>
      <c r="W109">
        <f>Table1[[#This Row],[Cumulative_Inventory_Value]]/$AP$3</f>
        <v>0.68092473819732968</v>
      </c>
      <c r="X109" t="str">
        <f>IF(Table1[[#This Row],[Cumulative_Value_%]]&lt;80%,"A", IF(Table1[[#This Row],[Cumulative_Value_%]]&lt;=95%,"B","C"))</f>
        <v>A</v>
      </c>
      <c r="Y109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Critical Review</v>
      </c>
      <c r="Z109">
        <f>Table1[[#This Row],[Consumption]]/365</f>
        <v>0</v>
      </c>
      <c r="AA109">
        <f>Table1[[#This Row],[Avg_Daily_Consumption]]*Table1[[#This Row],[Lead_Time_Days]]+Table1[[#This Row],[Safety_Stock]]</f>
        <v>1</v>
      </c>
      <c r="AB109">
        <f>IFERROR(Table1[[#This Row],[Closing_Stock]]/Table1[[#This Row],[Avg_Daily_Consumption]],9999)</f>
        <v>9999</v>
      </c>
      <c r="AC109">
        <f>MAX(1,ROUNDUP(Table1[[#This Row],[Avg_Daily_Consumption]]*Table1[[#This Row],[Lead_Time_Days]]*0.8,0))</f>
        <v>1</v>
      </c>
      <c r="AD109" t="str">
        <f>IF(Table1[[#This Row],[Closing_Stock]]&lt;Table1[[#This Row],[Reorder_Point]],"Stock-out Risk","Adequate")</f>
        <v>Adequate</v>
      </c>
      <c r="AE109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109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 for Disposal/De-procurement</v>
      </c>
      <c r="AG109">
        <f>IF(Table1[[#This Row],[Action_Recommendation]]="Review for Disposal/De-procurement",Table1[[#This Row],[Inventory_Value_INR]]*70%,IF(Table1[[#This Row],[Action_Recommendation]]="Review Safety Stock",Table1[[#This Row],[Inventory_Value_INR]]*20%,0))</f>
        <v>134687</v>
      </c>
      <c r="AH109" s="11">
        <f>MAX(0,Table1[[#This Row],[Closing_Stock]]-Table1[[#This Row],[Reorder_Point]])</f>
        <v>70</v>
      </c>
      <c r="AI109" s="11">
        <f>Table1[[#This Row],[Excess_Stock_Units]]*Table1[[#This Row],[Unit_Cost_INR]]</f>
        <v>189700</v>
      </c>
      <c r="AJ109" s="11">
        <f>IF(Table1[[#This Row],[Criticality]]="Critical",0,Table1[[#This Row],[Excess_Inventory_Value_INR]])</f>
        <v>189700</v>
      </c>
      <c r="AK109" s="11">
        <f>IF(AND(Table1[[#This Row],[Criticality]]&lt;&gt;"Critical",OR(Table1[[#This Row],[Movement_Class]]="Slow-Moving",Table1[[#This Row],[Movement_Class]]="Non-Moving")),Table1[[#This Row],[Excess_Inventory_Value_INR]],0)</f>
        <v>189700</v>
      </c>
    </row>
    <row r="110" spans="1:37" x14ac:dyDescent="0.25">
      <c r="A110" t="s">
        <v>82</v>
      </c>
      <c r="B110" t="s">
        <v>83</v>
      </c>
      <c r="C110" t="s">
        <v>32</v>
      </c>
      <c r="D110" t="s">
        <v>27</v>
      </c>
      <c r="E110" t="s">
        <v>22</v>
      </c>
      <c r="F110">
        <v>70</v>
      </c>
      <c r="G110">
        <v>47</v>
      </c>
      <c r="H110">
        <v>55</v>
      </c>
      <c r="I110">
        <v>62</v>
      </c>
      <c r="J110">
        <v>3070</v>
      </c>
      <c r="K110">
        <v>26</v>
      </c>
      <c r="L110">
        <v>0</v>
      </c>
      <c r="M110">
        <v>12</v>
      </c>
      <c r="N110" t="s">
        <v>81</v>
      </c>
      <c r="O110">
        <v>0.28599999999999998</v>
      </c>
      <c r="P110">
        <v>54437.24</v>
      </c>
      <c r="Q110">
        <f>(Table1[[#This Row],[Closing_Stock]]*Table1[[#This Row],[Unit_Cost_INR]])</f>
        <v>190340</v>
      </c>
      <c r="R110">
        <f>(Table1[[#This Row],[Unit_Cost_INR]]*Table1[[#This Row],[Consumption]])</f>
        <v>168850</v>
      </c>
      <c r="S110">
        <f>IFERROR(Table1[[#This Row],[Annual_Consumption_Value_INR]]/Table1[[#This Row],[Inventory_Value_INR]],0)</f>
        <v>0.88709677419354838</v>
      </c>
      <c r="T110">
        <f>IFERROR(365/Table1[[#This Row],[Inventory_Turnover]],0)</f>
        <v>411.45454545454544</v>
      </c>
      <c r="U110" t="str">
        <f>IF(Table1[[#This Row],[Consumption]]=0,"Non-Moving", IF(Table1[[#This Row],[Days_Since_Last_Movement]]&gt;90,"Slow-Moving","Active"))</f>
        <v>Active</v>
      </c>
      <c r="V110">
        <f>SUM($Q$2:Q110)</f>
        <v>51733190</v>
      </c>
      <c r="W110">
        <f>Table1[[#This Row],[Cumulative_Inventory_Value]]/$AP$3</f>
        <v>0.68343929093681688</v>
      </c>
      <c r="X110" t="str">
        <f>IF(Table1[[#This Row],[Cumulative_Value_%]]&lt;80%,"A", IF(Table1[[#This Row],[Cumulative_Value_%]]&lt;=95%,"B","C"))</f>
        <v>A</v>
      </c>
      <c r="Y110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110">
        <f>Table1[[#This Row],[Consumption]]/365</f>
        <v>0.15068493150684931</v>
      </c>
      <c r="AA110">
        <f>Table1[[#This Row],[Avg_Daily_Consumption]]*Table1[[#This Row],[Lead_Time_Days]]+Table1[[#This Row],[Safety_Stock]]</f>
        <v>7.9178082191780819</v>
      </c>
      <c r="AB110">
        <f>IFERROR(Table1[[#This Row],[Closing_Stock]]/Table1[[#This Row],[Avg_Daily_Consumption]],9999)</f>
        <v>411.4545454545455</v>
      </c>
      <c r="AC110">
        <f>MAX(1,ROUNDUP(Table1[[#This Row],[Avg_Daily_Consumption]]*Table1[[#This Row],[Lead_Time_Days]]*0.8,0))</f>
        <v>4</v>
      </c>
      <c r="AD110" t="str">
        <f>IF(Table1[[#This Row],[Closing_Stock]]&lt;Table1[[#This Row],[Reorder_Point]],"Stock-out Risk","Adequate")</f>
        <v>Adequate</v>
      </c>
      <c r="AE110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110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110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110" s="11">
        <f>MAX(0,Table1[[#This Row],[Closing_Stock]]-Table1[[#This Row],[Reorder_Point]])</f>
        <v>54.082191780821915</v>
      </c>
      <c r="AI110" s="11">
        <f>Table1[[#This Row],[Excess_Stock_Units]]*Table1[[#This Row],[Unit_Cost_INR]]</f>
        <v>166032.32876712328</v>
      </c>
      <c r="AJ110" s="11">
        <f>IF(Table1[[#This Row],[Criticality]]="Critical",0,Table1[[#This Row],[Excess_Inventory_Value_INR]])</f>
        <v>166032.32876712328</v>
      </c>
      <c r="AK110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111" spans="1:37" x14ac:dyDescent="0.25">
      <c r="A111" t="s">
        <v>161</v>
      </c>
      <c r="B111" t="s">
        <v>31</v>
      </c>
      <c r="C111" t="s">
        <v>32</v>
      </c>
      <c r="D111" t="s">
        <v>27</v>
      </c>
      <c r="E111" t="s">
        <v>22</v>
      </c>
      <c r="F111">
        <v>18</v>
      </c>
      <c r="G111">
        <v>9</v>
      </c>
      <c r="H111">
        <v>5</v>
      </c>
      <c r="I111">
        <v>22</v>
      </c>
      <c r="J111">
        <v>8620</v>
      </c>
      <c r="K111">
        <v>30</v>
      </c>
      <c r="L111">
        <v>2</v>
      </c>
      <c r="M111">
        <v>226</v>
      </c>
      <c r="N111" t="s">
        <v>38</v>
      </c>
      <c r="O111">
        <v>0.24299999999999999</v>
      </c>
      <c r="P111">
        <v>46082.52</v>
      </c>
      <c r="Q111">
        <f>(Table1[[#This Row],[Closing_Stock]]*Table1[[#This Row],[Unit_Cost_INR]])</f>
        <v>189640</v>
      </c>
      <c r="R111">
        <f>(Table1[[#This Row],[Unit_Cost_INR]]*Table1[[#This Row],[Consumption]])</f>
        <v>43100</v>
      </c>
      <c r="S111">
        <f>IFERROR(Table1[[#This Row],[Annual_Consumption_Value_INR]]/Table1[[#This Row],[Inventory_Value_INR]],0)</f>
        <v>0.22727272727272727</v>
      </c>
      <c r="T111">
        <f>IFERROR(365/Table1[[#This Row],[Inventory_Turnover]],0)</f>
        <v>1606</v>
      </c>
      <c r="U111" t="str">
        <f>IF(Table1[[#This Row],[Consumption]]=0,"Non-Moving", IF(Table1[[#This Row],[Days_Since_Last_Movement]]&gt;90,"Slow-Moving","Active"))</f>
        <v>Slow-Moving</v>
      </c>
      <c r="V111">
        <f>SUM($Q$2:Q111)</f>
        <v>51922830</v>
      </c>
      <c r="W111">
        <f>Table1[[#This Row],[Cumulative_Inventory_Value]]/$AP$3</f>
        <v>0.68594459608295721</v>
      </c>
      <c r="X111" t="str">
        <f>IF(Table1[[#This Row],[Cumulative_Value_%]]&lt;80%,"A", IF(Table1[[#This Row],[Cumulative_Value_%]]&lt;=95%,"B","C"))</f>
        <v>A</v>
      </c>
      <c r="Y111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High Review</v>
      </c>
      <c r="Z111">
        <f>Table1[[#This Row],[Consumption]]/365</f>
        <v>1.3698630136986301E-2</v>
      </c>
      <c r="AA111">
        <f>Table1[[#This Row],[Avg_Daily_Consumption]]*Table1[[#This Row],[Lead_Time_Days]]+Table1[[#This Row],[Safety_Stock]]</f>
        <v>1.4109589041095889</v>
      </c>
      <c r="AB111">
        <f>IFERROR(Table1[[#This Row],[Closing_Stock]]/Table1[[#This Row],[Avg_Daily_Consumption]],9999)</f>
        <v>1606</v>
      </c>
      <c r="AC111">
        <f>MAX(1,ROUNDUP(Table1[[#This Row],[Avg_Daily_Consumption]]*Table1[[#This Row],[Lead_Time_Days]]*0.8,0))</f>
        <v>1</v>
      </c>
      <c r="AD111" t="str">
        <f>IF(Table1[[#This Row],[Closing_Stock]]&lt;Table1[[#This Row],[Reorder_Point]],"Stock-out Risk","Adequate")</f>
        <v>Adequate</v>
      </c>
      <c r="AE111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111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 Safety Stock</v>
      </c>
      <c r="AG111">
        <f>IF(Table1[[#This Row],[Action_Recommendation]]="Review for Disposal/De-procurement",Table1[[#This Row],[Inventory_Value_INR]]*70%,IF(Table1[[#This Row],[Action_Recommendation]]="Review Safety Stock",Table1[[#This Row],[Inventory_Value_INR]]*20%,0))</f>
        <v>37928</v>
      </c>
      <c r="AH111" s="11">
        <f>MAX(0,Table1[[#This Row],[Closing_Stock]]-Table1[[#This Row],[Reorder_Point]])</f>
        <v>20.589041095890412</v>
      </c>
      <c r="AI111" s="11">
        <f>Table1[[#This Row],[Excess_Stock_Units]]*Table1[[#This Row],[Unit_Cost_INR]]</f>
        <v>177477.53424657535</v>
      </c>
      <c r="AJ111" s="11">
        <f>IF(Table1[[#This Row],[Criticality]]="Critical",0,Table1[[#This Row],[Excess_Inventory_Value_INR]])</f>
        <v>177477.53424657535</v>
      </c>
      <c r="AK111" s="11">
        <f>IF(AND(Table1[[#This Row],[Criticality]]&lt;&gt;"Critical",OR(Table1[[#This Row],[Movement_Class]]="Slow-Moving",Table1[[#This Row],[Movement_Class]]="Non-Moving")),Table1[[#This Row],[Excess_Inventory_Value_INR]],0)</f>
        <v>177477.53424657535</v>
      </c>
    </row>
    <row r="112" spans="1:37" x14ac:dyDescent="0.25">
      <c r="A112" t="s">
        <v>274</v>
      </c>
      <c r="B112" t="s">
        <v>44</v>
      </c>
      <c r="C112" t="s">
        <v>41</v>
      </c>
      <c r="D112" t="s">
        <v>60</v>
      </c>
      <c r="E112" t="s">
        <v>22</v>
      </c>
      <c r="F112">
        <v>29</v>
      </c>
      <c r="G112">
        <v>16</v>
      </c>
      <c r="H112">
        <v>14</v>
      </c>
      <c r="I112">
        <v>31</v>
      </c>
      <c r="J112">
        <v>6050</v>
      </c>
      <c r="K112">
        <v>14</v>
      </c>
      <c r="L112">
        <v>0</v>
      </c>
      <c r="M112">
        <v>127</v>
      </c>
      <c r="N112" t="s">
        <v>58</v>
      </c>
      <c r="O112">
        <v>0.29899999999999999</v>
      </c>
      <c r="P112">
        <v>56077.45</v>
      </c>
      <c r="Q112">
        <f>(Table1[[#This Row],[Closing_Stock]]*Table1[[#This Row],[Unit_Cost_INR]])</f>
        <v>187550</v>
      </c>
      <c r="R112">
        <f>(Table1[[#This Row],[Unit_Cost_INR]]*Table1[[#This Row],[Consumption]])</f>
        <v>84700</v>
      </c>
      <c r="S112">
        <f>IFERROR(Table1[[#This Row],[Annual_Consumption_Value_INR]]/Table1[[#This Row],[Inventory_Value_INR]],0)</f>
        <v>0.45161290322580644</v>
      </c>
      <c r="T112">
        <f>IFERROR(365/Table1[[#This Row],[Inventory_Turnover]],0)</f>
        <v>808.21428571428578</v>
      </c>
      <c r="U112" t="str">
        <f>IF(Table1[[#This Row],[Consumption]]=0,"Non-Moving", IF(Table1[[#This Row],[Days_Since_Last_Movement]]&gt;90,"Slow-Moving","Active"))</f>
        <v>Slow-Moving</v>
      </c>
      <c r="V112">
        <f>SUM($Q$2:Q112)</f>
        <v>52110380</v>
      </c>
      <c r="W112">
        <f>Table1[[#This Row],[Cumulative_Inventory_Value]]/$AP$3</f>
        <v>0.68842229055753346</v>
      </c>
      <c r="X112" t="str">
        <f>IF(Table1[[#This Row],[Cumulative_Value_%]]&lt;80%,"A", IF(Table1[[#This Row],[Cumulative_Value_%]]&lt;=95%,"B","C"))</f>
        <v>A</v>
      </c>
      <c r="Y112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High Review</v>
      </c>
      <c r="Z112">
        <f>Table1[[#This Row],[Consumption]]/365</f>
        <v>3.8356164383561646E-2</v>
      </c>
      <c r="AA112">
        <f>Table1[[#This Row],[Avg_Daily_Consumption]]*Table1[[#This Row],[Lead_Time_Days]]+Table1[[#This Row],[Safety_Stock]]</f>
        <v>1.536986301369863</v>
      </c>
      <c r="AB112">
        <f>IFERROR(Table1[[#This Row],[Closing_Stock]]/Table1[[#This Row],[Avg_Daily_Consumption]],9999)</f>
        <v>808.21428571428567</v>
      </c>
      <c r="AC112">
        <f>MAX(1,ROUNDUP(Table1[[#This Row],[Avg_Daily_Consumption]]*Table1[[#This Row],[Lead_Time_Days]]*0.8,0))</f>
        <v>1</v>
      </c>
      <c r="AD112" t="str">
        <f>IF(Table1[[#This Row],[Closing_Stock]]&lt;Table1[[#This Row],[Reorder_Point]],"Stock-out Risk","Adequate")</f>
        <v>Adequate</v>
      </c>
      <c r="AE112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112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 Safety Stock</v>
      </c>
      <c r="AG112">
        <f>IF(Table1[[#This Row],[Action_Recommendation]]="Review for Disposal/De-procurement",Table1[[#This Row],[Inventory_Value_INR]]*70%,IF(Table1[[#This Row],[Action_Recommendation]]="Review Safety Stock",Table1[[#This Row],[Inventory_Value_INR]]*20%,0))</f>
        <v>37510</v>
      </c>
      <c r="AH112" s="11">
        <f>MAX(0,Table1[[#This Row],[Closing_Stock]]-Table1[[#This Row],[Reorder_Point]])</f>
        <v>29.463013698630135</v>
      </c>
      <c r="AI112" s="11">
        <f>Table1[[#This Row],[Excess_Stock_Units]]*Table1[[#This Row],[Unit_Cost_INR]]</f>
        <v>178251.23287671231</v>
      </c>
      <c r="AJ112" s="11">
        <f>IF(Table1[[#This Row],[Criticality]]="Critical",0,Table1[[#This Row],[Excess_Inventory_Value_INR]])</f>
        <v>178251.23287671231</v>
      </c>
      <c r="AK112" s="11">
        <f>IF(AND(Table1[[#This Row],[Criticality]]&lt;&gt;"Critical",OR(Table1[[#This Row],[Movement_Class]]="Slow-Moving",Table1[[#This Row],[Movement_Class]]="Non-Moving")),Table1[[#This Row],[Excess_Inventory_Value_INR]],0)</f>
        <v>178251.23287671231</v>
      </c>
    </row>
    <row r="113" spans="1:37" x14ac:dyDescent="0.25">
      <c r="A113" t="s">
        <v>523</v>
      </c>
      <c r="B113" t="s">
        <v>83</v>
      </c>
      <c r="C113" t="s">
        <v>32</v>
      </c>
      <c r="D113" t="s">
        <v>45</v>
      </c>
      <c r="E113" t="s">
        <v>22</v>
      </c>
      <c r="F113">
        <v>32</v>
      </c>
      <c r="G113">
        <v>32</v>
      </c>
      <c r="H113">
        <v>25</v>
      </c>
      <c r="I113">
        <v>39</v>
      </c>
      <c r="J113">
        <v>4790</v>
      </c>
      <c r="K113">
        <v>14</v>
      </c>
      <c r="L113">
        <v>0</v>
      </c>
      <c r="M113">
        <v>32</v>
      </c>
      <c r="N113" t="s">
        <v>33</v>
      </c>
      <c r="O113">
        <v>0.20300000000000001</v>
      </c>
      <c r="P113">
        <v>37922.43</v>
      </c>
      <c r="Q113">
        <f>(Table1[[#This Row],[Closing_Stock]]*Table1[[#This Row],[Unit_Cost_INR]])</f>
        <v>186810</v>
      </c>
      <c r="R113">
        <f>(Table1[[#This Row],[Unit_Cost_INR]]*Table1[[#This Row],[Consumption]])</f>
        <v>119750</v>
      </c>
      <c r="S113">
        <f>IFERROR(Table1[[#This Row],[Annual_Consumption_Value_INR]]/Table1[[#This Row],[Inventory_Value_INR]],0)</f>
        <v>0.64102564102564108</v>
      </c>
      <c r="T113">
        <f>IFERROR(365/Table1[[#This Row],[Inventory_Turnover]],0)</f>
        <v>569.4</v>
      </c>
      <c r="U113" t="str">
        <f>IF(Table1[[#This Row],[Consumption]]=0,"Non-Moving", IF(Table1[[#This Row],[Days_Since_Last_Movement]]&gt;90,"Slow-Moving","Active"))</f>
        <v>Active</v>
      </c>
      <c r="V113">
        <f>SUM($Q$2:Q113)</f>
        <v>52297190</v>
      </c>
      <c r="W113">
        <f>Table1[[#This Row],[Cumulative_Inventory_Value]]/$AP$3</f>
        <v>0.6908902090048572</v>
      </c>
      <c r="X113" t="str">
        <f>IF(Table1[[#This Row],[Cumulative_Value_%]]&lt;80%,"A", IF(Table1[[#This Row],[Cumulative_Value_%]]&lt;=95%,"B","C"))</f>
        <v>A</v>
      </c>
      <c r="Y113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113">
        <f>Table1[[#This Row],[Consumption]]/365</f>
        <v>6.8493150684931503E-2</v>
      </c>
      <c r="AA113">
        <f>Table1[[#This Row],[Avg_Daily_Consumption]]*Table1[[#This Row],[Lead_Time_Days]]+Table1[[#This Row],[Safety_Stock]]</f>
        <v>1.9589041095890409</v>
      </c>
      <c r="AB113">
        <f>IFERROR(Table1[[#This Row],[Closing_Stock]]/Table1[[#This Row],[Avg_Daily_Consumption]],9999)</f>
        <v>569.4</v>
      </c>
      <c r="AC113">
        <f>MAX(1,ROUNDUP(Table1[[#This Row],[Avg_Daily_Consumption]]*Table1[[#This Row],[Lead_Time_Days]]*0.8,0))</f>
        <v>1</v>
      </c>
      <c r="AD113" t="str">
        <f>IF(Table1[[#This Row],[Closing_Stock]]&lt;Table1[[#This Row],[Reorder_Point]],"Stock-out Risk","Adequate")</f>
        <v>Adequate</v>
      </c>
      <c r="AE113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113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113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113" s="11">
        <f>MAX(0,Table1[[#This Row],[Closing_Stock]]-Table1[[#This Row],[Reorder_Point]])</f>
        <v>37.041095890410958</v>
      </c>
      <c r="AI113" s="11">
        <f>Table1[[#This Row],[Excess_Stock_Units]]*Table1[[#This Row],[Unit_Cost_INR]]</f>
        <v>177426.84931506848</v>
      </c>
      <c r="AJ113" s="11">
        <f>IF(Table1[[#This Row],[Criticality]]="Critical",0,Table1[[#This Row],[Excess_Inventory_Value_INR]])</f>
        <v>177426.84931506848</v>
      </c>
      <c r="AK113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114" spans="1:37" x14ac:dyDescent="0.25">
      <c r="A114" t="s">
        <v>92</v>
      </c>
      <c r="B114" t="s">
        <v>93</v>
      </c>
      <c r="C114" t="s">
        <v>26</v>
      </c>
      <c r="D114" t="s">
        <v>27</v>
      </c>
      <c r="E114" t="s">
        <v>22</v>
      </c>
      <c r="F114">
        <v>58</v>
      </c>
      <c r="G114">
        <v>53</v>
      </c>
      <c r="H114">
        <v>55</v>
      </c>
      <c r="I114">
        <v>56</v>
      </c>
      <c r="J114">
        <v>3290</v>
      </c>
      <c r="K114">
        <v>25</v>
      </c>
      <c r="L114">
        <v>0</v>
      </c>
      <c r="M114">
        <v>17</v>
      </c>
      <c r="N114" t="s">
        <v>33</v>
      </c>
      <c r="O114">
        <v>0.19600000000000001</v>
      </c>
      <c r="P114">
        <v>36111.040000000001</v>
      </c>
      <c r="Q114">
        <f>(Table1[[#This Row],[Closing_Stock]]*Table1[[#This Row],[Unit_Cost_INR]])</f>
        <v>184240</v>
      </c>
      <c r="R114">
        <f>(Table1[[#This Row],[Unit_Cost_INR]]*Table1[[#This Row],[Consumption]])</f>
        <v>180950</v>
      </c>
      <c r="S114">
        <f>IFERROR(Table1[[#This Row],[Annual_Consumption_Value_INR]]/Table1[[#This Row],[Inventory_Value_INR]],0)</f>
        <v>0.9821428571428571</v>
      </c>
      <c r="T114">
        <f>IFERROR(365/Table1[[#This Row],[Inventory_Turnover]],0)</f>
        <v>371.63636363636363</v>
      </c>
      <c r="U114" t="str">
        <f>IF(Table1[[#This Row],[Consumption]]=0,"Non-Moving", IF(Table1[[#This Row],[Days_Since_Last_Movement]]&gt;90,"Slow-Moving","Active"))</f>
        <v>Active</v>
      </c>
      <c r="V114">
        <f>SUM($Q$2:Q114)</f>
        <v>52481430</v>
      </c>
      <c r="W114">
        <f>Table1[[#This Row],[Cumulative_Inventory_Value]]/$AP$3</f>
        <v>0.69332417557375037</v>
      </c>
      <c r="X114" t="str">
        <f>IF(Table1[[#This Row],[Cumulative_Value_%]]&lt;80%,"A", IF(Table1[[#This Row],[Cumulative_Value_%]]&lt;=95%,"B","C"))</f>
        <v>A</v>
      </c>
      <c r="Y114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114">
        <f>Table1[[#This Row],[Consumption]]/365</f>
        <v>0.15068493150684931</v>
      </c>
      <c r="AA114">
        <f>Table1[[#This Row],[Avg_Daily_Consumption]]*Table1[[#This Row],[Lead_Time_Days]]+Table1[[#This Row],[Safety_Stock]]</f>
        <v>7.7671232876712324</v>
      </c>
      <c r="AB114">
        <f>IFERROR(Table1[[#This Row],[Closing_Stock]]/Table1[[#This Row],[Avg_Daily_Consumption]],9999)</f>
        <v>371.63636363636368</v>
      </c>
      <c r="AC114">
        <f>MAX(1,ROUNDUP(Table1[[#This Row],[Avg_Daily_Consumption]]*Table1[[#This Row],[Lead_Time_Days]]*0.8,0))</f>
        <v>4</v>
      </c>
      <c r="AD114" t="str">
        <f>IF(Table1[[#This Row],[Closing_Stock]]&lt;Table1[[#This Row],[Reorder_Point]],"Stock-out Risk","Adequate")</f>
        <v>Adequate</v>
      </c>
      <c r="AE114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114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114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114" s="11">
        <f>MAX(0,Table1[[#This Row],[Closing_Stock]]-Table1[[#This Row],[Reorder_Point]])</f>
        <v>48.232876712328768</v>
      </c>
      <c r="AI114" s="11">
        <f>Table1[[#This Row],[Excess_Stock_Units]]*Table1[[#This Row],[Unit_Cost_INR]]</f>
        <v>158686.16438356164</v>
      </c>
      <c r="AJ114" s="11">
        <f>IF(Table1[[#This Row],[Criticality]]="Critical",0,Table1[[#This Row],[Excess_Inventory_Value_INR]])</f>
        <v>158686.16438356164</v>
      </c>
      <c r="AK114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115" spans="1:37" x14ac:dyDescent="0.25">
      <c r="A115" t="s">
        <v>475</v>
      </c>
      <c r="B115" t="s">
        <v>152</v>
      </c>
      <c r="C115" t="s">
        <v>20</v>
      </c>
      <c r="D115" t="s">
        <v>27</v>
      </c>
      <c r="E115" t="s">
        <v>46</v>
      </c>
      <c r="F115">
        <v>11</v>
      </c>
      <c r="G115">
        <v>45</v>
      </c>
      <c r="H115">
        <v>0</v>
      </c>
      <c r="I115">
        <v>61</v>
      </c>
      <c r="J115">
        <v>3020</v>
      </c>
      <c r="K115">
        <v>17</v>
      </c>
      <c r="L115">
        <v>0</v>
      </c>
      <c r="M115">
        <v>535</v>
      </c>
      <c r="N115" t="s">
        <v>33</v>
      </c>
      <c r="O115">
        <v>0.29099999999999998</v>
      </c>
      <c r="P115">
        <v>53608.02</v>
      </c>
      <c r="Q115">
        <f>(Table1[[#This Row],[Closing_Stock]]*Table1[[#This Row],[Unit_Cost_INR]])</f>
        <v>184220</v>
      </c>
      <c r="R115">
        <f>(Table1[[#This Row],[Unit_Cost_INR]]*Table1[[#This Row],[Consumption]])</f>
        <v>0</v>
      </c>
      <c r="S115">
        <f>IFERROR(Table1[[#This Row],[Annual_Consumption_Value_INR]]/Table1[[#This Row],[Inventory_Value_INR]],0)</f>
        <v>0</v>
      </c>
      <c r="T115">
        <f>IFERROR(365/Table1[[#This Row],[Inventory_Turnover]],0)</f>
        <v>0</v>
      </c>
      <c r="U115" t="str">
        <f>IF(Table1[[#This Row],[Consumption]]=0,"Non-Moving", IF(Table1[[#This Row],[Days_Since_Last_Movement]]&gt;90,"Slow-Moving","Active"))</f>
        <v>Non-Moving</v>
      </c>
      <c r="V115">
        <f>SUM($Q$2:Q115)</f>
        <v>52665650</v>
      </c>
      <c r="W115">
        <f>Table1[[#This Row],[Cumulative_Inventory_Value]]/$AP$3</f>
        <v>0.69575787792569088</v>
      </c>
      <c r="X115" t="str">
        <f>IF(Table1[[#This Row],[Cumulative_Value_%]]&lt;80%,"A", IF(Table1[[#This Row],[Cumulative_Value_%]]&lt;=95%,"B","C"))</f>
        <v>A</v>
      </c>
      <c r="Y115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Critical Review</v>
      </c>
      <c r="Z115">
        <f>Table1[[#This Row],[Consumption]]/365</f>
        <v>0</v>
      </c>
      <c r="AA115">
        <f>Table1[[#This Row],[Avg_Daily_Consumption]]*Table1[[#This Row],[Lead_Time_Days]]+Table1[[#This Row],[Safety_Stock]]</f>
        <v>1</v>
      </c>
      <c r="AB115">
        <f>IFERROR(Table1[[#This Row],[Closing_Stock]]/Table1[[#This Row],[Avg_Daily_Consumption]],9999)</f>
        <v>9999</v>
      </c>
      <c r="AC115">
        <f>MAX(1,ROUNDUP(Table1[[#This Row],[Avg_Daily_Consumption]]*Table1[[#This Row],[Lead_Time_Days]]*0.8,0))</f>
        <v>1</v>
      </c>
      <c r="AD115" t="str">
        <f>IF(Table1[[#This Row],[Closing_Stock]]&lt;Table1[[#This Row],[Reorder_Point]],"Stock-out Risk","Adequate")</f>
        <v>Adequate</v>
      </c>
      <c r="AE115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115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 for Disposal/De-procurement</v>
      </c>
      <c r="AG115">
        <f>IF(Table1[[#This Row],[Action_Recommendation]]="Review for Disposal/De-procurement",Table1[[#This Row],[Inventory_Value_INR]]*70%,IF(Table1[[#This Row],[Action_Recommendation]]="Review Safety Stock",Table1[[#This Row],[Inventory_Value_INR]]*20%,0))</f>
        <v>128953.99999999999</v>
      </c>
      <c r="AH115" s="11">
        <f>MAX(0,Table1[[#This Row],[Closing_Stock]]-Table1[[#This Row],[Reorder_Point]])</f>
        <v>60</v>
      </c>
      <c r="AI115" s="11">
        <f>Table1[[#This Row],[Excess_Stock_Units]]*Table1[[#This Row],[Unit_Cost_INR]]</f>
        <v>181200</v>
      </c>
      <c r="AJ115" s="11">
        <f>IF(Table1[[#This Row],[Criticality]]="Critical",0,Table1[[#This Row],[Excess_Inventory_Value_INR]])</f>
        <v>181200</v>
      </c>
      <c r="AK115" s="11">
        <f>IF(AND(Table1[[#This Row],[Criticality]]&lt;&gt;"Critical",OR(Table1[[#This Row],[Movement_Class]]="Slow-Moving",Table1[[#This Row],[Movement_Class]]="Non-Moving")),Table1[[#This Row],[Excess_Inventory_Value_INR]],0)</f>
        <v>181200</v>
      </c>
    </row>
    <row r="116" spans="1:37" x14ac:dyDescent="0.25">
      <c r="A116" t="s">
        <v>374</v>
      </c>
      <c r="B116" t="s">
        <v>35</v>
      </c>
      <c r="C116" t="s">
        <v>36</v>
      </c>
      <c r="D116" t="s">
        <v>21</v>
      </c>
      <c r="E116" t="s">
        <v>37</v>
      </c>
      <c r="F116">
        <v>5</v>
      </c>
      <c r="G116">
        <v>33</v>
      </c>
      <c r="H116">
        <v>25</v>
      </c>
      <c r="I116">
        <v>13</v>
      </c>
      <c r="J116">
        <v>14150</v>
      </c>
      <c r="K116">
        <v>12</v>
      </c>
      <c r="L116">
        <v>0</v>
      </c>
      <c r="M116">
        <v>92</v>
      </c>
      <c r="N116" t="s">
        <v>29</v>
      </c>
      <c r="O116">
        <v>0.154</v>
      </c>
      <c r="P116">
        <v>28328.3</v>
      </c>
      <c r="Q116">
        <f>(Table1[[#This Row],[Closing_Stock]]*Table1[[#This Row],[Unit_Cost_INR]])</f>
        <v>183950</v>
      </c>
      <c r="R116">
        <f>(Table1[[#This Row],[Unit_Cost_INR]]*Table1[[#This Row],[Consumption]])</f>
        <v>353750</v>
      </c>
      <c r="S116">
        <f>IFERROR(Table1[[#This Row],[Annual_Consumption_Value_INR]]/Table1[[#This Row],[Inventory_Value_INR]],0)</f>
        <v>1.9230769230769231</v>
      </c>
      <c r="T116">
        <f>IFERROR(365/Table1[[#This Row],[Inventory_Turnover]],0)</f>
        <v>189.79999999999998</v>
      </c>
      <c r="U116" t="str">
        <f>IF(Table1[[#This Row],[Consumption]]=0,"Non-Moving", IF(Table1[[#This Row],[Days_Since_Last_Movement]]&gt;90,"Slow-Moving","Active"))</f>
        <v>Slow-Moving</v>
      </c>
      <c r="V116">
        <f>SUM($Q$2:Q116)</f>
        <v>52849600</v>
      </c>
      <c r="W116">
        <f>Table1[[#This Row],[Cumulative_Inventory_Value]]/$AP$3</f>
        <v>0.6981880133487689</v>
      </c>
      <c r="X116" t="str">
        <f>IF(Table1[[#This Row],[Cumulative_Value_%]]&lt;80%,"A", IF(Table1[[#This Row],[Cumulative_Value_%]]&lt;=95%,"B","C"))</f>
        <v>A</v>
      </c>
      <c r="Y116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High Review</v>
      </c>
      <c r="Z116">
        <f>Table1[[#This Row],[Consumption]]/365</f>
        <v>6.8493150684931503E-2</v>
      </c>
      <c r="AA116">
        <f>Table1[[#This Row],[Avg_Daily_Consumption]]*Table1[[#This Row],[Lead_Time_Days]]+Table1[[#This Row],[Safety_Stock]]</f>
        <v>1.821917808219178</v>
      </c>
      <c r="AB116">
        <f>IFERROR(Table1[[#This Row],[Closing_Stock]]/Table1[[#This Row],[Avg_Daily_Consumption]],9999)</f>
        <v>189.8</v>
      </c>
      <c r="AC116">
        <f>MAX(1,ROUNDUP(Table1[[#This Row],[Avg_Daily_Consumption]]*Table1[[#This Row],[Lead_Time_Days]]*0.8,0))</f>
        <v>1</v>
      </c>
      <c r="AD116" t="str">
        <f>IF(Table1[[#This Row],[Closing_Stock]]&lt;Table1[[#This Row],[Reorder_Point]],"Stock-out Risk","Adequate")</f>
        <v>Adequate</v>
      </c>
      <c r="AE116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116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116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116" s="11">
        <f>MAX(0,Table1[[#This Row],[Closing_Stock]]-Table1[[#This Row],[Reorder_Point]])</f>
        <v>11.178082191780822</v>
      </c>
      <c r="AI116" s="11">
        <f>Table1[[#This Row],[Excess_Stock_Units]]*Table1[[#This Row],[Unit_Cost_INR]]</f>
        <v>158169.86301369863</v>
      </c>
      <c r="AJ116" s="11">
        <f>IF(Table1[[#This Row],[Criticality]]="Critical",0,Table1[[#This Row],[Excess_Inventory_Value_INR]])</f>
        <v>0</v>
      </c>
      <c r="AK116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117" spans="1:37" x14ac:dyDescent="0.25">
      <c r="A117" t="s">
        <v>96</v>
      </c>
      <c r="B117" t="s">
        <v>97</v>
      </c>
      <c r="C117" t="s">
        <v>52</v>
      </c>
      <c r="D117" t="s">
        <v>60</v>
      </c>
      <c r="E117" t="s">
        <v>22</v>
      </c>
      <c r="F117">
        <v>31</v>
      </c>
      <c r="G117">
        <v>17</v>
      </c>
      <c r="H117">
        <v>18</v>
      </c>
      <c r="I117">
        <v>30</v>
      </c>
      <c r="J117">
        <v>6120</v>
      </c>
      <c r="K117">
        <v>28</v>
      </c>
      <c r="L117">
        <v>0</v>
      </c>
      <c r="M117">
        <v>35</v>
      </c>
      <c r="N117" t="s">
        <v>81</v>
      </c>
      <c r="O117">
        <v>0.22900000000000001</v>
      </c>
      <c r="P117">
        <v>42044.4</v>
      </c>
      <c r="Q117">
        <f>(Table1[[#This Row],[Closing_Stock]]*Table1[[#This Row],[Unit_Cost_INR]])</f>
        <v>183600</v>
      </c>
      <c r="R117">
        <f>(Table1[[#This Row],[Unit_Cost_INR]]*Table1[[#This Row],[Consumption]])</f>
        <v>110160</v>
      </c>
      <c r="S117">
        <f>IFERROR(Table1[[#This Row],[Annual_Consumption_Value_INR]]/Table1[[#This Row],[Inventory_Value_INR]],0)</f>
        <v>0.6</v>
      </c>
      <c r="T117">
        <f>IFERROR(365/Table1[[#This Row],[Inventory_Turnover]],0)</f>
        <v>608.33333333333337</v>
      </c>
      <c r="U117" t="str">
        <f>IF(Table1[[#This Row],[Consumption]]=0,"Non-Moving", IF(Table1[[#This Row],[Days_Since_Last_Movement]]&gt;90,"Slow-Moving","Active"))</f>
        <v>Active</v>
      </c>
      <c r="V117">
        <f>SUM($Q$2:Q117)</f>
        <v>53033200</v>
      </c>
      <c r="W117">
        <f>Table1[[#This Row],[Cumulative_Inventory_Value]]/$AP$3</f>
        <v>0.70061352497517349</v>
      </c>
      <c r="X117" t="str">
        <f>IF(Table1[[#This Row],[Cumulative_Value_%]]&lt;80%,"A", IF(Table1[[#This Row],[Cumulative_Value_%]]&lt;=95%,"B","C"))</f>
        <v>A</v>
      </c>
      <c r="Y117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117">
        <f>Table1[[#This Row],[Consumption]]/365</f>
        <v>4.9315068493150684E-2</v>
      </c>
      <c r="AA117">
        <f>Table1[[#This Row],[Avg_Daily_Consumption]]*Table1[[#This Row],[Lead_Time_Days]]+Table1[[#This Row],[Safety_Stock]]</f>
        <v>3.3808219178082188</v>
      </c>
      <c r="AB117">
        <f>IFERROR(Table1[[#This Row],[Closing_Stock]]/Table1[[#This Row],[Avg_Daily_Consumption]],9999)</f>
        <v>608.33333333333337</v>
      </c>
      <c r="AC117">
        <f>MAX(1,ROUNDUP(Table1[[#This Row],[Avg_Daily_Consumption]]*Table1[[#This Row],[Lead_Time_Days]]*0.8,0))</f>
        <v>2</v>
      </c>
      <c r="AD117" t="str">
        <f>IF(Table1[[#This Row],[Closing_Stock]]&lt;Table1[[#This Row],[Reorder_Point]],"Stock-out Risk","Adequate")</f>
        <v>Adequate</v>
      </c>
      <c r="AE117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117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117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117" s="11">
        <f>MAX(0,Table1[[#This Row],[Closing_Stock]]-Table1[[#This Row],[Reorder_Point]])</f>
        <v>26.61917808219178</v>
      </c>
      <c r="AI117" s="11">
        <f>Table1[[#This Row],[Excess_Stock_Units]]*Table1[[#This Row],[Unit_Cost_INR]]</f>
        <v>162909.36986301371</v>
      </c>
      <c r="AJ117" s="11">
        <f>IF(Table1[[#This Row],[Criticality]]="Critical",0,Table1[[#This Row],[Excess_Inventory_Value_INR]])</f>
        <v>162909.36986301371</v>
      </c>
      <c r="AK117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118" spans="1:37" x14ac:dyDescent="0.25">
      <c r="A118" t="s">
        <v>242</v>
      </c>
      <c r="B118" t="s">
        <v>35</v>
      </c>
      <c r="C118" t="s">
        <v>36</v>
      </c>
      <c r="D118" t="s">
        <v>27</v>
      </c>
      <c r="E118" t="s">
        <v>28</v>
      </c>
      <c r="F118">
        <v>28</v>
      </c>
      <c r="G118">
        <v>84</v>
      </c>
      <c r="H118">
        <v>56</v>
      </c>
      <c r="I118">
        <v>56</v>
      </c>
      <c r="J118">
        <v>3260</v>
      </c>
      <c r="K118">
        <v>26</v>
      </c>
      <c r="L118">
        <v>0</v>
      </c>
      <c r="M118">
        <v>8</v>
      </c>
      <c r="N118" t="s">
        <v>29</v>
      </c>
      <c r="O118">
        <v>0.255</v>
      </c>
      <c r="P118">
        <v>46552.800000000003</v>
      </c>
      <c r="Q118">
        <f>(Table1[[#This Row],[Closing_Stock]]*Table1[[#This Row],[Unit_Cost_INR]])</f>
        <v>182560</v>
      </c>
      <c r="R118">
        <f>(Table1[[#This Row],[Unit_Cost_INR]]*Table1[[#This Row],[Consumption]])</f>
        <v>182560</v>
      </c>
      <c r="S118">
        <f>IFERROR(Table1[[#This Row],[Annual_Consumption_Value_INR]]/Table1[[#This Row],[Inventory_Value_INR]],0)</f>
        <v>1</v>
      </c>
      <c r="T118">
        <f>IFERROR(365/Table1[[#This Row],[Inventory_Turnover]],0)</f>
        <v>365</v>
      </c>
      <c r="U118" t="str">
        <f>IF(Table1[[#This Row],[Consumption]]=0,"Non-Moving", IF(Table1[[#This Row],[Days_Since_Last_Movement]]&gt;90,"Slow-Moving","Active"))</f>
        <v>Active</v>
      </c>
      <c r="V118">
        <f>SUM($Q$2:Q118)</f>
        <v>53215760</v>
      </c>
      <c r="W118">
        <f>Table1[[#This Row],[Cumulative_Inventory_Value]]/$AP$3</f>
        <v>0.70302529732003427</v>
      </c>
      <c r="X118" t="str">
        <f>IF(Table1[[#This Row],[Cumulative_Value_%]]&lt;80%,"A", IF(Table1[[#This Row],[Cumulative_Value_%]]&lt;=95%,"B","C"))</f>
        <v>A</v>
      </c>
      <c r="Y118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118">
        <f>Table1[[#This Row],[Consumption]]/365</f>
        <v>0.15342465753424658</v>
      </c>
      <c r="AA118">
        <f>Table1[[#This Row],[Avg_Daily_Consumption]]*Table1[[#This Row],[Lead_Time_Days]]+Table1[[#This Row],[Safety_Stock]]</f>
        <v>7.9890410958904106</v>
      </c>
      <c r="AB118">
        <f>IFERROR(Table1[[#This Row],[Closing_Stock]]/Table1[[#This Row],[Avg_Daily_Consumption]],9999)</f>
        <v>365</v>
      </c>
      <c r="AC118">
        <f>MAX(1,ROUNDUP(Table1[[#This Row],[Avg_Daily_Consumption]]*Table1[[#This Row],[Lead_Time_Days]]*0.8,0))</f>
        <v>4</v>
      </c>
      <c r="AD118" t="str">
        <f>IF(Table1[[#This Row],[Closing_Stock]]&lt;Table1[[#This Row],[Reorder_Point]],"Stock-out Risk","Adequate")</f>
        <v>Adequate</v>
      </c>
      <c r="AE118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118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118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118" s="11">
        <f>MAX(0,Table1[[#This Row],[Closing_Stock]]-Table1[[#This Row],[Reorder_Point]])</f>
        <v>48.010958904109586</v>
      </c>
      <c r="AI118" s="11">
        <f>Table1[[#This Row],[Excess_Stock_Units]]*Table1[[#This Row],[Unit_Cost_INR]]</f>
        <v>156515.72602739726</v>
      </c>
      <c r="AJ118" s="11">
        <f>IF(Table1[[#This Row],[Criticality]]="Critical",0,Table1[[#This Row],[Excess_Inventory_Value_INR]])</f>
        <v>156515.72602739726</v>
      </c>
      <c r="AK118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119" spans="1:37" x14ac:dyDescent="0.25">
      <c r="A119" t="s">
        <v>511</v>
      </c>
      <c r="B119" t="s">
        <v>83</v>
      </c>
      <c r="C119" t="s">
        <v>32</v>
      </c>
      <c r="D119" t="s">
        <v>21</v>
      </c>
      <c r="E119" t="s">
        <v>22</v>
      </c>
      <c r="F119">
        <v>50</v>
      </c>
      <c r="G119">
        <v>255</v>
      </c>
      <c r="H119">
        <v>260</v>
      </c>
      <c r="I119">
        <v>45</v>
      </c>
      <c r="J119">
        <v>4020</v>
      </c>
      <c r="K119">
        <v>10</v>
      </c>
      <c r="L119">
        <v>0</v>
      </c>
      <c r="M119">
        <v>9</v>
      </c>
      <c r="N119" t="s">
        <v>49</v>
      </c>
      <c r="O119">
        <v>0.24</v>
      </c>
      <c r="P119">
        <v>43416</v>
      </c>
      <c r="Q119">
        <f>(Table1[[#This Row],[Closing_Stock]]*Table1[[#This Row],[Unit_Cost_INR]])</f>
        <v>180900</v>
      </c>
      <c r="R119">
        <f>(Table1[[#This Row],[Unit_Cost_INR]]*Table1[[#This Row],[Consumption]])</f>
        <v>1045200</v>
      </c>
      <c r="S119">
        <f>IFERROR(Table1[[#This Row],[Annual_Consumption_Value_INR]]/Table1[[#This Row],[Inventory_Value_INR]],0)</f>
        <v>5.7777777777777777</v>
      </c>
      <c r="T119">
        <f>IFERROR(365/Table1[[#This Row],[Inventory_Turnover]],0)</f>
        <v>63.173076923076927</v>
      </c>
      <c r="U119" t="str">
        <f>IF(Table1[[#This Row],[Consumption]]=0,"Non-Moving", IF(Table1[[#This Row],[Days_Since_Last_Movement]]&gt;90,"Slow-Moving","Active"))</f>
        <v>Active</v>
      </c>
      <c r="V119">
        <f>SUM($Q$2:Q119)</f>
        <v>53396660</v>
      </c>
      <c r="W119">
        <f>Table1[[#This Row],[Cumulative_Inventory_Value]]/$AP$3</f>
        <v>0.70541513965781522</v>
      </c>
      <c r="X119" t="str">
        <f>IF(Table1[[#This Row],[Cumulative_Value_%]]&lt;80%,"A", IF(Table1[[#This Row],[Cumulative_Value_%]]&lt;=95%,"B","C"))</f>
        <v>A</v>
      </c>
      <c r="Y119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119">
        <f>Table1[[#This Row],[Consumption]]/365</f>
        <v>0.71232876712328763</v>
      </c>
      <c r="AA119">
        <f>Table1[[#This Row],[Avg_Daily_Consumption]]*Table1[[#This Row],[Lead_Time_Days]]+Table1[[#This Row],[Safety_Stock]]</f>
        <v>13.123287671232877</v>
      </c>
      <c r="AB119">
        <f>IFERROR(Table1[[#This Row],[Closing_Stock]]/Table1[[#This Row],[Avg_Daily_Consumption]],9999)</f>
        <v>63.173076923076927</v>
      </c>
      <c r="AC119">
        <f>MAX(1,ROUNDUP(Table1[[#This Row],[Avg_Daily_Consumption]]*Table1[[#This Row],[Lead_Time_Days]]*0.8,0))</f>
        <v>6</v>
      </c>
      <c r="AD119" t="str">
        <f>IF(Table1[[#This Row],[Closing_Stock]]&lt;Table1[[#This Row],[Reorder_Point]],"Stock-out Risk","Adequate")</f>
        <v>Adequate</v>
      </c>
      <c r="AE119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119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119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119" s="11">
        <f>MAX(0,Table1[[#This Row],[Closing_Stock]]-Table1[[#This Row],[Reorder_Point]])</f>
        <v>31.876712328767123</v>
      </c>
      <c r="AI119" s="11">
        <f>Table1[[#This Row],[Excess_Stock_Units]]*Table1[[#This Row],[Unit_Cost_INR]]</f>
        <v>128144.38356164383</v>
      </c>
      <c r="AJ119" s="11">
        <f>IF(Table1[[#This Row],[Criticality]]="Critical",0,Table1[[#This Row],[Excess_Inventory_Value_INR]])</f>
        <v>128144.38356164383</v>
      </c>
      <c r="AK119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120" spans="1:37" x14ac:dyDescent="0.25">
      <c r="A120" t="s">
        <v>196</v>
      </c>
      <c r="B120" t="s">
        <v>85</v>
      </c>
      <c r="C120" t="s">
        <v>41</v>
      </c>
      <c r="D120" t="s">
        <v>27</v>
      </c>
      <c r="E120" t="s">
        <v>22</v>
      </c>
      <c r="F120">
        <v>72</v>
      </c>
      <c r="G120">
        <v>64</v>
      </c>
      <c r="H120">
        <v>78</v>
      </c>
      <c r="I120">
        <v>58</v>
      </c>
      <c r="J120">
        <v>3100</v>
      </c>
      <c r="K120">
        <v>3</v>
      </c>
      <c r="L120">
        <v>1</v>
      </c>
      <c r="M120">
        <v>143</v>
      </c>
      <c r="N120" t="s">
        <v>38</v>
      </c>
      <c r="O120">
        <v>0.26600000000000001</v>
      </c>
      <c r="P120">
        <v>47826.8</v>
      </c>
      <c r="Q120">
        <f>(Table1[[#This Row],[Closing_Stock]]*Table1[[#This Row],[Unit_Cost_INR]])</f>
        <v>179800</v>
      </c>
      <c r="R120">
        <f>(Table1[[#This Row],[Unit_Cost_INR]]*Table1[[#This Row],[Consumption]])</f>
        <v>241800</v>
      </c>
      <c r="S120">
        <f>IFERROR(Table1[[#This Row],[Annual_Consumption_Value_INR]]/Table1[[#This Row],[Inventory_Value_INR]],0)</f>
        <v>1.3448275862068966</v>
      </c>
      <c r="T120">
        <f>IFERROR(365/Table1[[#This Row],[Inventory_Turnover]],0)</f>
        <v>271.41025641025641</v>
      </c>
      <c r="U120" t="str">
        <f>IF(Table1[[#This Row],[Consumption]]=0,"Non-Moving", IF(Table1[[#This Row],[Days_Since_Last_Movement]]&gt;90,"Slow-Moving","Active"))</f>
        <v>Slow-Moving</v>
      </c>
      <c r="V120">
        <f>SUM($Q$2:Q120)</f>
        <v>53576460</v>
      </c>
      <c r="W120">
        <f>Table1[[#This Row],[Cumulative_Inventory_Value]]/$AP$3</f>
        <v>0.70779045006319408</v>
      </c>
      <c r="X120" t="str">
        <f>IF(Table1[[#This Row],[Cumulative_Value_%]]&lt;80%,"A", IF(Table1[[#This Row],[Cumulative_Value_%]]&lt;=95%,"B","C"))</f>
        <v>A</v>
      </c>
      <c r="Y120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High Review</v>
      </c>
      <c r="Z120">
        <f>Table1[[#This Row],[Consumption]]/365</f>
        <v>0.21369863013698631</v>
      </c>
      <c r="AA120">
        <f>Table1[[#This Row],[Avg_Daily_Consumption]]*Table1[[#This Row],[Lead_Time_Days]]+Table1[[#This Row],[Safety_Stock]]</f>
        <v>1.6410958904109589</v>
      </c>
      <c r="AB120">
        <f>IFERROR(Table1[[#This Row],[Closing_Stock]]/Table1[[#This Row],[Avg_Daily_Consumption]],9999)</f>
        <v>271.41025641025641</v>
      </c>
      <c r="AC120">
        <f>MAX(1,ROUNDUP(Table1[[#This Row],[Avg_Daily_Consumption]]*Table1[[#This Row],[Lead_Time_Days]]*0.8,0))</f>
        <v>1</v>
      </c>
      <c r="AD120" t="str">
        <f>IF(Table1[[#This Row],[Closing_Stock]]&lt;Table1[[#This Row],[Reorder_Point]],"Stock-out Risk","Adequate")</f>
        <v>Adequate</v>
      </c>
      <c r="AE120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120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 Safety Stock</v>
      </c>
      <c r="AG120">
        <f>IF(Table1[[#This Row],[Action_Recommendation]]="Review for Disposal/De-procurement",Table1[[#This Row],[Inventory_Value_INR]]*70%,IF(Table1[[#This Row],[Action_Recommendation]]="Review Safety Stock",Table1[[#This Row],[Inventory_Value_INR]]*20%,0))</f>
        <v>35960</v>
      </c>
      <c r="AH120" s="11">
        <f>MAX(0,Table1[[#This Row],[Closing_Stock]]-Table1[[#This Row],[Reorder_Point]])</f>
        <v>56.358904109589041</v>
      </c>
      <c r="AI120" s="11">
        <f>Table1[[#This Row],[Excess_Stock_Units]]*Table1[[#This Row],[Unit_Cost_INR]]</f>
        <v>174712.60273972602</v>
      </c>
      <c r="AJ120" s="11">
        <f>IF(Table1[[#This Row],[Criticality]]="Critical",0,Table1[[#This Row],[Excess_Inventory_Value_INR]])</f>
        <v>174712.60273972602</v>
      </c>
      <c r="AK120" s="11">
        <f>IF(AND(Table1[[#This Row],[Criticality]]&lt;&gt;"Critical",OR(Table1[[#This Row],[Movement_Class]]="Slow-Moving",Table1[[#This Row],[Movement_Class]]="Non-Moving")),Table1[[#This Row],[Excess_Inventory_Value_INR]],0)</f>
        <v>174712.60273972602</v>
      </c>
    </row>
    <row r="121" spans="1:37" x14ac:dyDescent="0.25">
      <c r="A121" t="s">
        <v>153</v>
      </c>
      <c r="B121" t="s">
        <v>85</v>
      </c>
      <c r="C121" t="s">
        <v>41</v>
      </c>
      <c r="D121" t="s">
        <v>27</v>
      </c>
      <c r="E121" t="s">
        <v>37</v>
      </c>
      <c r="F121">
        <v>12</v>
      </c>
      <c r="G121">
        <v>32</v>
      </c>
      <c r="H121">
        <v>28</v>
      </c>
      <c r="I121">
        <v>16</v>
      </c>
      <c r="J121">
        <v>11230</v>
      </c>
      <c r="K121">
        <v>15</v>
      </c>
      <c r="L121">
        <v>1</v>
      </c>
      <c r="M121">
        <v>91</v>
      </c>
      <c r="N121" t="s">
        <v>33</v>
      </c>
      <c r="O121">
        <v>0.16800000000000001</v>
      </c>
      <c r="P121">
        <v>30186.240000000002</v>
      </c>
      <c r="Q121">
        <f>(Table1[[#This Row],[Closing_Stock]]*Table1[[#This Row],[Unit_Cost_INR]])</f>
        <v>179680</v>
      </c>
      <c r="R121">
        <f>(Table1[[#This Row],[Unit_Cost_INR]]*Table1[[#This Row],[Consumption]])</f>
        <v>314440</v>
      </c>
      <c r="S121">
        <f>IFERROR(Table1[[#This Row],[Annual_Consumption_Value_INR]]/Table1[[#This Row],[Inventory_Value_INR]],0)</f>
        <v>1.75</v>
      </c>
      <c r="T121">
        <f>IFERROR(365/Table1[[#This Row],[Inventory_Turnover]],0)</f>
        <v>208.57142857142858</v>
      </c>
      <c r="U121" t="str">
        <f>IF(Table1[[#This Row],[Consumption]]=0,"Non-Moving", IF(Table1[[#This Row],[Days_Since_Last_Movement]]&gt;90,"Slow-Moving","Active"))</f>
        <v>Slow-Moving</v>
      </c>
      <c r="V121">
        <f>SUM($Q$2:Q121)</f>
        <v>53756140</v>
      </c>
      <c r="W121">
        <f>Table1[[#This Row],[Cumulative_Inventory_Value]]/$AP$3</f>
        <v>0.71016417516685626</v>
      </c>
      <c r="X121" t="str">
        <f>IF(Table1[[#This Row],[Cumulative_Value_%]]&lt;80%,"A", IF(Table1[[#This Row],[Cumulative_Value_%]]&lt;=95%,"B","C"))</f>
        <v>A</v>
      </c>
      <c r="Y121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High Review</v>
      </c>
      <c r="Z121">
        <f>Table1[[#This Row],[Consumption]]/365</f>
        <v>7.6712328767123292E-2</v>
      </c>
      <c r="AA121">
        <f>Table1[[#This Row],[Avg_Daily_Consumption]]*Table1[[#This Row],[Lead_Time_Days]]+Table1[[#This Row],[Safety_Stock]]</f>
        <v>2.1506849315068495</v>
      </c>
      <c r="AB121">
        <f>IFERROR(Table1[[#This Row],[Closing_Stock]]/Table1[[#This Row],[Avg_Daily_Consumption]],9999)</f>
        <v>208.57142857142856</v>
      </c>
      <c r="AC121">
        <f>MAX(1,ROUNDUP(Table1[[#This Row],[Avg_Daily_Consumption]]*Table1[[#This Row],[Lead_Time_Days]]*0.8,0))</f>
        <v>1</v>
      </c>
      <c r="AD121" t="str">
        <f>IF(Table1[[#This Row],[Closing_Stock]]&lt;Table1[[#This Row],[Reorder_Point]],"Stock-out Risk","Adequate")</f>
        <v>Adequate</v>
      </c>
      <c r="AE121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121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121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121" s="11">
        <f>MAX(0,Table1[[#This Row],[Closing_Stock]]-Table1[[#This Row],[Reorder_Point]])</f>
        <v>13.849315068493151</v>
      </c>
      <c r="AI121" s="11">
        <f>Table1[[#This Row],[Excess_Stock_Units]]*Table1[[#This Row],[Unit_Cost_INR]]</f>
        <v>155527.80821917808</v>
      </c>
      <c r="AJ121" s="11">
        <f>IF(Table1[[#This Row],[Criticality]]="Critical",0,Table1[[#This Row],[Excess_Inventory_Value_INR]])</f>
        <v>0</v>
      </c>
      <c r="AK121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122" spans="1:37" x14ac:dyDescent="0.25">
      <c r="A122" t="s">
        <v>24</v>
      </c>
      <c r="B122" t="s">
        <v>25</v>
      </c>
      <c r="C122" t="s">
        <v>26</v>
      </c>
      <c r="D122" t="s">
        <v>27</v>
      </c>
      <c r="E122" t="s">
        <v>28</v>
      </c>
      <c r="F122">
        <v>89</v>
      </c>
      <c r="G122">
        <v>144</v>
      </c>
      <c r="H122">
        <v>100</v>
      </c>
      <c r="I122">
        <v>133</v>
      </c>
      <c r="J122">
        <v>1350</v>
      </c>
      <c r="K122">
        <v>15</v>
      </c>
      <c r="L122">
        <v>0</v>
      </c>
      <c r="M122">
        <v>14</v>
      </c>
      <c r="N122" t="s">
        <v>29</v>
      </c>
      <c r="O122">
        <v>0.222</v>
      </c>
      <c r="P122">
        <v>39860.1</v>
      </c>
      <c r="Q122">
        <f>(Table1[[#This Row],[Closing_Stock]]*Table1[[#This Row],[Unit_Cost_INR]])</f>
        <v>179550</v>
      </c>
      <c r="R122">
        <f>(Table1[[#This Row],[Unit_Cost_INR]]*Table1[[#This Row],[Consumption]])</f>
        <v>135000</v>
      </c>
      <c r="S122">
        <f>IFERROR(Table1[[#This Row],[Annual_Consumption_Value_INR]]/Table1[[#This Row],[Inventory_Value_INR]],0)</f>
        <v>0.75187969924812026</v>
      </c>
      <c r="T122">
        <f>IFERROR(365/Table1[[#This Row],[Inventory_Turnover]],0)</f>
        <v>485.45000000000005</v>
      </c>
      <c r="U122" t="str">
        <f>IF(Table1[[#This Row],[Consumption]]=0,"Non-Moving", IF(Table1[[#This Row],[Days_Since_Last_Movement]]&gt;90,"Slow-Moving","Active"))</f>
        <v>Active</v>
      </c>
      <c r="V122">
        <f>SUM($Q$2:Q122)</f>
        <v>53935690</v>
      </c>
      <c r="W122">
        <f>Table1[[#This Row],[Cumulative_Inventory_Value]]/$AP$3</f>
        <v>0.7125361828603255</v>
      </c>
      <c r="X122" t="str">
        <f>IF(Table1[[#This Row],[Cumulative_Value_%]]&lt;80%,"A", IF(Table1[[#This Row],[Cumulative_Value_%]]&lt;=95%,"B","C"))</f>
        <v>A</v>
      </c>
      <c r="Y122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122">
        <f>Table1[[#This Row],[Consumption]]/365</f>
        <v>0.27397260273972601</v>
      </c>
      <c r="AA122">
        <f>Table1[[#This Row],[Avg_Daily_Consumption]]*Table1[[#This Row],[Lead_Time_Days]]+Table1[[#This Row],[Safety_Stock]]</f>
        <v>8.1095890410958908</v>
      </c>
      <c r="AB122">
        <f>IFERROR(Table1[[#This Row],[Closing_Stock]]/Table1[[#This Row],[Avg_Daily_Consumption]],9999)</f>
        <v>485.45000000000005</v>
      </c>
      <c r="AC122">
        <f>MAX(1,ROUNDUP(Table1[[#This Row],[Avg_Daily_Consumption]]*Table1[[#This Row],[Lead_Time_Days]]*0.8,0))</f>
        <v>4</v>
      </c>
      <c r="AD122" t="str">
        <f>IF(Table1[[#This Row],[Closing_Stock]]&lt;Table1[[#This Row],[Reorder_Point]],"Stock-out Risk","Adequate")</f>
        <v>Adequate</v>
      </c>
      <c r="AE122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122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122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122" s="11">
        <f>MAX(0,Table1[[#This Row],[Closing_Stock]]-Table1[[#This Row],[Reorder_Point]])</f>
        <v>124.89041095890411</v>
      </c>
      <c r="AI122" s="11">
        <f>Table1[[#This Row],[Excess_Stock_Units]]*Table1[[#This Row],[Unit_Cost_INR]]</f>
        <v>168602.05479452055</v>
      </c>
      <c r="AJ122" s="11">
        <f>IF(Table1[[#This Row],[Criticality]]="Critical",0,Table1[[#This Row],[Excess_Inventory_Value_INR]])</f>
        <v>168602.05479452055</v>
      </c>
      <c r="AK122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123" spans="1:37" x14ac:dyDescent="0.25">
      <c r="A123" t="s">
        <v>522</v>
      </c>
      <c r="B123" t="s">
        <v>48</v>
      </c>
      <c r="C123" t="s">
        <v>41</v>
      </c>
      <c r="D123" t="s">
        <v>27</v>
      </c>
      <c r="E123" t="s">
        <v>37</v>
      </c>
      <c r="F123">
        <v>13</v>
      </c>
      <c r="G123">
        <v>20</v>
      </c>
      <c r="H123">
        <v>3</v>
      </c>
      <c r="I123">
        <v>78</v>
      </c>
      <c r="J123">
        <v>2290</v>
      </c>
      <c r="K123">
        <v>26</v>
      </c>
      <c r="L123">
        <v>0</v>
      </c>
      <c r="M123">
        <v>246</v>
      </c>
      <c r="N123" t="s">
        <v>58</v>
      </c>
      <c r="O123">
        <v>0.17799999999999999</v>
      </c>
      <c r="P123">
        <v>31794.36</v>
      </c>
      <c r="Q123">
        <f>(Table1[[#This Row],[Closing_Stock]]*Table1[[#This Row],[Unit_Cost_INR]])</f>
        <v>178620</v>
      </c>
      <c r="R123">
        <f>(Table1[[#This Row],[Unit_Cost_INR]]*Table1[[#This Row],[Consumption]])</f>
        <v>6870</v>
      </c>
      <c r="S123">
        <f>IFERROR(Table1[[#This Row],[Annual_Consumption_Value_INR]]/Table1[[#This Row],[Inventory_Value_INR]],0)</f>
        <v>3.8461538461538464E-2</v>
      </c>
      <c r="T123">
        <f>IFERROR(365/Table1[[#This Row],[Inventory_Turnover]],0)</f>
        <v>9490</v>
      </c>
      <c r="U123" t="str">
        <f>IF(Table1[[#This Row],[Consumption]]=0,"Non-Moving", IF(Table1[[#This Row],[Days_Since_Last_Movement]]&gt;90,"Slow-Moving","Active"))</f>
        <v>Slow-Moving</v>
      </c>
      <c r="V123">
        <f>SUM($Q$2:Q123)</f>
        <v>54114310</v>
      </c>
      <c r="W123">
        <f>Table1[[#This Row],[Cumulative_Inventory_Value]]/$AP$3</f>
        <v>0.71489590446549112</v>
      </c>
      <c r="X123" t="str">
        <f>IF(Table1[[#This Row],[Cumulative_Value_%]]&lt;80%,"A", IF(Table1[[#This Row],[Cumulative_Value_%]]&lt;=95%,"B","C"))</f>
        <v>A</v>
      </c>
      <c r="Y123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High Review</v>
      </c>
      <c r="Z123">
        <f>Table1[[#This Row],[Consumption]]/365</f>
        <v>8.21917808219178E-3</v>
      </c>
      <c r="AA123">
        <f>Table1[[#This Row],[Avg_Daily_Consumption]]*Table1[[#This Row],[Lead_Time_Days]]+Table1[[#This Row],[Safety_Stock]]</f>
        <v>1.2136986301369863</v>
      </c>
      <c r="AB123">
        <f>IFERROR(Table1[[#This Row],[Closing_Stock]]/Table1[[#This Row],[Avg_Daily_Consumption]],9999)</f>
        <v>9490.0000000000018</v>
      </c>
      <c r="AC123">
        <f>MAX(1,ROUNDUP(Table1[[#This Row],[Avg_Daily_Consumption]]*Table1[[#This Row],[Lead_Time_Days]]*0.8,0))</f>
        <v>1</v>
      </c>
      <c r="AD123" t="str">
        <f>IF(Table1[[#This Row],[Closing_Stock]]&lt;Table1[[#This Row],[Reorder_Point]],"Stock-out Risk","Adequate")</f>
        <v>Adequate</v>
      </c>
      <c r="AE123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123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123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123" s="11">
        <f>MAX(0,Table1[[#This Row],[Closing_Stock]]-Table1[[#This Row],[Reorder_Point]])</f>
        <v>76.786301369863011</v>
      </c>
      <c r="AI123" s="11">
        <f>Table1[[#This Row],[Excess_Stock_Units]]*Table1[[#This Row],[Unit_Cost_INR]]</f>
        <v>175840.63013698629</v>
      </c>
      <c r="AJ123" s="11">
        <f>IF(Table1[[#This Row],[Criticality]]="Critical",0,Table1[[#This Row],[Excess_Inventory_Value_INR]])</f>
        <v>0</v>
      </c>
      <c r="AK123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124" spans="1:37" x14ac:dyDescent="0.25">
      <c r="A124" t="s">
        <v>571</v>
      </c>
      <c r="B124" t="s">
        <v>95</v>
      </c>
      <c r="C124" t="s">
        <v>26</v>
      </c>
      <c r="D124" t="s">
        <v>66</v>
      </c>
      <c r="E124" t="s">
        <v>22</v>
      </c>
      <c r="F124">
        <v>17</v>
      </c>
      <c r="G124">
        <v>17</v>
      </c>
      <c r="H124">
        <v>0</v>
      </c>
      <c r="I124">
        <v>79</v>
      </c>
      <c r="J124">
        <v>2240</v>
      </c>
      <c r="K124">
        <v>15</v>
      </c>
      <c r="L124">
        <v>0</v>
      </c>
      <c r="M124">
        <v>381</v>
      </c>
      <c r="N124" t="s">
        <v>49</v>
      </c>
      <c r="O124">
        <v>0.27300000000000002</v>
      </c>
      <c r="P124">
        <v>48310.080000000002</v>
      </c>
      <c r="Q124">
        <f>(Table1[[#This Row],[Closing_Stock]]*Table1[[#This Row],[Unit_Cost_INR]])</f>
        <v>176960</v>
      </c>
      <c r="R124">
        <f>(Table1[[#This Row],[Unit_Cost_INR]]*Table1[[#This Row],[Consumption]])</f>
        <v>0</v>
      </c>
      <c r="S124">
        <f>IFERROR(Table1[[#This Row],[Annual_Consumption_Value_INR]]/Table1[[#This Row],[Inventory_Value_INR]],0)</f>
        <v>0</v>
      </c>
      <c r="T124">
        <f>IFERROR(365/Table1[[#This Row],[Inventory_Turnover]],0)</f>
        <v>0</v>
      </c>
      <c r="U124" t="str">
        <f>IF(Table1[[#This Row],[Consumption]]=0,"Non-Moving", IF(Table1[[#This Row],[Days_Since_Last_Movement]]&gt;90,"Slow-Moving","Active"))</f>
        <v>Non-Moving</v>
      </c>
      <c r="V124">
        <f>SUM($Q$2:Q124)</f>
        <v>54291270</v>
      </c>
      <c r="W124">
        <f>Table1[[#This Row],[Cumulative_Inventory_Value]]/$AP$3</f>
        <v>0.7172336960635769</v>
      </c>
      <c r="X124" t="str">
        <f>IF(Table1[[#This Row],[Cumulative_Value_%]]&lt;80%,"A", IF(Table1[[#This Row],[Cumulative_Value_%]]&lt;=95%,"B","C"))</f>
        <v>A</v>
      </c>
      <c r="Y124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Critical Review</v>
      </c>
      <c r="Z124">
        <f>Table1[[#This Row],[Consumption]]/365</f>
        <v>0</v>
      </c>
      <c r="AA124">
        <f>Table1[[#This Row],[Avg_Daily_Consumption]]*Table1[[#This Row],[Lead_Time_Days]]+Table1[[#This Row],[Safety_Stock]]</f>
        <v>1</v>
      </c>
      <c r="AB124">
        <f>IFERROR(Table1[[#This Row],[Closing_Stock]]/Table1[[#This Row],[Avg_Daily_Consumption]],9999)</f>
        <v>9999</v>
      </c>
      <c r="AC124">
        <f>MAX(1,ROUNDUP(Table1[[#This Row],[Avg_Daily_Consumption]]*Table1[[#This Row],[Lead_Time_Days]]*0.8,0))</f>
        <v>1</v>
      </c>
      <c r="AD124" t="str">
        <f>IF(Table1[[#This Row],[Closing_Stock]]&lt;Table1[[#This Row],[Reorder_Point]],"Stock-out Risk","Adequate")</f>
        <v>Adequate</v>
      </c>
      <c r="AE124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124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 for Disposal/De-procurement</v>
      </c>
      <c r="AG124">
        <f>IF(Table1[[#This Row],[Action_Recommendation]]="Review for Disposal/De-procurement",Table1[[#This Row],[Inventory_Value_INR]]*70%,IF(Table1[[#This Row],[Action_Recommendation]]="Review Safety Stock",Table1[[#This Row],[Inventory_Value_INR]]*20%,0))</f>
        <v>123871.99999999999</v>
      </c>
      <c r="AH124" s="11">
        <f>MAX(0,Table1[[#This Row],[Closing_Stock]]-Table1[[#This Row],[Reorder_Point]])</f>
        <v>78</v>
      </c>
      <c r="AI124" s="11">
        <f>Table1[[#This Row],[Excess_Stock_Units]]*Table1[[#This Row],[Unit_Cost_INR]]</f>
        <v>174720</v>
      </c>
      <c r="AJ124" s="11">
        <f>IF(Table1[[#This Row],[Criticality]]="Critical",0,Table1[[#This Row],[Excess_Inventory_Value_INR]])</f>
        <v>174720</v>
      </c>
      <c r="AK124" s="11">
        <f>IF(AND(Table1[[#This Row],[Criticality]]&lt;&gt;"Critical",OR(Table1[[#This Row],[Movement_Class]]="Slow-Moving",Table1[[#This Row],[Movement_Class]]="Non-Moving")),Table1[[#This Row],[Excess_Inventory_Value_INR]],0)</f>
        <v>174720</v>
      </c>
    </row>
    <row r="125" spans="1:37" x14ac:dyDescent="0.25">
      <c r="A125" t="s">
        <v>422</v>
      </c>
      <c r="B125" t="s">
        <v>113</v>
      </c>
      <c r="C125" t="s">
        <v>36</v>
      </c>
      <c r="D125" t="s">
        <v>27</v>
      </c>
      <c r="E125" t="s">
        <v>37</v>
      </c>
      <c r="F125">
        <v>12</v>
      </c>
      <c r="G125">
        <v>8</v>
      </c>
      <c r="H125">
        <v>0</v>
      </c>
      <c r="I125">
        <v>63</v>
      </c>
      <c r="J125">
        <v>2770</v>
      </c>
      <c r="K125">
        <v>43</v>
      </c>
      <c r="L125">
        <v>0</v>
      </c>
      <c r="M125">
        <v>668</v>
      </c>
      <c r="N125" t="s">
        <v>29</v>
      </c>
      <c r="O125">
        <v>0.27800000000000002</v>
      </c>
      <c r="P125">
        <v>48513.780000000013</v>
      </c>
      <c r="Q125">
        <f>(Table1[[#This Row],[Closing_Stock]]*Table1[[#This Row],[Unit_Cost_INR]])</f>
        <v>174510</v>
      </c>
      <c r="R125">
        <f>(Table1[[#This Row],[Unit_Cost_INR]]*Table1[[#This Row],[Consumption]])</f>
        <v>0</v>
      </c>
      <c r="S125">
        <f>IFERROR(Table1[[#This Row],[Annual_Consumption_Value_INR]]/Table1[[#This Row],[Inventory_Value_INR]],0)</f>
        <v>0</v>
      </c>
      <c r="T125">
        <f>IFERROR(365/Table1[[#This Row],[Inventory_Turnover]],0)</f>
        <v>0</v>
      </c>
      <c r="U125" t="str">
        <f>IF(Table1[[#This Row],[Consumption]]=0,"Non-Moving", IF(Table1[[#This Row],[Days_Since_Last_Movement]]&gt;90,"Slow-Moving","Active"))</f>
        <v>Non-Moving</v>
      </c>
      <c r="V125">
        <f>SUM($Q$2:Q125)</f>
        <v>54465780</v>
      </c>
      <c r="W125">
        <f>Table1[[#This Row],[Cumulative_Inventory_Value]]/$AP$3</f>
        <v>0.71953912108494877</v>
      </c>
      <c r="X125" t="str">
        <f>IF(Table1[[#This Row],[Cumulative_Value_%]]&lt;80%,"A", IF(Table1[[#This Row],[Cumulative_Value_%]]&lt;=95%,"B","C"))</f>
        <v>A</v>
      </c>
      <c r="Y125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Critical Review</v>
      </c>
      <c r="Z125">
        <f>Table1[[#This Row],[Consumption]]/365</f>
        <v>0</v>
      </c>
      <c r="AA125">
        <f>Table1[[#This Row],[Avg_Daily_Consumption]]*Table1[[#This Row],[Lead_Time_Days]]+Table1[[#This Row],[Safety_Stock]]</f>
        <v>1</v>
      </c>
      <c r="AB125">
        <f>IFERROR(Table1[[#This Row],[Closing_Stock]]/Table1[[#This Row],[Avg_Daily_Consumption]],9999)</f>
        <v>9999</v>
      </c>
      <c r="AC125">
        <f>MAX(1,ROUNDUP(Table1[[#This Row],[Avg_Daily_Consumption]]*Table1[[#This Row],[Lead_Time_Days]]*0.8,0))</f>
        <v>1</v>
      </c>
      <c r="AD125" t="str">
        <f>IF(Table1[[#This Row],[Closing_Stock]]&lt;Table1[[#This Row],[Reorder_Point]],"Stock-out Risk","Adequate")</f>
        <v>Adequate</v>
      </c>
      <c r="AE125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125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125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125" s="11">
        <f>MAX(0,Table1[[#This Row],[Closing_Stock]]-Table1[[#This Row],[Reorder_Point]])</f>
        <v>62</v>
      </c>
      <c r="AI125" s="11">
        <f>Table1[[#This Row],[Excess_Stock_Units]]*Table1[[#This Row],[Unit_Cost_INR]]</f>
        <v>171740</v>
      </c>
      <c r="AJ125" s="11">
        <f>IF(Table1[[#This Row],[Criticality]]="Critical",0,Table1[[#This Row],[Excess_Inventory_Value_INR]])</f>
        <v>0</v>
      </c>
      <c r="AK125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126" spans="1:37" x14ac:dyDescent="0.25">
      <c r="A126" t="s">
        <v>384</v>
      </c>
      <c r="B126" t="s">
        <v>44</v>
      </c>
      <c r="C126" t="s">
        <v>41</v>
      </c>
      <c r="D126" t="s">
        <v>21</v>
      </c>
      <c r="E126" t="s">
        <v>22</v>
      </c>
      <c r="F126">
        <v>19</v>
      </c>
      <c r="G126">
        <v>1</v>
      </c>
      <c r="H126">
        <v>1</v>
      </c>
      <c r="I126">
        <v>19</v>
      </c>
      <c r="J126">
        <v>9180</v>
      </c>
      <c r="K126">
        <v>33</v>
      </c>
      <c r="L126">
        <v>0</v>
      </c>
      <c r="M126">
        <v>241</v>
      </c>
      <c r="N126" t="s">
        <v>23</v>
      </c>
      <c r="O126">
        <v>0.27100000000000002</v>
      </c>
      <c r="P126">
        <v>47267.82</v>
      </c>
      <c r="Q126">
        <f>(Table1[[#This Row],[Closing_Stock]]*Table1[[#This Row],[Unit_Cost_INR]])</f>
        <v>174420</v>
      </c>
      <c r="R126">
        <f>(Table1[[#This Row],[Unit_Cost_INR]]*Table1[[#This Row],[Consumption]])</f>
        <v>9180</v>
      </c>
      <c r="S126">
        <f>IFERROR(Table1[[#This Row],[Annual_Consumption_Value_INR]]/Table1[[#This Row],[Inventory_Value_INR]],0)</f>
        <v>5.2631578947368418E-2</v>
      </c>
      <c r="T126">
        <f>IFERROR(365/Table1[[#This Row],[Inventory_Turnover]],0)</f>
        <v>6935</v>
      </c>
      <c r="U126" t="str">
        <f>IF(Table1[[#This Row],[Consumption]]=0,"Non-Moving", IF(Table1[[#This Row],[Days_Since_Last_Movement]]&gt;90,"Slow-Moving","Active"))</f>
        <v>Slow-Moving</v>
      </c>
      <c r="V126">
        <f>SUM($Q$2:Q126)</f>
        <v>54640200</v>
      </c>
      <c r="W126">
        <f>Table1[[#This Row],[Cumulative_Inventory_Value]]/$AP$3</f>
        <v>0.72184335713003323</v>
      </c>
      <c r="X126" t="str">
        <f>IF(Table1[[#This Row],[Cumulative_Value_%]]&lt;80%,"A", IF(Table1[[#This Row],[Cumulative_Value_%]]&lt;=95%,"B","C"))</f>
        <v>A</v>
      </c>
      <c r="Y126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High Review</v>
      </c>
      <c r="Z126">
        <f>Table1[[#This Row],[Consumption]]/365</f>
        <v>2.7397260273972603E-3</v>
      </c>
      <c r="AA126">
        <f>Table1[[#This Row],[Avg_Daily_Consumption]]*Table1[[#This Row],[Lead_Time_Days]]+Table1[[#This Row],[Safety_Stock]]</f>
        <v>1.0904109589041096</v>
      </c>
      <c r="AB126">
        <f>IFERROR(Table1[[#This Row],[Closing_Stock]]/Table1[[#This Row],[Avg_Daily_Consumption]],9999)</f>
        <v>6935</v>
      </c>
      <c r="AC126">
        <f>MAX(1,ROUNDUP(Table1[[#This Row],[Avg_Daily_Consumption]]*Table1[[#This Row],[Lead_Time_Days]]*0.8,0))</f>
        <v>1</v>
      </c>
      <c r="AD126" t="str">
        <f>IF(Table1[[#This Row],[Closing_Stock]]&lt;Table1[[#This Row],[Reorder_Point]],"Stock-out Risk","Adequate")</f>
        <v>Adequate</v>
      </c>
      <c r="AE126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126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 Safety Stock</v>
      </c>
      <c r="AG126">
        <f>IF(Table1[[#This Row],[Action_Recommendation]]="Review for Disposal/De-procurement",Table1[[#This Row],[Inventory_Value_INR]]*70%,IF(Table1[[#This Row],[Action_Recommendation]]="Review Safety Stock",Table1[[#This Row],[Inventory_Value_INR]]*20%,0))</f>
        <v>34884</v>
      </c>
      <c r="AH126" s="11">
        <f>MAX(0,Table1[[#This Row],[Closing_Stock]]-Table1[[#This Row],[Reorder_Point]])</f>
        <v>17.909589041095892</v>
      </c>
      <c r="AI126" s="11">
        <f>Table1[[#This Row],[Excess_Stock_Units]]*Table1[[#This Row],[Unit_Cost_INR]]</f>
        <v>164410.02739726027</v>
      </c>
      <c r="AJ126" s="11">
        <f>IF(Table1[[#This Row],[Criticality]]="Critical",0,Table1[[#This Row],[Excess_Inventory_Value_INR]])</f>
        <v>164410.02739726027</v>
      </c>
      <c r="AK126" s="11">
        <f>IF(AND(Table1[[#This Row],[Criticality]]&lt;&gt;"Critical",OR(Table1[[#This Row],[Movement_Class]]="Slow-Moving",Table1[[#This Row],[Movement_Class]]="Non-Moving")),Table1[[#This Row],[Excess_Inventory_Value_INR]],0)</f>
        <v>164410.02739726027</v>
      </c>
    </row>
    <row r="127" spans="1:37" x14ac:dyDescent="0.25">
      <c r="A127" t="s">
        <v>412</v>
      </c>
      <c r="B127" t="s">
        <v>48</v>
      </c>
      <c r="C127" t="s">
        <v>41</v>
      </c>
      <c r="D127" t="s">
        <v>27</v>
      </c>
      <c r="E127" t="s">
        <v>22</v>
      </c>
      <c r="F127">
        <v>67</v>
      </c>
      <c r="G127">
        <v>120</v>
      </c>
      <c r="H127">
        <v>0</v>
      </c>
      <c r="I127">
        <v>144</v>
      </c>
      <c r="J127">
        <v>1210</v>
      </c>
      <c r="K127">
        <v>18</v>
      </c>
      <c r="L127">
        <v>0</v>
      </c>
      <c r="M127">
        <v>582</v>
      </c>
      <c r="N127" t="s">
        <v>58</v>
      </c>
      <c r="O127">
        <v>0.24399999999999999</v>
      </c>
      <c r="P127">
        <v>42514.559999999998</v>
      </c>
      <c r="Q127">
        <f>(Table1[[#This Row],[Closing_Stock]]*Table1[[#This Row],[Unit_Cost_INR]])</f>
        <v>174240</v>
      </c>
      <c r="R127">
        <f>(Table1[[#This Row],[Unit_Cost_INR]]*Table1[[#This Row],[Consumption]])</f>
        <v>0</v>
      </c>
      <c r="S127">
        <f>IFERROR(Table1[[#This Row],[Annual_Consumption_Value_INR]]/Table1[[#This Row],[Inventory_Value_INR]],0)</f>
        <v>0</v>
      </c>
      <c r="T127">
        <f>IFERROR(365/Table1[[#This Row],[Inventory_Turnover]],0)</f>
        <v>0</v>
      </c>
      <c r="U127" t="str">
        <f>IF(Table1[[#This Row],[Consumption]]=0,"Non-Moving", IF(Table1[[#This Row],[Days_Since_Last_Movement]]&gt;90,"Slow-Moving","Active"))</f>
        <v>Non-Moving</v>
      </c>
      <c r="V127">
        <f>SUM($Q$2:Q127)</f>
        <v>54814440</v>
      </c>
      <c r="W127">
        <f>Table1[[#This Row],[Cumulative_Inventory_Value]]/$AP$3</f>
        <v>0.72414521522254272</v>
      </c>
      <c r="X127" t="str">
        <f>IF(Table1[[#This Row],[Cumulative_Value_%]]&lt;80%,"A", IF(Table1[[#This Row],[Cumulative_Value_%]]&lt;=95%,"B","C"))</f>
        <v>A</v>
      </c>
      <c r="Y127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Critical Review</v>
      </c>
      <c r="Z127">
        <f>Table1[[#This Row],[Consumption]]/365</f>
        <v>0</v>
      </c>
      <c r="AA127">
        <f>Table1[[#This Row],[Avg_Daily_Consumption]]*Table1[[#This Row],[Lead_Time_Days]]+Table1[[#This Row],[Safety_Stock]]</f>
        <v>1</v>
      </c>
      <c r="AB127">
        <f>IFERROR(Table1[[#This Row],[Closing_Stock]]/Table1[[#This Row],[Avg_Daily_Consumption]],9999)</f>
        <v>9999</v>
      </c>
      <c r="AC127">
        <f>MAX(1,ROUNDUP(Table1[[#This Row],[Avg_Daily_Consumption]]*Table1[[#This Row],[Lead_Time_Days]]*0.8,0))</f>
        <v>1</v>
      </c>
      <c r="AD127" t="str">
        <f>IF(Table1[[#This Row],[Closing_Stock]]&lt;Table1[[#This Row],[Reorder_Point]],"Stock-out Risk","Adequate")</f>
        <v>Adequate</v>
      </c>
      <c r="AE127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127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 for Disposal/De-procurement</v>
      </c>
      <c r="AG127">
        <f>IF(Table1[[#This Row],[Action_Recommendation]]="Review for Disposal/De-procurement",Table1[[#This Row],[Inventory_Value_INR]]*70%,IF(Table1[[#This Row],[Action_Recommendation]]="Review Safety Stock",Table1[[#This Row],[Inventory_Value_INR]]*20%,0))</f>
        <v>121967.99999999999</v>
      </c>
      <c r="AH127" s="11">
        <f>MAX(0,Table1[[#This Row],[Closing_Stock]]-Table1[[#This Row],[Reorder_Point]])</f>
        <v>143</v>
      </c>
      <c r="AI127" s="11">
        <f>Table1[[#This Row],[Excess_Stock_Units]]*Table1[[#This Row],[Unit_Cost_INR]]</f>
        <v>173030</v>
      </c>
      <c r="AJ127" s="11">
        <f>IF(Table1[[#This Row],[Criticality]]="Critical",0,Table1[[#This Row],[Excess_Inventory_Value_INR]])</f>
        <v>173030</v>
      </c>
      <c r="AK127" s="11">
        <f>IF(AND(Table1[[#This Row],[Criticality]]&lt;&gt;"Critical",OR(Table1[[#This Row],[Movement_Class]]="Slow-Moving",Table1[[#This Row],[Movement_Class]]="Non-Moving")),Table1[[#This Row],[Excess_Inventory_Value_INR]],0)</f>
        <v>173030</v>
      </c>
    </row>
    <row r="128" spans="1:37" x14ac:dyDescent="0.25">
      <c r="A128" t="s">
        <v>285</v>
      </c>
      <c r="B128" t="s">
        <v>113</v>
      </c>
      <c r="C128" t="s">
        <v>36</v>
      </c>
      <c r="D128" t="s">
        <v>42</v>
      </c>
      <c r="E128" t="s">
        <v>28</v>
      </c>
      <c r="F128">
        <v>11</v>
      </c>
      <c r="G128">
        <v>3</v>
      </c>
      <c r="H128">
        <v>4</v>
      </c>
      <c r="I128">
        <v>87</v>
      </c>
      <c r="J128">
        <v>1980</v>
      </c>
      <c r="K128">
        <v>33</v>
      </c>
      <c r="L128">
        <v>0</v>
      </c>
      <c r="M128">
        <v>181</v>
      </c>
      <c r="N128" t="s">
        <v>58</v>
      </c>
      <c r="O128">
        <v>0.18</v>
      </c>
      <c r="P128">
        <v>31006.799999999999</v>
      </c>
      <c r="Q128">
        <f>(Table1[[#This Row],[Closing_Stock]]*Table1[[#This Row],[Unit_Cost_INR]])</f>
        <v>172260</v>
      </c>
      <c r="R128">
        <f>(Table1[[#This Row],[Unit_Cost_INR]]*Table1[[#This Row],[Consumption]])</f>
        <v>7920</v>
      </c>
      <c r="S128">
        <f>IFERROR(Table1[[#This Row],[Annual_Consumption_Value_INR]]/Table1[[#This Row],[Inventory_Value_INR]],0)</f>
        <v>4.5977011494252873E-2</v>
      </c>
      <c r="T128">
        <f>IFERROR(365/Table1[[#This Row],[Inventory_Turnover]],0)</f>
        <v>7938.75</v>
      </c>
      <c r="U128" t="str">
        <f>IF(Table1[[#This Row],[Consumption]]=0,"Non-Moving", IF(Table1[[#This Row],[Days_Since_Last_Movement]]&gt;90,"Slow-Moving","Active"))</f>
        <v>Slow-Moving</v>
      </c>
      <c r="V128">
        <f>SUM($Q$2:Q128)</f>
        <v>54986700</v>
      </c>
      <c r="W128">
        <f>Table1[[#This Row],[Cumulative_Inventory_Value]]/$AP$3</f>
        <v>0.72642091583672819</v>
      </c>
      <c r="X128" t="str">
        <f>IF(Table1[[#This Row],[Cumulative_Value_%]]&lt;80%,"A", IF(Table1[[#This Row],[Cumulative_Value_%]]&lt;=95%,"B","C"))</f>
        <v>A</v>
      </c>
      <c r="Y128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High Review</v>
      </c>
      <c r="Z128">
        <f>Table1[[#This Row],[Consumption]]/365</f>
        <v>1.0958904109589041E-2</v>
      </c>
      <c r="AA128">
        <f>Table1[[#This Row],[Avg_Daily_Consumption]]*Table1[[#This Row],[Lead_Time_Days]]+Table1[[#This Row],[Safety_Stock]]</f>
        <v>1.3616438356164384</v>
      </c>
      <c r="AB128">
        <f>IFERROR(Table1[[#This Row],[Closing_Stock]]/Table1[[#This Row],[Avg_Daily_Consumption]],9999)</f>
        <v>7938.75</v>
      </c>
      <c r="AC128">
        <f>MAX(1,ROUNDUP(Table1[[#This Row],[Avg_Daily_Consumption]]*Table1[[#This Row],[Lead_Time_Days]]*0.8,0))</f>
        <v>1</v>
      </c>
      <c r="AD128" t="str">
        <f>IF(Table1[[#This Row],[Closing_Stock]]&lt;Table1[[#This Row],[Reorder_Point]],"Stock-out Risk","Adequate")</f>
        <v>Adequate</v>
      </c>
      <c r="AE128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128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 Safety Stock</v>
      </c>
      <c r="AG128">
        <f>IF(Table1[[#This Row],[Action_Recommendation]]="Review for Disposal/De-procurement",Table1[[#This Row],[Inventory_Value_INR]]*70%,IF(Table1[[#This Row],[Action_Recommendation]]="Review Safety Stock",Table1[[#This Row],[Inventory_Value_INR]]*20%,0))</f>
        <v>34452</v>
      </c>
      <c r="AH128" s="11">
        <f>MAX(0,Table1[[#This Row],[Closing_Stock]]-Table1[[#This Row],[Reorder_Point]])</f>
        <v>85.638356164383566</v>
      </c>
      <c r="AI128" s="11">
        <f>Table1[[#This Row],[Excess_Stock_Units]]*Table1[[#This Row],[Unit_Cost_INR]]</f>
        <v>169563.94520547945</v>
      </c>
      <c r="AJ128" s="11">
        <f>IF(Table1[[#This Row],[Criticality]]="Critical",0,Table1[[#This Row],[Excess_Inventory_Value_INR]])</f>
        <v>169563.94520547945</v>
      </c>
      <c r="AK128" s="11">
        <f>IF(AND(Table1[[#This Row],[Criticality]]&lt;&gt;"Critical",OR(Table1[[#This Row],[Movement_Class]]="Slow-Moving",Table1[[#This Row],[Movement_Class]]="Non-Moving")),Table1[[#This Row],[Excess_Inventory_Value_INR]],0)</f>
        <v>169563.94520547945</v>
      </c>
    </row>
    <row r="129" spans="1:37" x14ac:dyDescent="0.25">
      <c r="A129" t="s">
        <v>297</v>
      </c>
      <c r="B129" t="s">
        <v>48</v>
      </c>
      <c r="C129" t="s">
        <v>41</v>
      </c>
      <c r="D129" t="s">
        <v>45</v>
      </c>
      <c r="E129" t="s">
        <v>46</v>
      </c>
      <c r="F129">
        <v>14</v>
      </c>
      <c r="G129">
        <v>25</v>
      </c>
      <c r="H129">
        <v>21</v>
      </c>
      <c r="I129">
        <v>28</v>
      </c>
      <c r="J129">
        <v>6130</v>
      </c>
      <c r="K129">
        <v>26</v>
      </c>
      <c r="L129">
        <v>0</v>
      </c>
      <c r="M129">
        <v>21</v>
      </c>
      <c r="N129" t="s">
        <v>23</v>
      </c>
      <c r="O129">
        <v>0.17499999999999999</v>
      </c>
      <c r="P129">
        <v>30037</v>
      </c>
      <c r="Q129">
        <f>(Table1[[#This Row],[Closing_Stock]]*Table1[[#This Row],[Unit_Cost_INR]])</f>
        <v>171640</v>
      </c>
      <c r="R129">
        <f>(Table1[[#This Row],[Unit_Cost_INR]]*Table1[[#This Row],[Consumption]])</f>
        <v>128730</v>
      </c>
      <c r="S129">
        <f>IFERROR(Table1[[#This Row],[Annual_Consumption_Value_INR]]/Table1[[#This Row],[Inventory_Value_INR]],0)</f>
        <v>0.75</v>
      </c>
      <c r="T129">
        <f>IFERROR(365/Table1[[#This Row],[Inventory_Turnover]],0)</f>
        <v>486.66666666666669</v>
      </c>
      <c r="U129" t="str">
        <f>IF(Table1[[#This Row],[Consumption]]=0,"Non-Moving", IF(Table1[[#This Row],[Days_Since_Last_Movement]]&gt;90,"Slow-Moving","Active"))</f>
        <v>Active</v>
      </c>
      <c r="V129">
        <f>SUM($Q$2:Q129)</f>
        <v>55158340</v>
      </c>
      <c r="W129">
        <f>Table1[[#This Row],[Cumulative_Inventory_Value]]/$AP$3</f>
        <v>0.72868842572537795</v>
      </c>
      <c r="X129" t="str">
        <f>IF(Table1[[#This Row],[Cumulative_Value_%]]&lt;80%,"A", IF(Table1[[#This Row],[Cumulative_Value_%]]&lt;=95%,"B","C"))</f>
        <v>A</v>
      </c>
      <c r="Y129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129">
        <f>Table1[[#This Row],[Consumption]]/365</f>
        <v>5.7534246575342465E-2</v>
      </c>
      <c r="AA129">
        <f>Table1[[#This Row],[Avg_Daily_Consumption]]*Table1[[#This Row],[Lead_Time_Days]]+Table1[[#This Row],[Safety_Stock]]</f>
        <v>3.4958904109589044</v>
      </c>
      <c r="AB129">
        <f>IFERROR(Table1[[#This Row],[Closing_Stock]]/Table1[[#This Row],[Avg_Daily_Consumption]],9999)</f>
        <v>486.66666666666669</v>
      </c>
      <c r="AC129">
        <f>MAX(1,ROUNDUP(Table1[[#This Row],[Avg_Daily_Consumption]]*Table1[[#This Row],[Lead_Time_Days]]*0.8,0))</f>
        <v>2</v>
      </c>
      <c r="AD129" t="str">
        <f>IF(Table1[[#This Row],[Closing_Stock]]&lt;Table1[[#This Row],[Reorder_Point]],"Stock-out Risk","Adequate")</f>
        <v>Adequate</v>
      </c>
      <c r="AE129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129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129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129" s="11">
        <f>MAX(0,Table1[[#This Row],[Closing_Stock]]-Table1[[#This Row],[Reorder_Point]])</f>
        <v>24.504109589041096</v>
      </c>
      <c r="AI129" s="11">
        <f>Table1[[#This Row],[Excess_Stock_Units]]*Table1[[#This Row],[Unit_Cost_INR]]</f>
        <v>150210.19178082192</v>
      </c>
      <c r="AJ129" s="11">
        <f>IF(Table1[[#This Row],[Criticality]]="Critical",0,Table1[[#This Row],[Excess_Inventory_Value_INR]])</f>
        <v>150210.19178082192</v>
      </c>
      <c r="AK129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130" spans="1:37" x14ac:dyDescent="0.25">
      <c r="A130" t="s">
        <v>532</v>
      </c>
      <c r="B130" t="s">
        <v>104</v>
      </c>
      <c r="C130" t="s">
        <v>41</v>
      </c>
      <c r="D130" t="s">
        <v>27</v>
      </c>
      <c r="E130" t="s">
        <v>28</v>
      </c>
      <c r="F130">
        <v>22</v>
      </c>
      <c r="G130">
        <v>11</v>
      </c>
      <c r="H130">
        <v>9</v>
      </c>
      <c r="I130">
        <v>24</v>
      </c>
      <c r="J130">
        <v>7140</v>
      </c>
      <c r="K130">
        <v>29</v>
      </c>
      <c r="L130">
        <v>0</v>
      </c>
      <c r="M130">
        <v>6</v>
      </c>
      <c r="N130" t="s">
        <v>33</v>
      </c>
      <c r="O130">
        <v>0.156</v>
      </c>
      <c r="P130">
        <v>26732.16</v>
      </c>
      <c r="Q130">
        <f>(Table1[[#This Row],[Closing_Stock]]*Table1[[#This Row],[Unit_Cost_INR]])</f>
        <v>171360</v>
      </c>
      <c r="R130">
        <f>(Table1[[#This Row],[Unit_Cost_INR]]*Table1[[#This Row],[Consumption]])</f>
        <v>64260</v>
      </c>
      <c r="S130">
        <f>IFERROR(Table1[[#This Row],[Annual_Consumption_Value_INR]]/Table1[[#This Row],[Inventory_Value_INR]],0)</f>
        <v>0.375</v>
      </c>
      <c r="T130">
        <f>IFERROR(365/Table1[[#This Row],[Inventory_Turnover]],0)</f>
        <v>973.33333333333337</v>
      </c>
      <c r="U130" t="str">
        <f>IF(Table1[[#This Row],[Consumption]]=0,"Non-Moving", IF(Table1[[#This Row],[Days_Since_Last_Movement]]&gt;90,"Slow-Moving","Active"))</f>
        <v>Active</v>
      </c>
      <c r="V130">
        <f>SUM($Q$2:Q130)</f>
        <v>55329700</v>
      </c>
      <c r="W130">
        <f>Table1[[#This Row],[Cumulative_Inventory_Value]]/$AP$3</f>
        <v>0.73095223657668895</v>
      </c>
      <c r="X130" t="str">
        <f>IF(Table1[[#This Row],[Cumulative_Value_%]]&lt;80%,"A", IF(Table1[[#This Row],[Cumulative_Value_%]]&lt;=95%,"B","C"))</f>
        <v>A</v>
      </c>
      <c r="Y130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130">
        <f>Table1[[#This Row],[Consumption]]/365</f>
        <v>2.4657534246575342E-2</v>
      </c>
      <c r="AA130">
        <f>Table1[[#This Row],[Avg_Daily_Consumption]]*Table1[[#This Row],[Lead_Time_Days]]+Table1[[#This Row],[Safety_Stock]]</f>
        <v>1.7150684931506848</v>
      </c>
      <c r="AB130">
        <f>IFERROR(Table1[[#This Row],[Closing_Stock]]/Table1[[#This Row],[Avg_Daily_Consumption]],9999)</f>
        <v>973.33333333333337</v>
      </c>
      <c r="AC130">
        <f>MAX(1,ROUNDUP(Table1[[#This Row],[Avg_Daily_Consumption]]*Table1[[#This Row],[Lead_Time_Days]]*0.8,0))</f>
        <v>1</v>
      </c>
      <c r="AD130" t="str">
        <f>IF(Table1[[#This Row],[Closing_Stock]]&lt;Table1[[#This Row],[Reorder_Point]],"Stock-out Risk","Adequate")</f>
        <v>Adequate</v>
      </c>
      <c r="AE130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130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130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130" s="11">
        <f>MAX(0,Table1[[#This Row],[Closing_Stock]]-Table1[[#This Row],[Reorder_Point]])</f>
        <v>22.284931506849315</v>
      </c>
      <c r="AI130" s="11">
        <f>Table1[[#This Row],[Excess_Stock_Units]]*Table1[[#This Row],[Unit_Cost_INR]]</f>
        <v>159114.4109589041</v>
      </c>
      <c r="AJ130" s="11">
        <f>IF(Table1[[#This Row],[Criticality]]="Critical",0,Table1[[#This Row],[Excess_Inventory_Value_INR]])</f>
        <v>159114.4109589041</v>
      </c>
      <c r="AK130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131" spans="1:37" x14ac:dyDescent="0.25">
      <c r="A131" t="s">
        <v>488</v>
      </c>
      <c r="B131" t="s">
        <v>19</v>
      </c>
      <c r="C131" t="s">
        <v>20</v>
      </c>
      <c r="D131" t="s">
        <v>45</v>
      </c>
      <c r="E131" t="s">
        <v>22</v>
      </c>
      <c r="F131">
        <v>104</v>
      </c>
      <c r="G131">
        <v>150</v>
      </c>
      <c r="H131">
        <v>147</v>
      </c>
      <c r="I131">
        <v>107</v>
      </c>
      <c r="J131">
        <v>1600</v>
      </c>
      <c r="K131">
        <v>32</v>
      </c>
      <c r="L131">
        <v>1</v>
      </c>
      <c r="M131">
        <v>196</v>
      </c>
      <c r="N131" t="s">
        <v>61</v>
      </c>
      <c r="O131">
        <v>0.27900000000000003</v>
      </c>
      <c r="P131">
        <v>47764.800000000003</v>
      </c>
      <c r="Q131">
        <f>(Table1[[#This Row],[Closing_Stock]]*Table1[[#This Row],[Unit_Cost_INR]])</f>
        <v>171200</v>
      </c>
      <c r="R131">
        <f>(Table1[[#This Row],[Unit_Cost_INR]]*Table1[[#This Row],[Consumption]])</f>
        <v>235200</v>
      </c>
      <c r="S131">
        <f>IFERROR(Table1[[#This Row],[Annual_Consumption_Value_INR]]/Table1[[#This Row],[Inventory_Value_INR]],0)</f>
        <v>1.3738317757009346</v>
      </c>
      <c r="T131">
        <f>IFERROR(365/Table1[[#This Row],[Inventory_Turnover]],0)</f>
        <v>265.68027210884355</v>
      </c>
      <c r="U131" t="str">
        <f>IF(Table1[[#This Row],[Consumption]]=0,"Non-Moving", IF(Table1[[#This Row],[Days_Since_Last_Movement]]&gt;90,"Slow-Moving","Active"))</f>
        <v>Slow-Moving</v>
      </c>
      <c r="V131">
        <f>SUM($Q$2:Q131)</f>
        <v>55500900</v>
      </c>
      <c r="W131">
        <f>Table1[[#This Row],[Cumulative_Inventory_Value]]/$AP$3</f>
        <v>0.73321393369237775</v>
      </c>
      <c r="X131" t="str">
        <f>IF(Table1[[#This Row],[Cumulative_Value_%]]&lt;80%,"A", IF(Table1[[#This Row],[Cumulative_Value_%]]&lt;=95%,"B","C"))</f>
        <v>A</v>
      </c>
      <c r="Y131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High Review</v>
      </c>
      <c r="Z131">
        <f>Table1[[#This Row],[Consumption]]/365</f>
        <v>0.40273972602739727</v>
      </c>
      <c r="AA131">
        <f>Table1[[#This Row],[Avg_Daily_Consumption]]*Table1[[#This Row],[Lead_Time_Days]]+Table1[[#This Row],[Safety_Stock]]</f>
        <v>23.887671232876713</v>
      </c>
      <c r="AB131">
        <f>IFERROR(Table1[[#This Row],[Closing_Stock]]/Table1[[#This Row],[Avg_Daily_Consumption]],9999)</f>
        <v>265.68027210884355</v>
      </c>
      <c r="AC131">
        <f>MAX(1,ROUNDUP(Table1[[#This Row],[Avg_Daily_Consumption]]*Table1[[#This Row],[Lead_Time_Days]]*0.8,0))</f>
        <v>11</v>
      </c>
      <c r="AD131" t="str">
        <f>IF(Table1[[#This Row],[Closing_Stock]]&lt;Table1[[#This Row],[Reorder_Point]],"Stock-out Risk","Adequate")</f>
        <v>Adequate</v>
      </c>
      <c r="AE131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131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 Safety Stock</v>
      </c>
      <c r="AG131">
        <f>IF(Table1[[#This Row],[Action_Recommendation]]="Review for Disposal/De-procurement",Table1[[#This Row],[Inventory_Value_INR]]*70%,IF(Table1[[#This Row],[Action_Recommendation]]="Review Safety Stock",Table1[[#This Row],[Inventory_Value_INR]]*20%,0))</f>
        <v>34240</v>
      </c>
      <c r="AH131" s="11">
        <f>MAX(0,Table1[[#This Row],[Closing_Stock]]-Table1[[#This Row],[Reorder_Point]])</f>
        <v>83.112328767123287</v>
      </c>
      <c r="AI131" s="11">
        <f>Table1[[#This Row],[Excess_Stock_Units]]*Table1[[#This Row],[Unit_Cost_INR]]</f>
        <v>132979.72602739726</v>
      </c>
      <c r="AJ131" s="11">
        <f>IF(Table1[[#This Row],[Criticality]]="Critical",0,Table1[[#This Row],[Excess_Inventory_Value_INR]])</f>
        <v>132979.72602739726</v>
      </c>
      <c r="AK131" s="11">
        <f>IF(AND(Table1[[#This Row],[Criticality]]&lt;&gt;"Critical",OR(Table1[[#This Row],[Movement_Class]]="Slow-Moving",Table1[[#This Row],[Movement_Class]]="Non-Moving")),Table1[[#This Row],[Excess_Inventory_Value_INR]],0)</f>
        <v>132979.72602739726</v>
      </c>
    </row>
    <row r="132" spans="1:37" x14ac:dyDescent="0.25">
      <c r="A132" t="s">
        <v>357</v>
      </c>
      <c r="B132" t="s">
        <v>75</v>
      </c>
      <c r="C132" t="s">
        <v>36</v>
      </c>
      <c r="D132" t="s">
        <v>66</v>
      </c>
      <c r="E132" t="s">
        <v>22</v>
      </c>
      <c r="F132">
        <v>41</v>
      </c>
      <c r="G132">
        <v>28</v>
      </c>
      <c r="H132">
        <v>0</v>
      </c>
      <c r="I132">
        <v>76</v>
      </c>
      <c r="J132">
        <v>2210</v>
      </c>
      <c r="K132">
        <v>25</v>
      </c>
      <c r="L132">
        <v>1</v>
      </c>
      <c r="M132">
        <v>673</v>
      </c>
      <c r="N132" t="s">
        <v>38</v>
      </c>
      <c r="O132">
        <v>0.20499999999999999</v>
      </c>
      <c r="P132">
        <v>34431.800000000003</v>
      </c>
      <c r="Q132">
        <f>(Table1[[#This Row],[Closing_Stock]]*Table1[[#This Row],[Unit_Cost_INR]])</f>
        <v>167960</v>
      </c>
      <c r="R132">
        <f>(Table1[[#This Row],[Unit_Cost_INR]]*Table1[[#This Row],[Consumption]])</f>
        <v>0</v>
      </c>
      <c r="S132">
        <f>IFERROR(Table1[[#This Row],[Annual_Consumption_Value_INR]]/Table1[[#This Row],[Inventory_Value_INR]],0)</f>
        <v>0</v>
      </c>
      <c r="T132">
        <f>IFERROR(365/Table1[[#This Row],[Inventory_Turnover]],0)</f>
        <v>0</v>
      </c>
      <c r="U132" t="str">
        <f>IF(Table1[[#This Row],[Consumption]]=0,"Non-Moving", IF(Table1[[#This Row],[Days_Since_Last_Movement]]&gt;90,"Slow-Moving","Active"))</f>
        <v>Non-Moving</v>
      </c>
      <c r="V132">
        <f>SUM($Q$2:Q132)</f>
        <v>55668860</v>
      </c>
      <c r="W132">
        <f>Table1[[#This Row],[Cumulative_Inventory_Value]]/$AP$3</f>
        <v>0.73543282766171825</v>
      </c>
      <c r="X132" t="str">
        <f>IF(Table1[[#This Row],[Cumulative_Value_%]]&lt;80%,"A", IF(Table1[[#This Row],[Cumulative_Value_%]]&lt;=95%,"B","C"))</f>
        <v>A</v>
      </c>
      <c r="Y132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Critical Review</v>
      </c>
      <c r="Z132">
        <f>Table1[[#This Row],[Consumption]]/365</f>
        <v>0</v>
      </c>
      <c r="AA132">
        <f>Table1[[#This Row],[Avg_Daily_Consumption]]*Table1[[#This Row],[Lead_Time_Days]]+Table1[[#This Row],[Safety_Stock]]</f>
        <v>1</v>
      </c>
      <c r="AB132">
        <f>IFERROR(Table1[[#This Row],[Closing_Stock]]/Table1[[#This Row],[Avg_Daily_Consumption]],9999)</f>
        <v>9999</v>
      </c>
      <c r="AC132">
        <f>MAX(1,ROUNDUP(Table1[[#This Row],[Avg_Daily_Consumption]]*Table1[[#This Row],[Lead_Time_Days]]*0.8,0))</f>
        <v>1</v>
      </c>
      <c r="AD132" t="str">
        <f>IF(Table1[[#This Row],[Closing_Stock]]&lt;Table1[[#This Row],[Reorder_Point]],"Stock-out Risk","Adequate")</f>
        <v>Adequate</v>
      </c>
      <c r="AE132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132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 for Disposal/De-procurement</v>
      </c>
      <c r="AG132">
        <f>IF(Table1[[#This Row],[Action_Recommendation]]="Review for Disposal/De-procurement",Table1[[#This Row],[Inventory_Value_INR]]*70%,IF(Table1[[#This Row],[Action_Recommendation]]="Review Safety Stock",Table1[[#This Row],[Inventory_Value_INR]]*20%,0))</f>
        <v>117571.99999999999</v>
      </c>
      <c r="AH132" s="11">
        <f>MAX(0,Table1[[#This Row],[Closing_Stock]]-Table1[[#This Row],[Reorder_Point]])</f>
        <v>75</v>
      </c>
      <c r="AI132" s="11">
        <f>Table1[[#This Row],[Excess_Stock_Units]]*Table1[[#This Row],[Unit_Cost_INR]]</f>
        <v>165750</v>
      </c>
      <c r="AJ132" s="11">
        <f>IF(Table1[[#This Row],[Criticality]]="Critical",0,Table1[[#This Row],[Excess_Inventory_Value_INR]])</f>
        <v>165750</v>
      </c>
      <c r="AK132" s="11">
        <f>IF(AND(Table1[[#This Row],[Criticality]]&lt;&gt;"Critical",OR(Table1[[#This Row],[Movement_Class]]="Slow-Moving",Table1[[#This Row],[Movement_Class]]="Non-Moving")),Table1[[#This Row],[Excess_Inventory_Value_INR]],0)</f>
        <v>165750</v>
      </c>
    </row>
    <row r="133" spans="1:37" x14ac:dyDescent="0.25">
      <c r="A133" t="s">
        <v>328</v>
      </c>
      <c r="B133" t="s">
        <v>35</v>
      </c>
      <c r="C133" t="s">
        <v>36</v>
      </c>
      <c r="D133" t="s">
        <v>21</v>
      </c>
      <c r="E133" t="s">
        <v>28</v>
      </c>
      <c r="F133">
        <v>6</v>
      </c>
      <c r="G133">
        <v>3</v>
      </c>
      <c r="H133">
        <v>0</v>
      </c>
      <c r="I133">
        <v>114</v>
      </c>
      <c r="J133">
        <v>1470</v>
      </c>
      <c r="K133">
        <v>15</v>
      </c>
      <c r="L133">
        <v>0</v>
      </c>
      <c r="M133">
        <v>411</v>
      </c>
      <c r="N133" t="s">
        <v>61</v>
      </c>
      <c r="O133">
        <v>0.214</v>
      </c>
      <c r="P133">
        <v>35862.120000000003</v>
      </c>
      <c r="Q133">
        <f>(Table1[[#This Row],[Closing_Stock]]*Table1[[#This Row],[Unit_Cost_INR]])</f>
        <v>167580</v>
      </c>
      <c r="R133">
        <f>(Table1[[#This Row],[Unit_Cost_INR]]*Table1[[#This Row],[Consumption]])</f>
        <v>0</v>
      </c>
      <c r="S133">
        <f>IFERROR(Table1[[#This Row],[Annual_Consumption_Value_INR]]/Table1[[#This Row],[Inventory_Value_INR]],0)</f>
        <v>0</v>
      </c>
      <c r="T133">
        <f>IFERROR(365/Table1[[#This Row],[Inventory_Turnover]],0)</f>
        <v>0</v>
      </c>
      <c r="U133" t="str">
        <f>IF(Table1[[#This Row],[Consumption]]=0,"Non-Moving", IF(Table1[[#This Row],[Days_Since_Last_Movement]]&gt;90,"Slow-Moving","Active"))</f>
        <v>Non-Moving</v>
      </c>
      <c r="V133">
        <f>SUM($Q$2:Q133)</f>
        <v>55836440</v>
      </c>
      <c r="W133">
        <f>Table1[[#This Row],[Cumulative_Inventory_Value]]/$AP$3</f>
        <v>0.73764670150895628</v>
      </c>
      <c r="X133" t="str">
        <f>IF(Table1[[#This Row],[Cumulative_Value_%]]&lt;80%,"A", IF(Table1[[#This Row],[Cumulative_Value_%]]&lt;=95%,"B","C"))</f>
        <v>A</v>
      </c>
      <c r="Y133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Critical Review</v>
      </c>
      <c r="Z133">
        <f>Table1[[#This Row],[Consumption]]/365</f>
        <v>0</v>
      </c>
      <c r="AA133">
        <f>Table1[[#This Row],[Avg_Daily_Consumption]]*Table1[[#This Row],[Lead_Time_Days]]+Table1[[#This Row],[Safety_Stock]]</f>
        <v>1</v>
      </c>
      <c r="AB133">
        <f>IFERROR(Table1[[#This Row],[Closing_Stock]]/Table1[[#This Row],[Avg_Daily_Consumption]],9999)</f>
        <v>9999</v>
      </c>
      <c r="AC133">
        <f>MAX(1,ROUNDUP(Table1[[#This Row],[Avg_Daily_Consumption]]*Table1[[#This Row],[Lead_Time_Days]]*0.8,0))</f>
        <v>1</v>
      </c>
      <c r="AD133" t="str">
        <f>IF(Table1[[#This Row],[Closing_Stock]]&lt;Table1[[#This Row],[Reorder_Point]],"Stock-out Risk","Adequate")</f>
        <v>Adequate</v>
      </c>
      <c r="AE133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133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 for Disposal/De-procurement</v>
      </c>
      <c r="AG133">
        <f>IF(Table1[[#This Row],[Action_Recommendation]]="Review for Disposal/De-procurement",Table1[[#This Row],[Inventory_Value_INR]]*70%,IF(Table1[[#This Row],[Action_Recommendation]]="Review Safety Stock",Table1[[#This Row],[Inventory_Value_INR]]*20%,0))</f>
        <v>117305.99999999999</v>
      </c>
      <c r="AH133" s="11">
        <f>MAX(0,Table1[[#This Row],[Closing_Stock]]-Table1[[#This Row],[Reorder_Point]])</f>
        <v>113</v>
      </c>
      <c r="AI133" s="11">
        <f>Table1[[#This Row],[Excess_Stock_Units]]*Table1[[#This Row],[Unit_Cost_INR]]</f>
        <v>166110</v>
      </c>
      <c r="AJ133" s="11">
        <f>IF(Table1[[#This Row],[Criticality]]="Critical",0,Table1[[#This Row],[Excess_Inventory_Value_INR]])</f>
        <v>166110</v>
      </c>
      <c r="AK133" s="11">
        <f>IF(AND(Table1[[#This Row],[Criticality]]&lt;&gt;"Critical",OR(Table1[[#This Row],[Movement_Class]]="Slow-Moving",Table1[[#This Row],[Movement_Class]]="Non-Moving")),Table1[[#This Row],[Excess_Inventory_Value_INR]],0)</f>
        <v>166110</v>
      </c>
    </row>
    <row r="134" spans="1:37" x14ac:dyDescent="0.25">
      <c r="A134" t="s">
        <v>366</v>
      </c>
      <c r="B134" t="s">
        <v>71</v>
      </c>
      <c r="C134" t="s">
        <v>20</v>
      </c>
      <c r="D134" t="s">
        <v>60</v>
      </c>
      <c r="E134" t="s">
        <v>37</v>
      </c>
      <c r="F134">
        <v>21</v>
      </c>
      <c r="G134">
        <v>26</v>
      </c>
      <c r="H134">
        <v>5</v>
      </c>
      <c r="I134">
        <v>85</v>
      </c>
      <c r="J134">
        <v>1970</v>
      </c>
      <c r="K134">
        <v>42</v>
      </c>
      <c r="L134">
        <v>0</v>
      </c>
      <c r="M134">
        <v>172</v>
      </c>
      <c r="N134" t="s">
        <v>23</v>
      </c>
      <c r="O134">
        <v>0.29799999999999999</v>
      </c>
      <c r="P134">
        <v>49900.1</v>
      </c>
      <c r="Q134">
        <f>(Table1[[#This Row],[Closing_Stock]]*Table1[[#This Row],[Unit_Cost_INR]])</f>
        <v>167450</v>
      </c>
      <c r="R134">
        <f>(Table1[[#This Row],[Unit_Cost_INR]]*Table1[[#This Row],[Consumption]])</f>
        <v>9850</v>
      </c>
      <c r="S134">
        <f>IFERROR(Table1[[#This Row],[Annual_Consumption_Value_INR]]/Table1[[#This Row],[Inventory_Value_INR]],0)</f>
        <v>5.8823529411764705E-2</v>
      </c>
      <c r="T134">
        <f>IFERROR(365/Table1[[#This Row],[Inventory_Turnover]],0)</f>
        <v>6205</v>
      </c>
      <c r="U134" t="str">
        <f>IF(Table1[[#This Row],[Consumption]]=0,"Non-Moving", IF(Table1[[#This Row],[Days_Since_Last_Movement]]&gt;90,"Slow-Moving","Active"))</f>
        <v>Slow-Moving</v>
      </c>
      <c r="V134">
        <f>SUM($Q$2:Q134)</f>
        <v>56003890</v>
      </c>
      <c r="W134">
        <f>Table1[[#This Row],[Cumulative_Inventory_Value]]/$AP$3</f>
        <v>0.73985885794600115</v>
      </c>
      <c r="X134" t="str">
        <f>IF(Table1[[#This Row],[Cumulative_Value_%]]&lt;80%,"A", IF(Table1[[#This Row],[Cumulative_Value_%]]&lt;=95%,"B","C"))</f>
        <v>A</v>
      </c>
      <c r="Y134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High Review</v>
      </c>
      <c r="Z134">
        <f>Table1[[#This Row],[Consumption]]/365</f>
        <v>1.3698630136986301E-2</v>
      </c>
      <c r="AA134">
        <f>Table1[[#This Row],[Avg_Daily_Consumption]]*Table1[[#This Row],[Lead_Time_Days]]+Table1[[#This Row],[Safety_Stock]]</f>
        <v>1.5753424657534247</v>
      </c>
      <c r="AB134">
        <f>IFERROR(Table1[[#This Row],[Closing_Stock]]/Table1[[#This Row],[Avg_Daily_Consumption]],9999)</f>
        <v>6205</v>
      </c>
      <c r="AC134">
        <f>MAX(1,ROUNDUP(Table1[[#This Row],[Avg_Daily_Consumption]]*Table1[[#This Row],[Lead_Time_Days]]*0.8,0))</f>
        <v>1</v>
      </c>
      <c r="AD134" t="str">
        <f>IF(Table1[[#This Row],[Closing_Stock]]&lt;Table1[[#This Row],[Reorder_Point]],"Stock-out Risk","Adequate")</f>
        <v>Adequate</v>
      </c>
      <c r="AE134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134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134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134" s="11">
        <f>MAX(0,Table1[[#This Row],[Closing_Stock]]-Table1[[#This Row],[Reorder_Point]])</f>
        <v>83.424657534246577</v>
      </c>
      <c r="AI134" s="11">
        <f>Table1[[#This Row],[Excess_Stock_Units]]*Table1[[#This Row],[Unit_Cost_INR]]</f>
        <v>164346.57534246575</v>
      </c>
      <c r="AJ134" s="11">
        <f>IF(Table1[[#This Row],[Criticality]]="Critical",0,Table1[[#This Row],[Excess_Inventory_Value_INR]])</f>
        <v>0</v>
      </c>
      <c r="AK134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135" spans="1:37" x14ac:dyDescent="0.25">
      <c r="A135" t="s">
        <v>194</v>
      </c>
      <c r="B135" t="s">
        <v>126</v>
      </c>
      <c r="C135" t="s">
        <v>20</v>
      </c>
      <c r="D135" t="s">
        <v>27</v>
      </c>
      <c r="E135" t="s">
        <v>46</v>
      </c>
      <c r="F135">
        <v>17</v>
      </c>
      <c r="G135">
        <v>36</v>
      </c>
      <c r="H135">
        <v>33</v>
      </c>
      <c r="I135">
        <v>20</v>
      </c>
      <c r="J135">
        <v>8340</v>
      </c>
      <c r="K135">
        <v>23</v>
      </c>
      <c r="L135">
        <v>0</v>
      </c>
      <c r="M135">
        <v>60</v>
      </c>
      <c r="N135" t="s">
        <v>23</v>
      </c>
      <c r="O135">
        <v>0.16700000000000001</v>
      </c>
      <c r="P135">
        <v>27855.599999999999</v>
      </c>
      <c r="Q135">
        <f>(Table1[[#This Row],[Closing_Stock]]*Table1[[#This Row],[Unit_Cost_INR]])</f>
        <v>166800</v>
      </c>
      <c r="R135">
        <f>(Table1[[#This Row],[Unit_Cost_INR]]*Table1[[#This Row],[Consumption]])</f>
        <v>275220</v>
      </c>
      <c r="S135">
        <f>IFERROR(Table1[[#This Row],[Annual_Consumption_Value_INR]]/Table1[[#This Row],[Inventory_Value_INR]],0)</f>
        <v>1.65</v>
      </c>
      <c r="T135">
        <f>IFERROR(365/Table1[[#This Row],[Inventory_Turnover]],0)</f>
        <v>221.21212121212122</v>
      </c>
      <c r="U135" t="str">
        <f>IF(Table1[[#This Row],[Consumption]]=0,"Non-Moving", IF(Table1[[#This Row],[Days_Since_Last_Movement]]&gt;90,"Slow-Moving","Active"))</f>
        <v>Active</v>
      </c>
      <c r="V135">
        <f>SUM($Q$2:Q135)</f>
        <v>56170690</v>
      </c>
      <c r="W135">
        <f>Table1[[#This Row],[Cumulative_Inventory_Value]]/$AP$3</f>
        <v>0.74206242733208116</v>
      </c>
      <c r="X135" t="str">
        <f>IF(Table1[[#This Row],[Cumulative_Value_%]]&lt;80%,"A", IF(Table1[[#This Row],[Cumulative_Value_%]]&lt;=95%,"B","C"))</f>
        <v>A</v>
      </c>
      <c r="Y135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135">
        <f>Table1[[#This Row],[Consumption]]/365</f>
        <v>9.0410958904109592E-2</v>
      </c>
      <c r="AA135">
        <f>Table1[[#This Row],[Avg_Daily_Consumption]]*Table1[[#This Row],[Lead_Time_Days]]+Table1[[#This Row],[Safety_Stock]]</f>
        <v>4.0794520547945208</v>
      </c>
      <c r="AB135">
        <f>IFERROR(Table1[[#This Row],[Closing_Stock]]/Table1[[#This Row],[Avg_Daily_Consumption]],9999)</f>
        <v>221.21212121212122</v>
      </c>
      <c r="AC135">
        <f>MAX(1,ROUNDUP(Table1[[#This Row],[Avg_Daily_Consumption]]*Table1[[#This Row],[Lead_Time_Days]]*0.8,0))</f>
        <v>2</v>
      </c>
      <c r="AD135" t="str">
        <f>IF(Table1[[#This Row],[Closing_Stock]]&lt;Table1[[#This Row],[Reorder_Point]],"Stock-out Risk","Adequate")</f>
        <v>Adequate</v>
      </c>
      <c r="AE135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135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135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135" s="11">
        <f>MAX(0,Table1[[#This Row],[Closing_Stock]]-Table1[[#This Row],[Reorder_Point]])</f>
        <v>15.920547945205479</v>
      </c>
      <c r="AI135" s="11">
        <f>Table1[[#This Row],[Excess_Stock_Units]]*Table1[[#This Row],[Unit_Cost_INR]]</f>
        <v>132777.36986301371</v>
      </c>
      <c r="AJ135" s="11">
        <f>IF(Table1[[#This Row],[Criticality]]="Critical",0,Table1[[#This Row],[Excess_Inventory_Value_INR]])</f>
        <v>132777.36986301371</v>
      </c>
      <c r="AK135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136" spans="1:37" x14ac:dyDescent="0.25">
      <c r="A136" t="s">
        <v>208</v>
      </c>
      <c r="B136" t="s">
        <v>152</v>
      </c>
      <c r="C136" t="s">
        <v>20</v>
      </c>
      <c r="D136" t="s">
        <v>60</v>
      </c>
      <c r="E136" t="s">
        <v>28</v>
      </c>
      <c r="F136">
        <v>29</v>
      </c>
      <c r="G136">
        <v>25</v>
      </c>
      <c r="H136">
        <v>15</v>
      </c>
      <c r="I136">
        <v>39</v>
      </c>
      <c r="J136">
        <v>4270</v>
      </c>
      <c r="K136">
        <v>19</v>
      </c>
      <c r="L136">
        <v>0</v>
      </c>
      <c r="M136">
        <v>180</v>
      </c>
      <c r="N136" t="s">
        <v>29</v>
      </c>
      <c r="O136">
        <v>0.29499999999999998</v>
      </c>
      <c r="P136">
        <v>49126.35</v>
      </c>
      <c r="Q136">
        <f>(Table1[[#This Row],[Closing_Stock]]*Table1[[#This Row],[Unit_Cost_INR]])</f>
        <v>166530</v>
      </c>
      <c r="R136">
        <f>(Table1[[#This Row],[Unit_Cost_INR]]*Table1[[#This Row],[Consumption]])</f>
        <v>64050</v>
      </c>
      <c r="S136">
        <f>IFERROR(Table1[[#This Row],[Annual_Consumption_Value_INR]]/Table1[[#This Row],[Inventory_Value_INR]],0)</f>
        <v>0.38461538461538464</v>
      </c>
      <c r="T136">
        <f>IFERROR(365/Table1[[#This Row],[Inventory_Turnover]],0)</f>
        <v>949</v>
      </c>
      <c r="U136" t="str">
        <f>IF(Table1[[#This Row],[Consumption]]=0,"Non-Moving", IF(Table1[[#This Row],[Days_Since_Last_Movement]]&gt;90,"Slow-Moving","Active"))</f>
        <v>Slow-Moving</v>
      </c>
      <c r="V136">
        <f>SUM($Q$2:Q136)</f>
        <v>56337220</v>
      </c>
      <c r="W136">
        <f>Table1[[#This Row],[Cumulative_Inventory_Value]]/$AP$3</f>
        <v>0.74426242978929891</v>
      </c>
      <c r="X136" t="str">
        <f>IF(Table1[[#This Row],[Cumulative_Value_%]]&lt;80%,"A", IF(Table1[[#This Row],[Cumulative_Value_%]]&lt;=95%,"B","C"))</f>
        <v>A</v>
      </c>
      <c r="Y136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High Review</v>
      </c>
      <c r="Z136">
        <f>Table1[[#This Row],[Consumption]]/365</f>
        <v>4.1095890410958902E-2</v>
      </c>
      <c r="AA136">
        <f>Table1[[#This Row],[Avg_Daily_Consumption]]*Table1[[#This Row],[Lead_Time_Days]]+Table1[[#This Row],[Safety_Stock]]</f>
        <v>1.7808219178082192</v>
      </c>
      <c r="AB136">
        <f>IFERROR(Table1[[#This Row],[Closing_Stock]]/Table1[[#This Row],[Avg_Daily_Consumption]],9999)</f>
        <v>949</v>
      </c>
      <c r="AC136">
        <f>MAX(1,ROUNDUP(Table1[[#This Row],[Avg_Daily_Consumption]]*Table1[[#This Row],[Lead_Time_Days]]*0.8,0))</f>
        <v>1</v>
      </c>
      <c r="AD136" t="str">
        <f>IF(Table1[[#This Row],[Closing_Stock]]&lt;Table1[[#This Row],[Reorder_Point]],"Stock-out Risk","Adequate")</f>
        <v>Adequate</v>
      </c>
      <c r="AE136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136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 Safety Stock</v>
      </c>
      <c r="AG136">
        <f>IF(Table1[[#This Row],[Action_Recommendation]]="Review for Disposal/De-procurement",Table1[[#This Row],[Inventory_Value_INR]]*70%,IF(Table1[[#This Row],[Action_Recommendation]]="Review Safety Stock",Table1[[#This Row],[Inventory_Value_INR]]*20%,0))</f>
        <v>33306</v>
      </c>
      <c r="AH136" s="11">
        <f>MAX(0,Table1[[#This Row],[Closing_Stock]]-Table1[[#This Row],[Reorder_Point]])</f>
        <v>37.219178082191782</v>
      </c>
      <c r="AI136" s="11">
        <f>Table1[[#This Row],[Excess_Stock_Units]]*Table1[[#This Row],[Unit_Cost_INR]]</f>
        <v>158925.89041095891</v>
      </c>
      <c r="AJ136" s="11">
        <f>IF(Table1[[#This Row],[Criticality]]="Critical",0,Table1[[#This Row],[Excess_Inventory_Value_INR]])</f>
        <v>158925.89041095891</v>
      </c>
      <c r="AK136" s="11">
        <f>IF(AND(Table1[[#This Row],[Criticality]]&lt;&gt;"Critical",OR(Table1[[#This Row],[Movement_Class]]="Slow-Moving",Table1[[#This Row],[Movement_Class]]="Non-Moving")),Table1[[#This Row],[Excess_Inventory_Value_INR]],0)</f>
        <v>158925.89041095891</v>
      </c>
    </row>
    <row r="137" spans="1:37" x14ac:dyDescent="0.25">
      <c r="A137" t="s">
        <v>454</v>
      </c>
      <c r="B137" t="s">
        <v>83</v>
      </c>
      <c r="C137" t="s">
        <v>32</v>
      </c>
      <c r="D137" t="s">
        <v>60</v>
      </c>
      <c r="E137" t="s">
        <v>22</v>
      </c>
      <c r="F137">
        <v>19</v>
      </c>
      <c r="G137">
        <v>4</v>
      </c>
      <c r="H137">
        <v>3</v>
      </c>
      <c r="I137">
        <v>20</v>
      </c>
      <c r="J137">
        <v>8280</v>
      </c>
      <c r="K137">
        <v>27</v>
      </c>
      <c r="L137">
        <v>1</v>
      </c>
      <c r="M137">
        <v>38</v>
      </c>
      <c r="N137" t="s">
        <v>58</v>
      </c>
      <c r="O137">
        <v>0.20899999999999999</v>
      </c>
      <c r="P137">
        <v>34610.400000000001</v>
      </c>
      <c r="Q137">
        <f>(Table1[[#This Row],[Closing_Stock]]*Table1[[#This Row],[Unit_Cost_INR]])</f>
        <v>165600</v>
      </c>
      <c r="R137">
        <f>(Table1[[#This Row],[Unit_Cost_INR]]*Table1[[#This Row],[Consumption]])</f>
        <v>24840</v>
      </c>
      <c r="S137">
        <f>IFERROR(Table1[[#This Row],[Annual_Consumption_Value_INR]]/Table1[[#This Row],[Inventory_Value_INR]],0)</f>
        <v>0.15</v>
      </c>
      <c r="T137">
        <f>IFERROR(365/Table1[[#This Row],[Inventory_Turnover]],0)</f>
        <v>2433.3333333333335</v>
      </c>
      <c r="U137" t="str">
        <f>IF(Table1[[#This Row],[Consumption]]=0,"Non-Moving", IF(Table1[[#This Row],[Days_Since_Last_Movement]]&gt;90,"Slow-Moving","Active"))</f>
        <v>Active</v>
      </c>
      <c r="V137">
        <f>SUM($Q$2:Q137)</f>
        <v>56502820</v>
      </c>
      <c r="W137">
        <f>Table1[[#This Row],[Cumulative_Inventory_Value]]/$AP$3</f>
        <v>0.74645014615821281</v>
      </c>
      <c r="X137" t="str">
        <f>IF(Table1[[#This Row],[Cumulative_Value_%]]&lt;80%,"A", IF(Table1[[#This Row],[Cumulative_Value_%]]&lt;=95%,"B","C"))</f>
        <v>A</v>
      </c>
      <c r="Y137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137">
        <f>Table1[[#This Row],[Consumption]]/365</f>
        <v>8.21917808219178E-3</v>
      </c>
      <c r="AA137">
        <f>Table1[[#This Row],[Avg_Daily_Consumption]]*Table1[[#This Row],[Lead_Time_Days]]+Table1[[#This Row],[Safety_Stock]]</f>
        <v>1.2219178082191782</v>
      </c>
      <c r="AB137">
        <f>IFERROR(Table1[[#This Row],[Closing_Stock]]/Table1[[#This Row],[Avg_Daily_Consumption]],9999)</f>
        <v>2433.3333333333335</v>
      </c>
      <c r="AC137">
        <f>MAX(1,ROUNDUP(Table1[[#This Row],[Avg_Daily_Consumption]]*Table1[[#This Row],[Lead_Time_Days]]*0.8,0))</f>
        <v>1</v>
      </c>
      <c r="AD137" t="str">
        <f>IF(Table1[[#This Row],[Closing_Stock]]&lt;Table1[[#This Row],[Reorder_Point]],"Stock-out Risk","Adequate")</f>
        <v>Adequate</v>
      </c>
      <c r="AE137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137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137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137" s="11">
        <f>MAX(0,Table1[[#This Row],[Closing_Stock]]-Table1[[#This Row],[Reorder_Point]])</f>
        <v>18.778082191780822</v>
      </c>
      <c r="AI137" s="11">
        <f>Table1[[#This Row],[Excess_Stock_Units]]*Table1[[#This Row],[Unit_Cost_INR]]</f>
        <v>155482.5205479452</v>
      </c>
      <c r="AJ137" s="11">
        <f>IF(Table1[[#This Row],[Criticality]]="Critical",0,Table1[[#This Row],[Excess_Inventory_Value_INR]])</f>
        <v>155482.5205479452</v>
      </c>
      <c r="AK137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138" spans="1:37" x14ac:dyDescent="0.25">
      <c r="A138" t="s">
        <v>433</v>
      </c>
      <c r="B138" t="s">
        <v>19</v>
      </c>
      <c r="C138" t="s">
        <v>20</v>
      </c>
      <c r="D138" t="s">
        <v>21</v>
      </c>
      <c r="E138" t="s">
        <v>28</v>
      </c>
      <c r="F138">
        <v>18</v>
      </c>
      <c r="G138">
        <v>5</v>
      </c>
      <c r="H138">
        <v>0</v>
      </c>
      <c r="I138">
        <v>77</v>
      </c>
      <c r="J138">
        <v>2140</v>
      </c>
      <c r="K138">
        <v>20</v>
      </c>
      <c r="L138">
        <v>0</v>
      </c>
      <c r="M138">
        <v>620</v>
      </c>
      <c r="N138" t="s">
        <v>61</v>
      </c>
      <c r="O138">
        <v>0.16400000000000001</v>
      </c>
      <c r="P138">
        <v>27023.919999999998</v>
      </c>
      <c r="Q138">
        <f>(Table1[[#This Row],[Closing_Stock]]*Table1[[#This Row],[Unit_Cost_INR]])</f>
        <v>164780</v>
      </c>
      <c r="R138">
        <f>(Table1[[#This Row],[Unit_Cost_INR]]*Table1[[#This Row],[Consumption]])</f>
        <v>0</v>
      </c>
      <c r="S138">
        <f>IFERROR(Table1[[#This Row],[Annual_Consumption_Value_INR]]/Table1[[#This Row],[Inventory_Value_INR]],0)</f>
        <v>0</v>
      </c>
      <c r="T138">
        <f>IFERROR(365/Table1[[#This Row],[Inventory_Turnover]],0)</f>
        <v>0</v>
      </c>
      <c r="U138" t="str">
        <f>IF(Table1[[#This Row],[Consumption]]=0,"Non-Moving", IF(Table1[[#This Row],[Days_Since_Last_Movement]]&gt;90,"Slow-Moving","Active"))</f>
        <v>Non-Moving</v>
      </c>
      <c r="V138">
        <f>SUM($Q$2:Q138)</f>
        <v>56667600</v>
      </c>
      <c r="W138">
        <f>Table1[[#This Row],[Cumulative_Inventory_Value]]/$AP$3</f>
        <v>0.7486270296320634</v>
      </c>
      <c r="X138" t="str">
        <f>IF(Table1[[#This Row],[Cumulative_Value_%]]&lt;80%,"A", IF(Table1[[#This Row],[Cumulative_Value_%]]&lt;=95%,"B","C"))</f>
        <v>A</v>
      </c>
      <c r="Y138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Critical Review</v>
      </c>
      <c r="Z138">
        <f>Table1[[#This Row],[Consumption]]/365</f>
        <v>0</v>
      </c>
      <c r="AA138">
        <f>Table1[[#This Row],[Avg_Daily_Consumption]]*Table1[[#This Row],[Lead_Time_Days]]+Table1[[#This Row],[Safety_Stock]]</f>
        <v>1</v>
      </c>
      <c r="AB138">
        <f>IFERROR(Table1[[#This Row],[Closing_Stock]]/Table1[[#This Row],[Avg_Daily_Consumption]],9999)</f>
        <v>9999</v>
      </c>
      <c r="AC138">
        <f>MAX(1,ROUNDUP(Table1[[#This Row],[Avg_Daily_Consumption]]*Table1[[#This Row],[Lead_Time_Days]]*0.8,0))</f>
        <v>1</v>
      </c>
      <c r="AD138" t="str">
        <f>IF(Table1[[#This Row],[Closing_Stock]]&lt;Table1[[#This Row],[Reorder_Point]],"Stock-out Risk","Adequate")</f>
        <v>Adequate</v>
      </c>
      <c r="AE138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138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 for Disposal/De-procurement</v>
      </c>
      <c r="AG138">
        <f>IF(Table1[[#This Row],[Action_Recommendation]]="Review for Disposal/De-procurement",Table1[[#This Row],[Inventory_Value_INR]]*70%,IF(Table1[[#This Row],[Action_Recommendation]]="Review Safety Stock",Table1[[#This Row],[Inventory_Value_INR]]*20%,0))</f>
        <v>115345.99999999999</v>
      </c>
      <c r="AH138" s="11">
        <f>MAX(0,Table1[[#This Row],[Closing_Stock]]-Table1[[#This Row],[Reorder_Point]])</f>
        <v>76</v>
      </c>
      <c r="AI138" s="11">
        <f>Table1[[#This Row],[Excess_Stock_Units]]*Table1[[#This Row],[Unit_Cost_INR]]</f>
        <v>162640</v>
      </c>
      <c r="AJ138" s="11">
        <f>IF(Table1[[#This Row],[Criticality]]="Critical",0,Table1[[#This Row],[Excess_Inventory_Value_INR]])</f>
        <v>162640</v>
      </c>
      <c r="AK138" s="11">
        <f>IF(AND(Table1[[#This Row],[Criticality]]&lt;&gt;"Critical",OR(Table1[[#This Row],[Movement_Class]]="Slow-Moving",Table1[[#This Row],[Movement_Class]]="Non-Moving")),Table1[[#This Row],[Excess_Inventory_Value_INR]],0)</f>
        <v>162640</v>
      </c>
    </row>
    <row r="139" spans="1:37" x14ac:dyDescent="0.25">
      <c r="A139" t="s">
        <v>493</v>
      </c>
      <c r="B139" t="s">
        <v>97</v>
      </c>
      <c r="C139" t="s">
        <v>52</v>
      </c>
      <c r="D139" t="s">
        <v>42</v>
      </c>
      <c r="E139" t="s">
        <v>28</v>
      </c>
      <c r="F139">
        <v>47</v>
      </c>
      <c r="G139">
        <v>63</v>
      </c>
      <c r="H139">
        <v>45</v>
      </c>
      <c r="I139">
        <v>65</v>
      </c>
      <c r="J139">
        <v>2520</v>
      </c>
      <c r="K139">
        <v>20</v>
      </c>
      <c r="L139">
        <v>1</v>
      </c>
      <c r="M139">
        <v>78</v>
      </c>
      <c r="N139" t="s">
        <v>33</v>
      </c>
      <c r="O139">
        <v>0.27500000000000002</v>
      </c>
      <c r="P139">
        <v>45045</v>
      </c>
      <c r="Q139">
        <f>(Table1[[#This Row],[Closing_Stock]]*Table1[[#This Row],[Unit_Cost_INR]])</f>
        <v>163800</v>
      </c>
      <c r="R139">
        <f>(Table1[[#This Row],[Unit_Cost_INR]]*Table1[[#This Row],[Consumption]])</f>
        <v>113400</v>
      </c>
      <c r="S139">
        <f>IFERROR(Table1[[#This Row],[Annual_Consumption_Value_INR]]/Table1[[#This Row],[Inventory_Value_INR]],0)</f>
        <v>0.69230769230769229</v>
      </c>
      <c r="T139">
        <f>IFERROR(365/Table1[[#This Row],[Inventory_Turnover]],0)</f>
        <v>527.22222222222229</v>
      </c>
      <c r="U139" t="str">
        <f>IF(Table1[[#This Row],[Consumption]]=0,"Non-Moving", IF(Table1[[#This Row],[Days_Since_Last_Movement]]&gt;90,"Slow-Moving","Active"))</f>
        <v>Active</v>
      </c>
      <c r="V139">
        <f>SUM($Q$2:Q139)</f>
        <v>56831400</v>
      </c>
      <c r="W139">
        <f>Table1[[#This Row],[Cumulative_Inventory_Value]]/$AP$3</f>
        <v>0.75079096647522825</v>
      </c>
      <c r="X139" t="str">
        <f>IF(Table1[[#This Row],[Cumulative_Value_%]]&lt;80%,"A", IF(Table1[[#This Row],[Cumulative_Value_%]]&lt;=95%,"B","C"))</f>
        <v>A</v>
      </c>
      <c r="Y139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139">
        <f>Table1[[#This Row],[Consumption]]/365</f>
        <v>0.12328767123287671</v>
      </c>
      <c r="AA139">
        <f>Table1[[#This Row],[Avg_Daily_Consumption]]*Table1[[#This Row],[Lead_Time_Days]]+Table1[[#This Row],[Safety_Stock]]</f>
        <v>4.4657534246575343</v>
      </c>
      <c r="AB139">
        <f>IFERROR(Table1[[#This Row],[Closing_Stock]]/Table1[[#This Row],[Avg_Daily_Consumption]],9999)</f>
        <v>527.22222222222229</v>
      </c>
      <c r="AC139">
        <f>MAX(1,ROUNDUP(Table1[[#This Row],[Avg_Daily_Consumption]]*Table1[[#This Row],[Lead_Time_Days]]*0.8,0))</f>
        <v>2</v>
      </c>
      <c r="AD139" t="str">
        <f>IF(Table1[[#This Row],[Closing_Stock]]&lt;Table1[[#This Row],[Reorder_Point]],"Stock-out Risk","Adequate")</f>
        <v>Adequate</v>
      </c>
      <c r="AE139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139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139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139" s="11">
        <f>MAX(0,Table1[[#This Row],[Closing_Stock]]-Table1[[#This Row],[Reorder_Point]])</f>
        <v>60.534246575342465</v>
      </c>
      <c r="AI139" s="11">
        <f>Table1[[#This Row],[Excess_Stock_Units]]*Table1[[#This Row],[Unit_Cost_INR]]</f>
        <v>152546.30136986301</v>
      </c>
      <c r="AJ139" s="11">
        <f>IF(Table1[[#This Row],[Criticality]]="Critical",0,Table1[[#This Row],[Excess_Inventory_Value_INR]])</f>
        <v>152546.30136986301</v>
      </c>
      <c r="AK139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140" spans="1:37" x14ac:dyDescent="0.25">
      <c r="A140" t="s">
        <v>296</v>
      </c>
      <c r="B140" t="s">
        <v>152</v>
      </c>
      <c r="C140" t="s">
        <v>20</v>
      </c>
      <c r="D140" t="s">
        <v>42</v>
      </c>
      <c r="E140" t="s">
        <v>46</v>
      </c>
      <c r="F140">
        <v>15</v>
      </c>
      <c r="G140">
        <v>6</v>
      </c>
      <c r="H140">
        <v>7</v>
      </c>
      <c r="I140">
        <v>14</v>
      </c>
      <c r="J140">
        <v>11550</v>
      </c>
      <c r="K140">
        <v>10</v>
      </c>
      <c r="L140">
        <v>1</v>
      </c>
      <c r="M140">
        <v>33</v>
      </c>
      <c r="N140" t="s">
        <v>61</v>
      </c>
      <c r="O140">
        <v>0.28699999999999998</v>
      </c>
      <c r="P140">
        <v>46407.899999999987</v>
      </c>
      <c r="Q140">
        <f>(Table1[[#This Row],[Closing_Stock]]*Table1[[#This Row],[Unit_Cost_INR]])</f>
        <v>161700</v>
      </c>
      <c r="R140">
        <f>(Table1[[#This Row],[Unit_Cost_INR]]*Table1[[#This Row],[Consumption]])</f>
        <v>80850</v>
      </c>
      <c r="S140">
        <f>IFERROR(Table1[[#This Row],[Annual_Consumption_Value_INR]]/Table1[[#This Row],[Inventory_Value_INR]],0)</f>
        <v>0.5</v>
      </c>
      <c r="T140">
        <f>IFERROR(365/Table1[[#This Row],[Inventory_Turnover]],0)</f>
        <v>730</v>
      </c>
      <c r="U140" t="str">
        <f>IF(Table1[[#This Row],[Consumption]]=0,"Non-Moving", IF(Table1[[#This Row],[Days_Since_Last_Movement]]&gt;90,"Slow-Moving","Active"))</f>
        <v>Active</v>
      </c>
      <c r="V140">
        <f>SUM($Q$2:Q140)</f>
        <v>56993100</v>
      </c>
      <c r="W140">
        <f>Table1[[#This Row],[Cumulative_Inventory_Value]]/$AP$3</f>
        <v>0.75292716053835262</v>
      </c>
      <c r="X140" t="str">
        <f>IF(Table1[[#This Row],[Cumulative_Value_%]]&lt;80%,"A", IF(Table1[[#This Row],[Cumulative_Value_%]]&lt;=95%,"B","C"))</f>
        <v>A</v>
      </c>
      <c r="Y140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140">
        <f>Table1[[#This Row],[Consumption]]/365</f>
        <v>1.9178082191780823E-2</v>
      </c>
      <c r="AA140">
        <f>Table1[[#This Row],[Avg_Daily_Consumption]]*Table1[[#This Row],[Lead_Time_Days]]+Table1[[#This Row],[Safety_Stock]]</f>
        <v>1.1917808219178083</v>
      </c>
      <c r="AB140">
        <f>IFERROR(Table1[[#This Row],[Closing_Stock]]/Table1[[#This Row],[Avg_Daily_Consumption]],9999)</f>
        <v>730</v>
      </c>
      <c r="AC140">
        <f>MAX(1,ROUNDUP(Table1[[#This Row],[Avg_Daily_Consumption]]*Table1[[#This Row],[Lead_Time_Days]]*0.8,0))</f>
        <v>1</v>
      </c>
      <c r="AD140" t="str">
        <f>IF(Table1[[#This Row],[Closing_Stock]]&lt;Table1[[#This Row],[Reorder_Point]],"Stock-out Risk","Adequate")</f>
        <v>Adequate</v>
      </c>
      <c r="AE140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140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140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140" s="11">
        <f>MAX(0,Table1[[#This Row],[Closing_Stock]]-Table1[[#This Row],[Reorder_Point]])</f>
        <v>12.808219178082192</v>
      </c>
      <c r="AI140" s="11">
        <f>Table1[[#This Row],[Excess_Stock_Units]]*Table1[[#This Row],[Unit_Cost_INR]]</f>
        <v>147934.93150684933</v>
      </c>
      <c r="AJ140" s="11">
        <f>IF(Table1[[#This Row],[Criticality]]="Critical",0,Table1[[#This Row],[Excess_Inventory_Value_INR]])</f>
        <v>147934.93150684933</v>
      </c>
      <c r="AK140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141" spans="1:37" x14ac:dyDescent="0.25">
      <c r="A141" t="s">
        <v>187</v>
      </c>
      <c r="B141" t="s">
        <v>129</v>
      </c>
      <c r="C141" t="s">
        <v>52</v>
      </c>
      <c r="D141" t="s">
        <v>66</v>
      </c>
      <c r="E141" t="s">
        <v>22</v>
      </c>
      <c r="F141">
        <v>28</v>
      </c>
      <c r="G141">
        <v>167</v>
      </c>
      <c r="H141">
        <v>145</v>
      </c>
      <c r="I141">
        <v>50</v>
      </c>
      <c r="J141">
        <v>3150</v>
      </c>
      <c r="K141">
        <v>52</v>
      </c>
      <c r="L141">
        <v>0</v>
      </c>
      <c r="M141">
        <v>215</v>
      </c>
      <c r="N141" t="s">
        <v>61</v>
      </c>
      <c r="O141">
        <v>0.28599999999999998</v>
      </c>
      <c r="P141">
        <v>45044.999999999993</v>
      </c>
      <c r="Q141">
        <f>(Table1[[#This Row],[Closing_Stock]]*Table1[[#This Row],[Unit_Cost_INR]])</f>
        <v>157500</v>
      </c>
      <c r="R141">
        <f>(Table1[[#This Row],[Unit_Cost_INR]]*Table1[[#This Row],[Consumption]])</f>
        <v>456750</v>
      </c>
      <c r="S141">
        <f>IFERROR(Table1[[#This Row],[Annual_Consumption_Value_INR]]/Table1[[#This Row],[Inventory_Value_INR]],0)</f>
        <v>2.9</v>
      </c>
      <c r="T141">
        <f>IFERROR(365/Table1[[#This Row],[Inventory_Turnover]],0)</f>
        <v>125.86206896551724</v>
      </c>
      <c r="U141" t="str">
        <f>IF(Table1[[#This Row],[Consumption]]=0,"Non-Moving", IF(Table1[[#This Row],[Days_Since_Last_Movement]]&gt;90,"Slow-Moving","Active"))</f>
        <v>Slow-Moving</v>
      </c>
      <c r="V141">
        <f>SUM($Q$2:Q141)</f>
        <v>57150600</v>
      </c>
      <c r="W141">
        <f>Table1[[#This Row],[Cumulative_Inventory_Value]]/$AP$3</f>
        <v>0.75500786904139583</v>
      </c>
      <c r="X141" t="str">
        <f>IF(Table1[[#This Row],[Cumulative_Value_%]]&lt;80%,"A", IF(Table1[[#This Row],[Cumulative_Value_%]]&lt;=95%,"B","C"))</f>
        <v>A</v>
      </c>
      <c r="Y141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High Review</v>
      </c>
      <c r="Z141">
        <f>Table1[[#This Row],[Consumption]]/365</f>
        <v>0.39726027397260272</v>
      </c>
      <c r="AA141">
        <f>Table1[[#This Row],[Avg_Daily_Consumption]]*Table1[[#This Row],[Lead_Time_Days]]+Table1[[#This Row],[Safety_Stock]]</f>
        <v>37.657534246575338</v>
      </c>
      <c r="AB141">
        <f>IFERROR(Table1[[#This Row],[Closing_Stock]]/Table1[[#This Row],[Avg_Daily_Consumption]],9999)</f>
        <v>125.86206896551725</v>
      </c>
      <c r="AC141">
        <f>MAX(1,ROUNDUP(Table1[[#This Row],[Avg_Daily_Consumption]]*Table1[[#This Row],[Lead_Time_Days]]*0.8,0))</f>
        <v>17</v>
      </c>
      <c r="AD141" t="str">
        <f>IF(Table1[[#This Row],[Closing_Stock]]&lt;Table1[[#This Row],[Reorder_Point]],"Stock-out Risk","Adequate")</f>
        <v>Adequate</v>
      </c>
      <c r="AE141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141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 Safety Stock</v>
      </c>
      <c r="AG141">
        <f>IF(Table1[[#This Row],[Action_Recommendation]]="Review for Disposal/De-procurement",Table1[[#This Row],[Inventory_Value_INR]]*70%,IF(Table1[[#This Row],[Action_Recommendation]]="Review Safety Stock",Table1[[#This Row],[Inventory_Value_INR]]*20%,0))</f>
        <v>31500</v>
      </c>
      <c r="AH141" s="11">
        <f>MAX(0,Table1[[#This Row],[Closing_Stock]]-Table1[[#This Row],[Reorder_Point]])</f>
        <v>12.342465753424662</v>
      </c>
      <c r="AI141" s="11">
        <f>Table1[[#This Row],[Excess_Stock_Units]]*Table1[[#This Row],[Unit_Cost_INR]]</f>
        <v>38878.767123287682</v>
      </c>
      <c r="AJ141" s="11">
        <f>IF(Table1[[#This Row],[Criticality]]="Critical",0,Table1[[#This Row],[Excess_Inventory_Value_INR]])</f>
        <v>38878.767123287682</v>
      </c>
      <c r="AK141" s="11">
        <f>IF(AND(Table1[[#This Row],[Criticality]]&lt;&gt;"Critical",OR(Table1[[#This Row],[Movement_Class]]="Slow-Moving",Table1[[#This Row],[Movement_Class]]="Non-Moving")),Table1[[#This Row],[Excess_Inventory_Value_INR]],0)</f>
        <v>38878.767123287682</v>
      </c>
    </row>
    <row r="142" spans="1:37" x14ac:dyDescent="0.25">
      <c r="A142" t="s">
        <v>360</v>
      </c>
      <c r="B142" t="s">
        <v>113</v>
      </c>
      <c r="C142" t="s">
        <v>36</v>
      </c>
      <c r="D142" t="s">
        <v>45</v>
      </c>
      <c r="E142" t="s">
        <v>28</v>
      </c>
      <c r="F142">
        <v>35</v>
      </c>
      <c r="G142">
        <v>145</v>
      </c>
      <c r="H142">
        <v>98</v>
      </c>
      <c r="I142">
        <v>82</v>
      </c>
      <c r="J142">
        <v>1920</v>
      </c>
      <c r="K142">
        <v>3</v>
      </c>
      <c r="L142">
        <v>0</v>
      </c>
      <c r="M142">
        <v>27</v>
      </c>
      <c r="N142" t="s">
        <v>29</v>
      </c>
      <c r="O142">
        <v>0.16700000000000001</v>
      </c>
      <c r="P142">
        <v>26292.48</v>
      </c>
      <c r="Q142">
        <f>(Table1[[#This Row],[Closing_Stock]]*Table1[[#This Row],[Unit_Cost_INR]])</f>
        <v>157440</v>
      </c>
      <c r="R142">
        <f>(Table1[[#This Row],[Unit_Cost_INR]]*Table1[[#This Row],[Consumption]])</f>
        <v>188160</v>
      </c>
      <c r="S142">
        <f>IFERROR(Table1[[#This Row],[Annual_Consumption_Value_INR]]/Table1[[#This Row],[Inventory_Value_INR]],0)</f>
        <v>1.1951219512195121</v>
      </c>
      <c r="T142">
        <f>IFERROR(365/Table1[[#This Row],[Inventory_Turnover]],0)</f>
        <v>305.40816326530614</v>
      </c>
      <c r="U142" t="str">
        <f>IF(Table1[[#This Row],[Consumption]]=0,"Non-Moving", IF(Table1[[#This Row],[Days_Since_Last_Movement]]&gt;90,"Slow-Moving","Active"))</f>
        <v>Active</v>
      </c>
      <c r="V142">
        <f>SUM($Q$2:Q142)</f>
        <v>57308040</v>
      </c>
      <c r="W142">
        <f>Table1[[#This Row],[Cumulative_Inventory_Value]]/$AP$3</f>
        <v>0.75708778489358064</v>
      </c>
      <c r="X142" t="str">
        <f>IF(Table1[[#This Row],[Cumulative_Value_%]]&lt;80%,"A", IF(Table1[[#This Row],[Cumulative_Value_%]]&lt;=95%,"B","C"))</f>
        <v>A</v>
      </c>
      <c r="Y142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142">
        <f>Table1[[#This Row],[Consumption]]/365</f>
        <v>0.26849315068493151</v>
      </c>
      <c r="AA142">
        <f>Table1[[#This Row],[Avg_Daily_Consumption]]*Table1[[#This Row],[Lead_Time_Days]]+Table1[[#This Row],[Safety_Stock]]</f>
        <v>1.8054794520547945</v>
      </c>
      <c r="AB142">
        <f>IFERROR(Table1[[#This Row],[Closing_Stock]]/Table1[[#This Row],[Avg_Daily_Consumption]],9999)</f>
        <v>305.40816326530609</v>
      </c>
      <c r="AC142">
        <f>MAX(1,ROUNDUP(Table1[[#This Row],[Avg_Daily_Consumption]]*Table1[[#This Row],[Lead_Time_Days]]*0.8,0))</f>
        <v>1</v>
      </c>
      <c r="AD142" t="str">
        <f>IF(Table1[[#This Row],[Closing_Stock]]&lt;Table1[[#This Row],[Reorder_Point]],"Stock-out Risk","Adequate")</f>
        <v>Adequate</v>
      </c>
      <c r="AE142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142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142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142" s="11">
        <f>MAX(0,Table1[[#This Row],[Closing_Stock]]-Table1[[#This Row],[Reorder_Point]])</f>
        <v>80.194520547945203</v>
      </c>
      <c r="AI142" s="11">
        <f>Table1[[#This Row],[Excess_Stock_Units]]*Table1[[#This Row],[Unit_Cost_INR]]</f>
        <v>153973.4794520548</v>
      </c>
      <c r="AJ142" s="11">
        <f>IF(Table1[[#This Row],[Criticality]]="Critical",0,Table1[[#This Row],[Excess_Inventory_Value_INR]])</f>
        <v>153973.4794520548</v>
      </c>
      <c r="AK142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143" spans="1:37" x14ac:dyDescent="0.25">
      <c r="A143" t="s">
        <v>403</v>
      </c>
      <c r="B143" t="s">
        <v>152</v>
      </c>
      <c r="C143" t="s">
        <v>20</v>
      </c>
      <c r="D143" t="s">
        <v>27</v>
      </c>
      <c r="E143" t="s">
        <v>28</v>
      </c>
      <c r="F143">
        <v>80</v>
      </c>
      <c r="G143">
        <v>171</v>
      </c>
      <c r="H143">
        <v>116</v>
      </c>
      <c r="I143">
        <v>135</v>
      </c>
      <c r="J143">
        <v>1160</v>
      </c>
      <c r="K143">
        <v>11</v>
      </c>
      <c r="L143">
        <v>0</v>
      </c>
      <c r="M143">
        <v>52</v>
      </c>
      <c r="N143" t="s">
        <v>29</v>
      </c>
      <c r="O143">
        <v>0.20599999999999999</v>
      </c>
      <c r="P143">
        <v>32259.599999999999</v>
      </c>
      <c r="Q143">
        <f>(Table1[[#This Row],[Closing_Stock]]*Table1[[#This Row],[Unit_Cost_INR]])</f>
        <v>156600</v>
      </c>
      <c r="R143">
        <f>(Table1[[#This Row],[Unit_Cost_INR]]*Table1[[#This Row],[Consumption]])</f>
        <v>134560</v>
      </c>
      <c r="S143">
        <f>IFERROR(Table1[[#This Row],[Annual_Consumption_Value_INR]]/Table1[[#This Row],[Inventory_Value_INR]],0)</f>
        <v>0.85925925925925928</v>
      </c>
      <c r="T143">
        <f>IFERROR(365/Table1[[#This Row],[Inventory_Turnover]],0)</f>
        <v>424.7844827586207</v>
      </c>
      <c r="U143" t="str">
        <f>IF(Table1[[#This Row],[Consumption]]=0,"Non-Moving", IF(Table1[[#This Row],[Days_Since_Last_Movement]]&gt;90,"Slow-Moving","Active"))</f>
        <v>Active</v>
      </c>
      <c r="V143">
        <f>SUM($Q$2:Q143)</f>
        <v>57464640</v>
      </c>
      <c r="W143">
        <f>Table1[[#This Row],[Cumulative_Inventory_Value]]/$AP$3</f>
        <v>0.75915660363374937</v>
      </c>
      <c r="X143" t="str">
        <f>IF(Table1[[#This Row],[Cumulative_Value_%]]&lt;80%,"A", IF(Table1[[#This Row],[Cumulative_Value_%]]&lt;=95%,"B","C"))</f>
        <v>A</v>
      </c>
      <c r="Y143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143">
        <f>Table1[[#This Row],[Consumption]]/365</f>
        <v>0.31780821917808222</v>
      </c>
      <c r="AA143">
        <f>Table1[[#This Row],[Avg_Daily_Consumption]]*Table1[[#This Row],[Lead_Time_Days]]+Table1[[#This Row],[Safety_Stock]]</f>
        <v>6.4958904109589044</v>
      </c>
      <c r="AB143">
        <f>IFERROR(Table1[[#This Row],[Closing_Stock]]/Table1[[#This Row],[Avg_Daily_Consumption]],9999)</f>
        <v>424.78448275862064</v>
      </c>
      <c r="AC143">
        <f>MAX(1,ROUNDUP(Table1[[#This Row],[Avg_Daily_Consumption]]*Table1[[#This Row],[Lead_Time_Days]]*0.8,0))</f>
        <v>3</v>
      </c>
      <c r="AD143" t="str">
        <f>IF(Table1[[#This Row],[Closing_Stock]]&lt;Table1[[#This Row],[Reorder_Point]],"Stock-out Risk","Adequate")</f>
        <v>Adequate</v>
      </c>
      <c r="AE143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143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143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143" s="11">
        <f>MAX(0,Table1[[#This Row],[Closing_Stock]]-Table1[[#This Row],[Reorder_Point]])</f>
        <v>128.50410958904109</v>
      </c>
      <c r="AI143" s="11">
        <f>Table1[[#This Row],[Excess_Stock_Units]]*Table1[[#This Row],[Unit_Cost_INR]]</f>
        <v>149064.76712328766</v>
      </c>
      <c r="AJ143" s="11">
        <f>IF(Table1[[#This Row],[Criticality]]="Critical",0,Table1[[#This Row],[Excess_Inventory_Value_INR]])</f>
        <v>149064.76712328766</v>
      </c>
      <c r="AK143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144" spans="1:37" x14ac:dyDescent="0.25">
      <c r="A144" t="s">
        <v>356</v>
      </c>
      <c r="B144" t="s">
        <v>48</v>
      </c>
      <c r="C144" t="s">
        <v>41</v>
      </c>
      <c r="D144" t="s">
        <v>60</v>
      </c>
      <c r="E144" t="s">
        <v>22</v>
      </c>
      <c r="F144">
        <v>177</v>
      </c>
      <c r="G144">
        <v>202</v>
      </c>
      <c r="H144">
        <v>186</v>
      </c>
      <c r="I144">
        <v>193</v>
      </c>
      <c r="J144">
        <v>800</v>
      </c>
      <c r="K144">
        <v>20</v>
      </c>
      <c r="L144">
        <v>0</v>
      </c>
      <c r="M144">
        <v>105</v>
      </c>
      <c r="N144" t="s">
        <v>29</v>
      </c>
      <c r="O144">
        <v>0.253</v>
      </c>
      <c r="P144">
        <v>39063.199999999997</v>
      </c>
      <c r="Q144">
        <f>(Table1[[#This Row],[Closing_Stock]]*Table1[[#This Row],[Unit_Cost_INR]])</f>
        <v>154400</v>
      </c>
      <c r="R144">
        <f>(Table1[[#This Row],[Unit_Cost_INR]]*Table1[[#This Row],[Consumption]])</f>
        <v>148800</v>
      </c>
      <c r="S144">
        <f>IFERROR(Table1[[#This Row],[Annual_Consumption_Value_INR]]/Table1[[#This Row],[Inventory_Value_INR]],0)</f>
        <v>0.96373056994818651</v>
      </c>
      <c r="T144">
        <f>IFERROR(365/Table1[[#This Row],[Inventory_Turnover]],0)</f>
        <v>378.73655913978496</v>
      </c>
      <c r="U144" t="str">
        <f>IF(Table1[[#This Row],[Consumption]]=0,"Non-Moving", IF(Table1[[#This Row],[Days_Since_Last_Movement]]&gt;90,"Slow-Moving","Active"))</f>
        <v>Slow-Moving</v>
      </c>
      <c r="V144">
        <f>SUM($Q$2:Q144)</f>
        <v>57619040</v>
      </c>
      <c r="W144">
        <f>Table1[[#This Row],[Cumulative_Inventory_Value]]/$AP$3</f>
        <v>0.7611963585091136</v>
      </c>
      <c r="X144" t="str">
        <f>IF(Table1[[#This Row],[Cumulative_Value_%]]&lt;80%,"A", IF(Table1[[#This Row],[Cumulative_Value_%]]&lt;=95%,"B","C"))</f>
        <v>A</v>
      </c>
      <c r="Y144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High Review</v>
      </c>
      <c r="Z144">
        <f>Table1[[#This Row],[Consumption]]/365</f>
        <v>0.50958904109589043</v>
      </c>
      <c r="AA144">
        <f>Table1[[#This Row],[Avg_Daily_Consumption]]*Table1[[#This Row],[Lead_Time_Days]]+Table1[[#This Row],[Safety_Stock]]</f>
        <v>19.19178082191781</v>
      </c>
      <c r="AB144">
        <f>IFERROR(Table1[[#This Row],[Closing_Stock]]/Table1[[#This Row],[Avg_Daily_Consumption]],9999)</f>
        <v>378.73655913978496</v>
      </c>
      <c r="AC144">
        <f>MAX(1,ROUNDUP(Table1[[#This Row],[Avg_Daily_Consumption]]*Table1[[#This Row],[Lead_Time_Days]]*0.8,0))</f>
        <v>9</v>
      </c>
      <c r="AD144" t="str">
        <f>IF(Table1[[#This Row],[Closing_Stock]]&lt;Table1[[#This Row],[Reorder_Point]],"Stock-out Risk","Adequate")</f>
        <v>Adequate</v>
      </c>
      <c r="AE144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144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 Safety Stock</v>
      </c>
      <c r="AG144">
        <f>IF(Table1[[#This Row],[Action_Recommendation]]="Review for Disposal/De-procurement",Table1[[#This Row],[Inventory_Value_INR]]*70%,IF(Table1[[#This Row],[Action_Recommendation]]="Review Safety Stock",Table1[[#This Row],[Inventory_Value_INR]]*20%,0))</f>
        <v>30880</v>
      </c>
      <c r="AH144" s="11">
        <f>MAX(0,Table1[[#This Row],[Closing_Stock]]-Table1[[#This Row],[Reorder_Point]])</f>
        <v>173.8082191780822</v>
      </c>
      <c r="AI144" s="11">
        <f>Table1[[#This Row],[Excess_Stock_Units]]*Table1[[#This Row],[Unit_Cost_INR]]</f>
        <v>139046.57534246575</v>
      </c>
      <c r="AJ144" s="11">
        <f>IF(Table1[[#This Row],[Criticality]]="Critical",0,Table1[[#This Row],[Excess_Inventory_Value_INR]])</f>
        <v>139046.57534246575</v>
      </c>
      <c r="AK144" s="11">
        <f>IF(AND(Table1[[#This Row],[Criticality]]&lt;&gt;"Critical",OR(Table1[[#This Row],[Movement_Class]]="Slow-Moving",Table1[[#This Row],[Movement_Class]]="Non-Moving")),Table1[[#This Row],[Excess_Inventory_Value_INR]],0)</f>
        <v>139046.57534246575</v>
      </c>
    </row>
    <row r="145" spans="1:37" x14ac:dyDescent="0.25">
      <c r="A145" t="s">
        <v>69</v>
      </c>
      <c r="B145" t="s">
        <v>54</v>
      </c>
      <c r="C145" t="s">
        <v>36</v>
      </c>
      <c r="D145" t="s">
        <v>27</v>
      </c>
      <c r="E145" t="s">
        <v>22</v>
      </c>
      <c r="F145">
        <v>46</v>
      </c>
      <c r="G145">
        <v>31</v>
      </c>
      <c r="H145">
        <v>29</v>
      </c>
      <c r="I145">
        <v>48</v>
      </c>
      <c r="J145">
        <v>3160</v>
      </c>
      <c r="K145">
        <v>36</v>
      </c>
      <c r="L145">
        <v>0</v>
      </c>
      <c r="M145">
        <v>29</v>
      </c>
      <c r="N145" t="s">
        <v>38</v>
      </c>
      <c r="O145">
        <v>0.22700000000000001</v>
      </c>
      <c r="P145">
        <v>34431.360000000001</v>
      </c>
      <c r="Q145">
        <f>(Table1[[#This Row],[Closing_Stock]]*Table1[[#This Row],[Unit_Cost_INR]])</f>
        <v>151680</v>
      </c>
      <c r="R145">
        <f>(Table1[[#This Row],[Unit_Cost_INR]]*Table1[[#This Row],[Consumption]])</f>
        <v>91640</v>
      </c>
      <c r="S145">
        <f>IFERROR(Table1[[#This Row],[Annual_Consumption_Value_INR]]/Table1[[#This Row],[Inventory_Value_INR]],0)</f>
        <v>0.60416666666666663</v>
      </c>
      <c r="T145">
        <f>IFERROR(365/Table1[[#This Row],[Inventory_Turnover]],0)</f>
        <v>604.13793103448279</v>
      </c>
      <c r="U145" t="str">
        <f>IF(Table1[[#This Row],[Consumption]]=0,"Non-Moving", IF(Table1[[#This Row],[Days_Since_Last_Movement]]&gt;90,"Slow-Moving","Active"))</f>
        <v>Active</v>
      </c>
      <c r="V145">
        <f>SUM($Q$2:Q145)</f>
        <v>57770720</v>
      </c>
      <c r="W145">
        <f>Table1[[#This Row],[Cumulative_Inventory_Value]]/$AP$3</f>
        <v>0.76320017987890143</v>
      </c>
      <c r="X145" t="str">
        <f>IF(Table1[[#This Row],[Cumulative_Value_%]]&lt;80%,"A", IF(Table1[[#This Row],[Cumulative_Value_%]]&lt;=95%,"B","C"))</f>
        <v>A</v>
      </c>
      <c r="Y145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145">
        <f>Table1[[#This Row],[Consumption]]/365</f>
        <v>7.9452054794520555E-2</v>
      </c>
      <c r="AA145">
        <f>Table1[[#This Row],[Avg_Daily_Consumption]]*Table1[[#This Row],[Lead_Time_Days]]+Table1[[#This Row],[Safety_Stock]]</f>
        <v>5.86027397260274</v>
      </c>
      <c r="AB145">
        <f>IFERROR(Table1[[#This Row],[Closing_Stock]]/Table1[[#This Row],[Avg_Daily_Consumption]],9999)</f>
        <v>604.13793103448268</v>
      </c>
      <c r="AC145">
        <f>MAX(1,ROUNDUP(Table1[[#This Row],[Avg_Daily_Consumption]]*Table1[[#This Row],[Lead_Time_Days]]*0.8,0))</f>
        <v>3</v>
      </c>
      <c r="AD145" t="str">
        <f>IF(Table1[[#This Row],[Closing_Stock]]&lt;Table1[[#This Row],[Reorder_Point]],"Stock-out Risk","Adequate")</f>
        <v>Adequate</v>
      </c>
      <c r="AE145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145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145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145" s="11">
        <f>MAX(0,Table1[[#This Row],[Closing_Stock]]-Table1[[#This Row],[Reorder_Point]])</f>
        <v>42.139726027397259</v>
      </c>
      <c r="AI145" s="11">
        <f>Table1[[#This Row],[Excess_Stock_Units]]*Table1[[#This Row],[Unit_Cost_INR]]</f>
        <v>133161.53424657535</v>
      </c>
      <c r="AJ145" s="11">
        <f>IF(Table1[[#This Row],[Criticality]]="Critical",0,Table1[[#This Row],[Excess_Inventory_Value_INR]])</f>
        <v>133161.53424657535</v>
      </c>
      <c r="AK145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146" spans="1:37" x14ac:dyDescent="0.25">
      <c r="A146" t="s">
        <v>105</v>
      </c>
      <c r="B146" t="s">
        <v>80</v>
      </c>
      <c r="C146" t="s">
        <v>20</v>
      </c>
      <c r="D146" t="s">
        <v>27</v>
      </c>
      <c r="E146" t="s">
        <v>37</v>
      </c>
      <c r="F146">
        <v>20</v>
      </c>
      <c r="G146">
        <v>19</v>
      </c>
      <c r="H146">
        <v>0</v>
      </c>
      <c r="I146">
        <v>113</v>
      </c>
      <c r="J146">
        <v>1340</v>
      </c>
      <c r="K146">
        <v>26</v>
      </c>
      <c r="L146">
        <v>2</v>
      </c>
      <c r="M146">
        <v>705</v>
      </c>
      <c r="N146" t="s">
        <v>29</v>
      </c>
      <c r="O146">
        <v>0.20599999999999999</v>
      </c>
      <c r="P146">
        <v>31192.52</v>
      </c>
      <c r="Q146">
        <f>(Table1[[#This Row],[Closing_Stock]]*Table1[[#This Row],[Unit_Cost_INR]])</f>
        <v>151420</v>
      </c>
      <c r="R146">
        <f>(Table1[[#This Row],[Unit_Cost_INR]]*Table1[[#This Row],[Consumption]])</f>
        <v>0</v>
      </c>
      <c r="S146">
        <f>IFERROR(Table1[[#This Row],[Annual_Consumption_Value_INR]]/Table1[[#This Row],[Inventory_Value_INR]],0)</f>
        <v>0</v>
      </c>
      <c r="T146">
        <f>IFERROR(365/Table1[[#This Row],[Inventory_Turnover]],0)</f>
        <v>0</v>
      </c>
      <c r="U146" t="str">
        <f>IF(Table1[[#This Row],[Consumption]]=0,"Non-Moving", IF(Table1[[#This Row],[Days_Since_Last_Movement]]&gt;90,"Slow-Moving","Active"))</f>
        <v>Non-Moving</v>
      </c>
      <c r="V146">
        <f>SUM($Q$2:Q146)</f>
        <v>57922140</v>
      </c>
      <c r="W146">
        <f>Table1[[#This Row],[Cumulative_Inventory_Value]]/$AP$3</f>
        <v>0.76520056642830336</v>
      </c>
      <c r="X146" t="str">
        <f>IF(Table1[[#This Row],[Cumulative_Value_%]]&lt;80%,"A", IF(Table1[[#This Row],[Cumulative_Value_%]]&lt;=95%,"B","C"))</f>
        <v>A</v>
      </c>
      <c r="Y146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Critical Review</v>
      </c>
      <c r="Z146">
        <f>Table1[[#This Row],[Consumption]]/365</f>
        <v>0</v>
      </c>
      <c r="AA146">
        <f>Table1[[#This Row],[Avg_Daily_Consumption]]*Table1[[#This Row],[Lead_Time_Days]]+Table1[[#This Row],[Safety_Stock]]</f>
        <v>1</v>
      </c>
      <c r="AB146">
        <f>IFERROR(Table1[[#This Row],[Closing_Stock]]/Table1[[#This Row],[Avg_Daily_Consumption]],9999)</f>
        <v>9999</v>
      </c>
      <c r="AC146">
        <f>MAX(1,ROUNDUP(Table1[[#This Row],[Avg_Daily_Consumption]]*Table1[[#This Row],[Lead_Time_Days]]*0.8,0))</f>
        <v>1</v>
      </c>
      <c r="AD146" t="str">
        <f>IF(Table1[[#This Row],[Closing_Stock]]&lt;Table1[[#This Row],[Reorder_Point]],"Stock-out Risk","Adequate")</f>
        <v>Adequate</v>
      </c>
      <c r="AE146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146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146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146" s="11">
        <f>MAX(0,Table1[[#This Row],[Closing_Stock]]-Table1[[#This Row],[Reorder_Point]])</f>
        <v>112</v>
      </c>
      <c r="AI146" s="11">
        <f>Table1[[#This Row],[Excess_Stock_Units]]*Table1[[#This Row],[Unit_Cost_INR]]</f>
        <v>150080</v>
      </c>
      <c r="AJ146" s="11">
        <f>IF(Table1[[#This Row],[Criticality]]="Critical",0,Table1[[#This Row],[Excess_Inventory_Value_INR]])</f>
        <v>0</v>
      </c>
      <c r="AK146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147" spans="1:37" x14ac:dyDescent="0.25">
      <c r="A147" t="s">
        <v>482</v>
      </c>
      <c r="B147" t="s">
        <v>85</v>
      </c>
      <c r="C147" t="s">
        <v>41</v>
      </c>
      <c r="D147" t="s">
        <v>60</v>
      </c>
      <c r="E147" t="s">
        <v>22</v>
      </c>
      <c r="F147">
        <v>48</v>
      </c>
      <c r="G147">
        <v>84</v>
      </c>
      <c r="H147">
        <v>70</v>
      </c>
      <c r="I147">
        <v>106</v>
      </c>
      <c r="J147">
        <v>1420</v>
      </c>
      <c r="K147">
        <v>31</v>
      </c>
      <c r="L147">
        <v>0</v>
      </c>
      <c r="M147">
        <v>2</v>
      </c>
      <c r="N147" t="s">
        <v>29</v>
      </c>
      <c r="O147">
        <v>0.26100000000000001</v>
      </c>
      <c r="P147">
        <v>39285.72</v>
      </c>
      <c r="Q147">
        <f>(Table1[[#This Row],[Closing_Stock]]*Table1[[#This Row],[Unit_Cost_INR]])</f>
        <v>150520</v>
      </c>
      <c r="R147">
        <f>(Table1[[#This Row],[Unit_Cost_INR]]*Table1[[#This Row],[Consumption]])</f>
        <v>99400</v>
      </c>
      <c r="S147">
        <f>IFERROR(Table1[[#This Row],[Annual_Consumption_Value_INR]]/Table1[[#This Row],[Inventory_Value_INR]],0)</f>
        <v>0.660377358490566</v>
      </c>
      <c r="T147">
        <f>IFERROR(365/Table1[[#This Row],[Inventory_Turnover]],0)</f>
        <v>552.71428571428578</v>
      </c>
      <c r="U147" t="str">
        <f>IF(Table1[[#This Row],[Consumption]]=0,"Non-Moving", IF(Table1[[#This Row],[Days_Since_Last_Movement]]&gt;90,"Slow-Moving","Active"))</f>
        <v>Active</v>
      </c>
      <c r="V147">
        <f>SUM($Q$2:Q147)</f>
        <v>58072660</v>
      </c>
      <c r="W147">
        <f>Table1[[#This Row],[Cumulative_Inventory_Value]]/$AP$3</f>
        <v>0.76718906321483071</v>
      </c>
      <c r="X147" t="str">
        <f>IF(Table1[[#This Row],[Cumulative_Value_%]]&lt;80%,"A", IF(Table1[[#This Row],[Cumulative_Value_%]]&lt;=95%,"B","C"))</f>
        <v>A</v>
      </c>
      <c r="Y147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147">
        <f>Table1[[#This Row],[Consumption]]/365</f>
        <v>0.19178082191780821</v>
      </c>
      <c r="AA147">
        <f>Table1[[#This Row],[Avg_Daily_Consumption]]*Table1[[#This Row],[Lead_Time_Days]]+Table1[[#This Row],[Safety_Stock]]</f>
        <v>10.945205479452055</v>
      </c>
      <c r="AB147">
        <f>IFERROR(Table1[[#This Row],[Closing_Stock]]/Table1[[#This Row],[Avg_Daily_Consumption]],9999)</f>
        <v>552.71428571428578</v>
      </c>
      <c r="AC147">
        <f>MAX(1,ROUNDUP(Table1[[#This Row],[Avg_Daily_Consumption]]*Table1[[#This Row],[Lead_Time_Days]]*0.8,0))</f>
        <v>5</v>
      </c>
      <c r="AD147" t="str">
        <f>IF(Table1[[#This Row],[Closing_Stock]]&lt;Table1[[#This Row],[Reorder_Point]],"Stock-out Risk","Adequate")</f>
        <v>Adequate</v>
      </c>
      <c r="AE147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147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147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147" s="11">
        <f>MAX(0,Table1[[#This Row],[Closing_Stock]]-Table1[[#This Row],[Reorder_Point]])</f>
        <v>95.054794520547944</v>
      </c>
      <c r="AI147" s="11">
        <f>Table1[[#This Row],[Excess_Stock_Units]]*Table1[[#This Row],[Unit_Cost_INR]]</f>
        <v>134977.80821917808</v>
      </c>
      <c r="AJ147" s="11">
        <f>IF(Table1[[#This Row],[Criticality]]="Critical",0,Table1[[#This Row],[Excess_Inventory_Value_INR]])</f>
        <v>134977.80821917808</v>
      </c>
      <c r="AK147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148" spans="1:37" x14ac:dyDescent="0.25">
      <c r="A148" t="s">
        <v>108</v>
      </c>
      <c r="B148" t="s">
        <v>44</v>
      </c>
      <c r="C148" t="s">
        <v>41</v>
      </c>
      <c r="D148" t="s">
        <v>42</v>
      </c>
      <c r="E148" t="s">
        <v>28</v>
      </c>
      <c r="F148">
        <v>40</v>
      </c>
      <c r="G148">
        <v>69</v>
      </c>
      <c r="H148">
        <v>1</v>
      </c>
      <c r="I148">
        <v>70</v>
      </c>
      <c r="J148">
        <v>2120</v>
      </c>
      <c r="K148">
        <v>23</v>
      </c>
      <c r="L148">
        <v>0</v>
      </c>
      <c r="M148">
        <v>280</v>
      </c>
      <c r="N148" t="s">
        <v>58</v>
      </c>
      <c r="O148">
        <v>0.21199999999999999</v>
      </c>
      <c r="P148">
        <v>31460.799999999999</v>
      </c>
      <c r="Q148">
        <f>(Table1[[#This Row],[Closing_Stock]]*Table1[[#This Row],[Unit_Cost_INR]])</f>
        <v>148400</v>
      </c>
      <c r="R148">
        <f>(Table1[[#This Row],[Unit_Cost_INR]]*Table1[[#This Row],[Consumption]])</f>
        <v>2120</v>
      </c>
      <c r="S148">
        <f>IFERROR(Table1[[#This Row],[Annual_Consumption_Value_INR]]/Table1[[#This Row],[Inventory_Value_INR]],0)</f>
        <v>1.4285714285714285E-2</v>
      </c>
      <c r="T148">
        <f>IFERROR(365/Table1[[#This Row],[Inventory_Turnover]],0)</f>
        <v>25550</v>
      </c>
      <c r="U148" t="str">
        <f>IF(Table1[[#This Row],[Consumption]]=0,"Non-Moving", IF(Table1[[#This Row],[Days_Since_Last_Movement]]&gt;90,"Slow-Moving","Active"))</f>
        <v>Slow-Moving</v>
      </c>
      <c r="V148">
        <f>SUM($Q$2:Q148)</f>
        <v>58221060</v>
      </c>
      <c r="W148">
        <f>Table1[[#This Row],[Cumulative_Inventory_Value]]/$AP$3</f>
        <v>0.76914955300436472</v>
      </c>
      <c r="X148" t="str">
        <f>IF(Table1[[#This Row],[Cumulative_Value_%]]&lt;80%,"A", IF(Table1[[#This Row],[Cumulative_Value_%]]&lt;=95%,"B","C"))</f>
        <v>A</v>
      </c>
      <c r="Y148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High Review</v>
      </c>
      <c r="Z148">
        <f>Table1[[#This Row],[Consumption]]/365</f>
        <v>2.7397260273972603E-3</v>
      </c>
      <c r="AA148">
        <f>Table1[[#This Row],[Avg_Daily_Consumption]]*Table1[[#This Row],[Lead_Time_Days]]+Table1[[#This Row],[Safety_Stock]]</f>
        <v>1.0630136986301371</v>
      </c>
      <c r="AB148">
        <f>IFERROR(Table1[[#This Row],[Closing_Stock]]/Table1[[#This Row],[Avg_Daily_Consumption]],9999)</f>
        <v>25550</v>
      </c>
      <c r="AC148">
        <f>MAX(1,ROUNDUP(Table1[[#This Row],[Avg_Daily_Consumption]]*Table1[[#This Row],[Lead_Time_Days]]*0.8,0))</f>
        <v>1</v>
      </c>
      <c r="AD148" t="str">
        <f>IF(Table1[[#This Row],[Closing_Stock]]&lt;Table1[[#This Row],[Reorder_Point]],"Stock-out Risk","Adequate")</f>
        <v>Adequate</v>
      </c>
      <c r="AE148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148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 Safety Stock</v>
      </c>
      <c r="AG148">
        <f>IF(Table1[[#This Row],[Action_Recommendation]]="Review for Disposal/De-procurement",Table1[[#This Row],[Inventory_Value_INR]]*70%,IF(Table1[[#This Row],[Action_Recommendation]]="Review Safety Stock",Table1[[#This Row],[Inventory_Value_INR]]*20%,0))</f>
        <v>29680</v>
      </c>
      <c r="AH148" s="11">
        <f>MAX(0,Table1[[#This Row],[Closing_Stock]]-Table1[[#This Row],[Reorder_Point]])</f>
        <v>68.936986301369856</v>
      </c>
      <c r="AI148" s="11">
        <f>Table1[[#This Row],[Excess_Stock_Units]]*Table1[[#This Row],[Unit_Cost_INR]]</f>
        <v>146146.4109589041</v>
      </c>
      <c r="AJ148" s="11">
        <f>IF(Table1[[#This Row],[Criticality]]="Critical",0,Table1[[#This Row],[Excess_Inventory_Value_INR]])</f>
        <v>146146.4109589041</v>
      </c>
      <c r="AK148" s="11">
        <f>IF(AND(Table1[[#This Row],[Criticality]]&lt;&gt;"Critical",OR(Table1[[#This Row],[Movement_Class]]="Slow-Moving",Table1[[#This Row],[Movement_Class]]="Non-Moving")),Table1[[#This Row],[Excess_Inventory_Value_INR]],0)</f>
        <v>146146.4109589041</v>
      </c>
    </row>
    <row r="149" spans="1:37" x14ac:dyDescent="0.25">
      <c r="A149" t="s">
        <v>497</v>
      </c>
      <c r="B149" t="s">
        <v>40</v>
      </c>
      <c r="C149" t="s">
        <v>41</v>
      </c>
      <c r="D149" t="s">
        <v>66</v>
      </c>
      <c r="E149" t="s">
        <v>37</v>
      </c>
      <c r="F149">
        <v>89</v>
      </c>
      <c r="G149">
        <v>215</v>
      </c>
      <c r="H149">
        <v>255</v>
      </c>
      <c r="I149">
        <v>49</v>
      </c>
      <c r="J149">
        <v>3020</v>
      </c>
      <c r="K149">
        <v>21</v>
      </c>
      <c r="L149">
        <v>1</v>
      </c>
      <c r="M149">
        <v>317</v>
      </c>
      <c r="N149" t="s">
        <v>49</v>
      </c>
      <c r="O149">
        <v>0.28999999999999998</v>
      </c>
      <c r="P149">
        <v>42914.2</v>
      </c>
      <c r="Q149">
        <f>(Table1[[#This Row],[Closing_Stock]]*Table1[[#This Row],[Unit_Cost_INR]])</f>
        <v>147980</v>
      </c>
      <c r="R149">
        <f>(Table1[[#This Row],[Unit_Cost_INR]]*Table1[[#This Row],[Consumption]])</f>
        <v>770100</v>
      </c>
      <c r="S149">
        <f>IFERROR(Table1[[#This Row],[Annual_Consumption_Value_INR]]/Table1[[#This Row],[Inventory_Value_INR]],0)</f>
        <v>5.204081632653061</v>
      </c>
      <c r="T149">
        <f>IFERROR(365/Table1[[#This Row],[Inventory_Turnover]],0)</f>
        <v>70.137254901960787</v>
      </c>
      <c r="U149" t="str">
        <f>IF(Table1[[#This Row],[Consumption]]=0,"Non-Moving", IF(Table1[[#This Row],[Days_Since_Last_Movement]]&gt;90,"Slow-Moving","Active"))</f>
        <v>Slow-Moving</v>
      </c>
      <c r="V149">
        <f>SUM($Q$2:Q149)</f>
        <v>58369040</v>
      </c>
      <c r="W149">
        <f>Table1[[#This Row],[Cumulative_Inventory_Value]]/$AP$3</f>
        <v>0.77110449423789063</v>
      </c>
      <c r="X149" t="str">
        <f>IF(Table1[[#This Row],[Cumulative_Value_%]]&lt;80%,"A", IF(Table1[[#This Row],[Cumulative_Value_%]]&lt;=95%,"B","C"))</f>
        <v>A</v>
      </c>
      <c r="Y149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High Review</v>
      </c>
      <c r="Z149">
        <f>Table1[[#This Row],[Consumption]]/365</f>
        <v>0.69863013698630139</v>
      </c>
      <c r="AA149">
        <f>Table1[[#This Row],[Avg_Daily_Consumption]]*Table1[[#This Row],[Lead_Time_Days]]+Table1[[#This Row],[Safety_Stock]]</f>
        <v>26.671232876712331</v>
      </c>
      <c r="AB149">
        <f>IFERROR(Table1[[#This Row],[Closing_Stock]]/Table1[[#This Row],[Avg_Daily_Consumption]],9999)</f>
        <v>70.137254901960787</v>
      </c>
      <c r="AC149">
        <f>MAX(1,ROUNDUP(Table1[[#This Row],[Avg_Daily_Consumption]]*Table1[[#This Row],[Lead_Time_Days]]*0.8,0))</f>
        <v>12</v>
      </c>
      <c r="AD149" t="str">
        <f>IF(Table1[[#This Row],[Closing_Stock]]&lt;Table1[[#This Row],[Reorder_Point]],"Stock-out Risk","Adequate")</f>
        <v>Adequate</v>
      </c>
      <c r="AE149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149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149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149" s="11">
        <f>MAX(0,Table1[[#This Row],[Closing_Stock]]-Table1[[#This Row],[Reorder_Point]])</f>
        <v>22.328767123287669</v>
      </c>
      <c r="AI149" s="11">
        <f>Table1[[#This Row],[Excess_Stock_Units]]*Table1[[#This Row],[Unit_Cost_INR]]</f>
        <v>67432.876712328754</v>
      </c>
      <c r="AJ149" s="11">
        <f>IF(Table1[[#This Row],[Criticality]]="Critical",0,Table1[[#This Row],[Excess_Inventory_Value_INR]])</f>
        <v>0</v>
      </c>
      <c r="AK149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150" spans="1:37" x14ac:dyDescent="0.25">
      <c r="A150" t="s">
        <v>465</v>
      </c>
      <c r="B150" t="s">
        <v>80</v>
      </c>
      <c r="C150" t="s">
        <v>20</v>
      </c>
      <c r="D150" t="s">
        <v>21</v>
      </c>
      <c r="E150" t="s">
        <v>28</v>
      </c>
      <c r="F150">
        <v>49</v>
      </c>
      <c r="G150">
        <v>61</v>
      </c>
      <c r="H150">
        <v>49</v>
      </c>
      <c r="I150">
        <v>61</v>
      </c>
      <c r="J150">
        <v>2400</v>
      </c>
      <c r="K150">
        <v>20</v>
      </c>
      <c r="L150">
        <v>0</v>
      </c>
      <c r="M150">
        <v>64</v>
      </c>
      <c r="N150" t="s">
        <v>23</v>
      </c>
      <c r="O150">
        <v>0.22800000000000001</v>
      </c>
      <c r="P150">
        <v>33379.199999999997</v>
      </c>
      <c r="Q150">
        <f>(Table1[[#This Row],[Closing_Stock]]*Table1[[#This Row],[Unit_Cost_INR]])</f>
        <v>146400</v>
      </c>
      <c r="R150">
        <f>(Table1[[#This Row],[Unit_Cost_INR]]*Table1[[#This Row],[Consumption]])</f>
        <v>117600</v>
      </c>
      <c r="S150">
        <f>IFERROR(Table1[[#This Row],[Annual_Consumption_Value_INR]]/Table1[[#This Row],[Inventory_Value_INR]],0)</f>
        <v>0.80327868852459017</v>
      </c>
      <c r="T150">
        <f>IFERROR(365/Table1[[#This Row],[Inventory_Turnover]],0)</f>
        <v>454.38775510204084</v>
      </c>
      <c r="U150" t="str">
        <f>IF(Table1[[#This Row],[Consumption]]=0,"Non-Moving", IF(Table1[[#This Row],[Days_Since_Last_Movement]]&gt;90,"Slow-Moving","Active"))</f>
        <v>Active</v>
      </c>
      <c r="V150">
        <f>SUM($Q$2:Q150)</f>
        <v>58515440</v>
      </c>
      <c r="W150">
        <f>Table1[[#This Row],[Cumulative_Inventory_Value]]/$AP$3</f>
        <v>0.77303856233214796</v>
      </c>
      <c r="X150" t="str">
        <f>IF(Table1[[#This Row],[Cumulative_Value_%]]&lt;80%,"A", IF(Table1[[#This Row],[Cumulative_Value_%]]&lt;=95%,"B","C"))</f>
        <v>A</v>
      </c>
      <c r="Y150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150">
        <f>Table1[[#This Row],[Consumption]]/365</f>
        <v>0.13424657534246576</v>
      </c>
      <c r="AA150">
        <f>Table1[[#This Row],[Avg_Daily_Consumption]]*Table1[[#This Row],[Lead_Time_Days]]+Table1[[#This Row],[Safety_Stock]]</f>
        <v>5.6849315068493151</v>
      </c>
      <c r="AB150">
        <f>IFERROR(Table1[[#This Row],[Closing_Stock]]/Table1[[#This Row],[Avg_Daily_Consumption]],9999)</f>
        <v>454.38775510204079</v>
      </c>
      <c r="AC150">
        <f>MAX(1,ROUNDUP(Table1[[#This Row],[Avg_Daily_Consumption]]*Table1[[#This Row],[Lead_Time_Days]]*0.8,0))</f>
        <v>3</v>
      </c>
      <c r="AD150" t="str">
        <f>IF(Table1[[#This Row],[Closing_Stock]]&lt;Table1[[#This Row],[Reorder_Point]],"Stock-out Risk","Adequate")</f>
        <v>Adequate</v>
      </c>
      <c r="AE150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150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150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150" s="11">
        <f>MAX(0,Table1[[#This Row],[Closing_Stock]]-Table1[[#This Row],[Reorder_Point]])</f>
        <v>55.315068493150683</v>
      </c>
      <c r="AI150" s="11">
        <f>Table1[[#This Row],[Excess_Stock_Units]]*Table1[[#This Row],[Unit_Cost_INR]]</f>
        <v>132756.16438356164</v>
      </c>
      <c r="AJ150" s="11">
        <f>IF(Table1[[#This Row],[Criticality]]="Critical",0,Table1[[#This Row],[Excess_Inventory_Value_INR]])</f>
        <v>132756.16438356164</v>
      </c>
      <c r="AK150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151" spans="1:37" x14ac:dyDescent="0.25">
      <c r="A151" t="s">
        <v>428</v>
      </c>
      <c r="B151" t="s">
        <v>150</v>
      </c>
      <c r="C151" t="s">
        <v>36</v>
      </c>
      <c r="D151" t="s">
        <v>42</v>
      </c>
      <c r="E151" t="s">
        <v>37</v>
      </c>
      <c r="F151">
        <v>48</v>
      </c>
      <c r="G151">
        <v>141</v>
      </c>
      <c r="H151">
        <v>131</v>
      </c>
      <c r="I151">
        <v>58</v>
      </c>
      <c r="J151">
        <v>2500</v>
      </c>
      <c r="K151">
        <v>45</v>
      </c>
      <c r="L151">
        <v>0</v>
      </c>
      <c r="M151">
        <v>59</v>
      </c>
      <c r="N151" t="s">
        <v>61</v>
      </c>
      <c r="O151">
        <v>0.26400000000000001</v>
      </c>
      <c r="P151">
        <v>38280</v>
      </c>
      <c r="Q151">
        <f>(Table1[[#This Row],[Closing_Stock]]*Table1[[#This Row],[Unit_Cost_INR]])</f>
        <v>145000</v>
      </c>
      <c r="R151">
        <f>(Table1[[#This Row],[Unit_Cost_INR]]*Table1[[#This Row],[Consumption]])</f>
        <v>327500</v>
      </c>
      <c r="S151">
        <f>IFERROR(Table1[[#This Row],[Annual_Consumption_Value_INR]]/Table1[[#This Row],[Inventory_Value_INR]],0)</f>
        <v>2.2586206896551726</v>
      </c>
      <c r="T151">
        <f>IFERROR(365/Table1[[#This Row],[Inventory_Turnover]],0)</f>
        <v>161.6030534351145</v>
      </c>
      <c r="U151" t="str">
        <f>IF(Table1[[#This Row],[Consumption]]=0,"Non-Moving", IF(Table1[[#This Row],[Days_Since_Last_Movement]]&gt;90,"Slow-Moving","Active"))</f>
        <v>Active</v>
      </c>
      <c r="V151">
        <f>SUM($Q$2:Q151)</f>
        <v>58660440</v>
      </c>
      <c r="W151">
        <f>Table1[[#This Row],[Cumulative_Inventory_Value]]/$AP$3</f>
        <v>0.77495413523971146</v>
      </c>
      <c r="X151" t="str">
        <f>IF(Table1[[#This Row],[Cumulative_Value_%]]&lt;80%,"A", IF(Table1[[#This Row],[Cumulative_Value_%]]&lt;=95%,"B","C"))</f>
        <v>A</v>
      </c>
      <c r="Y151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151">
        <f>Table1[[#This Row],[Consumption]]/365</f>
        <v>0.35890410958904112</v>
      </c>
      <c r="AA151">
        <f>Table1[[#This Row],[Avg_Daily_Consumption]]*Table1[[#This Row],[Lead_Time_Days]]+Table1[[#This Row],[Safety_Stock]]</f>
        <v>29.150684931506852</v>
      </c>
      <c r="AB151">
        <f>IFERROR(Table1[[#This Row],[Closing_Stock]]/Table1[[#This Row],[Avg_Daily_Consumption]],9999)</f>
        <v>161.6030534351145</v>
      </c>
      <c r="AC151">
        <f>MAX(1,ROUNDUP(Table1[[#This Row],[Avg_Daily_Consumption]]*Table1[[#This Row],[Lead_Time_Days]]*0.8,0))</f>
        <v>13</v>
      </c>
      <c r="AD151" t="str">
        <f>IF(Table1[[#This Row],[Closing_Stock]]&lt;Table1[[#This Row],[Reorder_Point]],"Stock-out Risk","Adequate")</f>
        <v>Adequate</v>
      </c>
      <c r="AE151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151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151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151" s="11">
        <f>MAX(0,Table1[[#This Row],[Closing_Stock]]-Table1[[#This Row],[Reorder_Point]])</f>
        <v>28.849315068493148</v>
      </c>
      <c r="AI151" s="11">
        <f>Table1[[#This Row],[Excess_Stock_Units]]*Table1[[#This Row],[Unit_Cost_INR]]</f>
        <v>72123.287671232873</v>
      </c>
      <c r="AJ151" s="11">
        <f>IF(Table1[[#This Row],[Criticality]]="Critical",0,Table1[[#This Row],[Excess_Inventory_Value_INR]])</f>
        <v>0</v>
      </c>
      <c r="AK151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152" spans="1:37" x14ac:dyDescent="0.25">
      <c r="A152" t="s">
        <v>30</v>
      </c>
      <c r="B152" t="s">
        <v>31</v>
      </c>
      <c r="C152" t="s">
        <v>32</v>
      </c>
      <c r="D152" t="s">
        <v>27</v>
      </c>
      <c r="E152" t="s">
        <v>22</v>
      </c>
      <c r="F152">
        <v>57</v>
      </c>
      <c r="G152">
        <v>44</v>
      </c>
      <c r="H152">
        <v>40</v>
      </c>
      <c r="I152">
        <v>61</v>
      </c>
      <c r="J152">
        <v>2360</v>
      </c>
      <c r="K152">
        <v>38</v>
      </c>
      <c r="L152">
        <v>0</v>
      </c>
      <c r="M152">
        <v>49</v>
      </c>
      <c r="N152" t="s">
        <v>33</v>
      </c>
      <c r="O152">
        <v>0.28499999999999998</v>
      </c>
      <c r="P152">
        <v>41028.6</v>
      </c>
      <c r="Q152">
        <f>(Table1[[#This Row],[Closing_Stock]]*Table1[[#This Row],[Unit_Cost_INR]])</f>
        <v>143960</v>
      </c>
      <c r="R152">
        <f>(Table1[[#This Row],[Unit_Cost_INR]]*Table1[[#This Row],[Consumption]])</f>
        <v>94400</v>
      </c>
      <c r="S152">
        <f>IFERROR(Table1[[#This Row],[Annual_Consumption_Value_INR]]/Table1[[#This Row],[Inventory_Value_INR]],0)</f>
        <v>0.65573770491803274</v>
      </c>
      <c r="T152">
        <f>IFERROR(365/Table1[[#This Row],[Inventory_Turnover]],0)</f>
        <v>556.625</v>
      </c>
      <c r="U152" t="str">
        <f>IF(Table1[[#This Row],[Consumption]]=0,"Non-Moving", IF(Table1[[#This Row],[Days_Since_Last_Movement]]&gt;90,"Slow-Moving","Active"))</f>
        <v>Active</v>
      </c>
      <c r="V152">
        <f>SUM($Q$2:Q152)</f>
        <v>58804400</v>
      </c>
      <c r="W152">
        <f>Table1[[#This Row],[Cumulative_Inventory_Value]]/$AP$3</f>
        <v>0.77685596886573116</v>
      </c>
      <c r="X152" t="str">
        <f>IF(Table1[[#This Row],[Cumulative_Value_%]]&lt;80%,"A", IF(Table1[[#This Row],[Cumulative_Value_%]]&lt;=95%,"B","C"))</f>
        <v>A</v>
      </c>
      <c r="Y152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152">
        <f>Table1[[#This Row],[Consumption]]/365</f>
        <v>0.1095890410958904</v>
      </c>
      <c r="AA152">
        <f>Table1[[#This Row],[Avg_Daily_Consumption]]*Table1[[#This Row],[Lead_Time_Days]]+Table1[[#This Row],[Safety_Stock]]</f>
        <v>8.1643835616438345</v>
      </c>
      <c r="AB152">
        <f>IFERROR(Table1[[#This Row],[Closing_Stock]]/Table1[[#This Row],[Avg_Daily_Consumption]],9999)</f>
        <v>556.625</v>
      </c>
      <c r="AC152">
        <f>MAX(1,ROUNDUP(Table1[[#This Row],[Avg_Daily_Consumption]]*Table1[[#This Row],[Lead_Time_Days]]*0.8,0))</f>
        <v>4</v>
      </c>
      <c r="AD152" t="str">
        <f>IF(Table1[[#This Row],[Closing_Stock]]&lt;Table1[[#This Row],[Reorder_Point]],"Stock-out Risk","Adequate")</f>
        <v>Adequate</v>
      </c>
      <c r="AE152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152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152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152" s="11">
        <f>MAX(0,Table1[[#This Row],[Closing_Stock]]-Table1[[#This Row],[Reorder_Point]])</f>
        <v>52.835616438356169</v>
      </c>
      <c r="AI152" s="11">
        <f>Table1[[#This Row],[Excess_Stock_Units]]*Table1[[#This Row],[Unit_Cost_INR]]</f>
        <v>124692.05479452056</v>
      </c>
      <c r="AJ152" s="11">
        <f>IF(Table1[[#This Row],[Criticality]]="Critical",0,Table1[[#This Row],[Excess_Inventory_Value_INR]])</f>
        <v>124692.05479452056</v>
      </c>
      <c r="AK152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153" spans="1:37" x14ac:dyDescent="0.25">
      <c r="A153" t="s">
        <v>309</v>
      </c>
      <c r="B153" t="s">
        <v>85</v>
      </c>
      <c r="C153" t="s">
        <v>41</v>
      </c>
      <c r="D153" t="s">
        <v>45</v>
      </c>
      <c r="E153" t="s">
        <v>46</v>
      </c>
      <c r="F153">
        <v>42</v>
      </c>
      <c r="G153">
        <v>46</v>
      </c>
      <c r="H153">
        <v>31</v>
      </c>
      <c r="I153">
        <v>57</v>
      </c>
      <c r="J153">
        <v>2500</v>
      </c>
      <c r="K153">
        <v>31</v>
      </c>
      <c r="L153">
        <v>0</v>
      </c>
      <c r="M153">
        <v>68</v>
      </c>
      <c r="N153" t="s">
        <v>23</v>
      </c>
      <c r="O153">
        <v>0.20899999999999999</v>
      </c>
      <c r="P153">
        <v>29782.5</v>
      </c>
      <c r="Q153">
        <f>(Table1[[#This Row],[Closing_Stock]]*Table1[[#This Row],[Unit_Cost_INR]])</f>
        <v>142500</v>
      </c>
      <c r="R153">
        <f>(Table1[[#This Row],[Unit_Cost_INR]]*Table1[[#This Row],[Consumption]])</f>
        <v>77500</v>
      </c>
      <c r="S153">
        <f>IFERROR(Table1[[#This Row],[Annual_Consumption_Value_INR]]/Table1[[#This Row],[Inventory_Value_INR]],0)</f>
        <v>0.54385964912280704</v>
      </c>
      <c r="T153">
        <f>IFERROR(365/Table1[[#This Row],[Inventory_Turnover]],0)</f>
        <v>671.12903225806451</v>
      </c>
      <c r="U153" t="str">
        <f>IF(Table1[[#This Row],[Consumption]]=0,"Non-Moving", IF(Table1[[#This Row],[Days_Since_Last_Movement]]&gt;90,"Slow-Moving","Active"))</f>
        <v>Active</v>
      </c>
      <c r="V153">
        <f>SUM($Q$2:Q153)</f>
        <v>58946900</v>
      </c>
      <c r="W153">
        <f>Table1[[#This Row],[Cumulative_Inventory_Value]]/$AP$3</f>
        <v>0.77873851465419874</v>
      </c>
      <c r="X153" t="str">
        <f>IF(Table1[[#This Row],[Cumulative_Value_%]]&lt;80%,"A", IF(Table1[[#This Row],[Cumulative_Value_%]]&lt;=95%,"B","C"))</f>
        <v>A</v>
      </c>
      <c r="Y153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153">
        <f>Table1[[#This Row],[Consumption]]/365</f>
        <v>8.4931506849315067E-2</v>
      </c>
      <c r="AA153">
        <f>Table1[[#This Row],[Avg_Daily_Consumption]]*Table1[[#This Row],[Lead_Time_Days]]+Table1[[#This Row],[Safety_Stock]]</f>
        <v>5.6328767123287671</v>
      </c>
      <c r="AB153">
        <f>IFERROR(Table1[[#This Row],[Closing_Stock]]/Table1[[#This Row],[Avg_Daily_Consumption]],9999)</f>
        <v>671.12903225806451</v>
      </c>
      <c r="AC153">
        <f>MAX(1,ROUNDUP(Table1[[#This Row],[Avg_Daily_Consumption]]*Table1[[#This Row],[Lead_Time_Days]]*0.8,0))</f>
        <v>3</v>
      </c>
      <c r="AD153" t="str">
        <f>IF(Table1[[#This Row],[Closing_Stock]]&lt;Table1[[#This Row],[Reorder_Point]],"Stock-out Risk","Adequate")</f>
        <v>Adequate</v>
      </c>
      <c r="AE153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153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153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153" s="11">
        <f>MAX(0,Table1[[#This Row],[Closing_Stock]]-Table1[[#This Row],[Reorder_Point]])</f>
        <v>51.367123287671234</v>
      </c>
      <c r="AI153" s="11">
        <f>Table1[[#This Row],[Excess_Stock_Units]]*Table1[[#This Row],[Unit_Cost_INR]]</f>
        <v>128417.80821917808</v>
      </c>
      <c r="AJ153" s="11">
        <f>IF(Table1[[#This Row],[Criticality]]="Critical",0,Table1[[#This Row],[Excess_Inventory_Value_INR]])</f>
        <v>128417.80821917808</v>
      </c>
      <c r="AK153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154" spans="1:37" x14ac:dyDescent="0.25">
      <c r="A154" t="s">
        <v>415</v>
      </c>
      <c r="B154" t="s">
        <v>44</v>
      </c>
      <c r="C154" t="s">
        <v>41</v>
      </c>
      <c r="D154" t="s">
        <v>60</v>
      </c>
      <c r="E154" t="s">
        <v>37</v>
      </c>
      <c r="F154">
        <v>11</v>
      </c>
      <c r="G154">
        <v>4</v>
      </c>
      <c r="H154">
        <v>5</v>
      </c>
      <c r="I154">
        <v>10</v>
      </c>
      <c r="J154">
        <v>14220</v>
      </c>
      <c r="K154">
        <v>10</v>
      </c>
      <c r="L154">
        <v>0</v>
      </c>
      <c r="M154">
        <v>27</v>
      </c>
      <c r="N154" t="s">
        <v>33</v>
      </c>
      <c r="O154">
        <v>0.26900000000000002</v>
      </c>
      <c r="P154">
        <v>38251.800000000003</v>
      </c>
      <c r="Q154">
        <f>(Table1[[#This Row],[Closing_Stock]]*Table1[[#This Row],[Unit_Cost_INR]])</f>
        <v>142200</v>
      </c>
      <c r="R154">
        <f>(Table1[[#This Row],[Unit_Cost_INR]]*Table1[[#This Row],[Consumption]])</f>
        <v>71100</v>
      </c>
      <c r="S154">
        <f>IFERROR(Table1[[#This Row],[Annual_Consumption_Value_INR]]/Table1[[#This Row],[Inventory_Value_INR]],0)</f>
        <v>0.5</v>
      </c>
      <c r="T154">
        <f>IFERROR(365/Table1[[#This Row],[Inventory_Turnover]],0)</f>
        <v>730</v>
      </c>
      <c r="U154" t="str">
        <f>IF(Table1[[#This Row],[Consumption]]=0,"Non-Moving", IF(Table1[[#This Row],[Days_Since_Last_Movement]]&gt;90,"Slow-Moving","Active"))</f>
        <v>Active</v>
      </c>
      <c r="V154">
        <f>SUM($Q$2:Q154)</f>
        <v>59089100</v>
      </c>
      <c r="W154">
        <f>Table1[[#This Row],[Cumulative_Inventory_Value]]/$AP$3</f>
        <v>0.78061709718837491</v>
      </c>
      <c r="X154" t="str">
        <f>IF(Table1[[#This Row],[Cumulative_Value_%]]&lt;80%,"A", IF(Table1[[#This Row],[Cumulative_Value_%]]&lt;=95%,"B","C"))</f>
        <v>A</v>
      </c>
      <c r="Y154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154">
        <f>Table1[[#This Row],[Consumption]]/365</f>
        <v>1.3698630136986301E-2</v>
      </c>
      <c r="AA154">
        <f>Table1[[#This Row],[Avg_Daily_Consumption]]*Table1[[#This Row],[Lead_Time_Days]]+Table1[[#This Row],[Safety_Stock]]</f>
        <v>1.1369863013698631</v>
      </c>
      <c r="AB154">
        <f>IFERROR(Table1[[#This Row],[Closing_Stock]]/Table1[[#This Row],[Avg_Daily_Consumption]],9999)</f>
        <v>730</v>
      </c>
      <c r="AC154">
        <f>MAX(1,ROUNDUP(Table1[[#This Row],[Avg_Daily_Consumption]]*Table1[[#This Row],[Lead_Time_Days]]*0.8,0))</f>
        <v>1</v>
      </c>
      <c r="AD154" t="str">
        <f>IF(Table1[[#This Row],[Closing_Stock]]&lt;Table1[[#This Row],[Reorder_Point]],"Stock-out Risk","Adequate")</f>
        <v>Adequate</v>
      </c>
      <c r="AE154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154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154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154" s="11">
        <f>MAX(0,Table1[[#This Row],[Closing_Stock]]-Table1[[#This Row],[Reorder_Point]])</f>
        <v>8.8630136986301373</v>
      </c>
      <c r="AI154" s="11">
        <f>Table1[[#This Row],[Excess_Stock_Units]]*Table1[[#This Row],[Unit_Cost_INR]]</f>
        <v>126032.05479452055</v>
      </c>
      <c r="AJ154" s="11">
        <f>IF(Table1[[#This Row],[Criticality]]="Critical",0,Table1[[#This Row],[Excess_Inventory_Value_INR]])</f>
        <v>0</v>
      </c>
      <c r="AK154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155" spans="1:37" x14ac:dyDescent="0.25">
      <c r="A155" t="s">
        <v>18</v>
      </c>
      <c r="B155" t="s">
        <v>19</v>
      </c>
      <c r="C155" t="s">
        <v>20</v>
      </c>
      <c r="D155" t="s">
        <v>21</v>
      </c>
      <c r="E155" t="s">
        <v>22</v>
      </c>
      <c r="F155">
        <v>25</v>
      </c>
      <c r="G155">
        <v>36</v>
      </c>
      <c r="H155">
        <v>30</v>
      </c>
      <c r="I155">
        <v>31</v>
      </c>
      <c r="J155">
        <v>4530</v>
      </c>
      <c r="K155">
        <v>21</v>
      </c>
      <c r="L155">
        <v>1</v>
      </c>
      <c r="M155">
        <v>167</v>
      </c>
      <c r="N155" t="s">
        <v>23</v>
      </c>
      <c r="O155">
        <v>0.216</v>
      </c>
      <c r="P155">
        <v>30332.880000000001</v>
      </c>
      <c r="Q155">
        <f>(Table1[[#This Row],[Closing_Stock]]*Table1[[#This Row],[Unit_Cost_INR]])</f>
        <v>140430</v>
      </c>
      <c r="R155">
        <f>(Table1[[#This Row],[Unit_Cost_INR]]*Table1[[#This Row],[Consumption]])</f>
        <v>135900</v>
      </c>
      <c r="S155">
        <f>IFERROR(Table1[[#This Row],[Annual_Consumption_Value_INR]]/Table1[[#This Row],[Inventory_Value_INR]],0)</f>
        <v>0.967741935483871</v>
      </c>
      <c r="T155">
        <f>IFERROR(365/Table1[[#This Row],[Inventory_Turnover]],0)</f>
        <v>377.16666666666663</v>
      </c>
      <c r="U155" t="str">
        <f>IF(Table1[[#This Row],[Consumption]]=0,"Non-Moving", IF(Table1[[#This Row],[Days_Since_Last_Movement]]&gt;90,"Slow-Moving","Active"))</f>
        <v>Slow-Moving</v>
      </c>
      <c r="V155">
        <f>SUM($Q$2:Q155)</f>
        <v>59229530</v>
      </c>
      <c r="W155">
        <f>Table1[[#This Row],[Cumulative_Inventory_Value]]/$AP$3</f>
        <v>0.78247229652223116</v>
      </c>
      <c r="X155" t="str">
        <f>IF(Table1[[#This Row],[Cumulative_Value_%]]&lt;80%,"A", IF(Table1[[#This Row],[Cumulative_Value_%]]&lt;=95%,"B","C"))</f>
        <v>A</v>
      </c>
      <c r="Y155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High Review</v>
      </c>
      <c r="Z155">
        <f>Table1[[#This Row],[Consumption]]/365</f>
        <v>8.2191780821917804E-2</v>
      </c>
      <c r="AA155">
        <f>Table1[[#This Row],[Avg_Daily_Consumption]]*Table1[[#This Row],[Lead_Time_Days]]+Table1[[#This Row],[Safety_Stock]]</f>
        <v>3.7260273972602738</v>
      </c>
      <c r="AB155">
        <f>IFERROR(Table1[[#This Row],[Closing_Stock]]/Table1[[#This Row],[Avg_Daily_Consumption]],9999)</f>
        <v>377.16666666666669</v>
      </c>
      <c r="AC155">
        <f>MAX(1,ROUNDUP(Table1[[#This Row],[Avg_Daily_Consumption]]*Table1[[#This Row],[Lead_Time_Days]]*0.8,0))</f>
        <v>2</v>
      </c>
      <c r="AD155" t="str">
        <f>IF(Table1[[#This Row],[Closing_Stock]]&lt;Table1[[#This Row],[Reorder_Point]],"Stock-out Risk","Adequate")</f>
        <v>Adequate</v>
      </c>
      <c r="AE155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155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 Safety Stock</v>
      </c>
      <c r="AG155">
        <f>IF(Table1[[#This Row],[Action_Recommendation]]="Review for Disposal/De-procurement",Table1[[#This Row],[Inventory_Value_INR]]*70%,IF(Table1[[#This Row],[Action_Recommendation]]="Review Safety Stock",Table1[[#This Row],[Inventory_Value_INR]]*20%,0))</f>
        <v>28086</v>
      </c>
      <c r="AH155" s="11">
        <f>MAX(0,Table1[[#This Row],[Closing_Stock]]-Table1[[#This Row],[Reorder_Point]])</f>
        <v>27.273972602739725</v>
      </c>
      <c r="AI155" s="11">
        <f>Table1[[#This Row],[Excess_Stock_Units]]*Table1[[#This Row],[Unit_Cost_INR]]</f>
        <v>123551.09589041096</v>
      </c>
      <c r="AJ155" s="11">
        <f>IF(Table1[[#This Row],[Criticality]]="Critical",0,Table1[[#This Row],[Excess_Inventory_Value_INR]])</f>
        <v>123551.09589041096</v>
      </c>
      <c r="AK155" s="11">
        <f>IF(AND(Table1[[#This Row],[Criticality]]&lt;&gt;"Critical",OR(Table1[[#This Row],[Movement_Class]]="Slow-Moving",Table1[[#This Row],[Movement_Class]]="Non-Moving")),Table1[[#This Row],[Excess_Inventory_Value_INR]],0)</f>
        <v>123551.09589041096</v>
      </c>
    </row>
    <row r="156" spans="1:37" x14ac:dyDescent="0.25">
      <c r="A156" t="s">
        <v>502</v>
      </c>
      <c r="B156" t="s">
        <v>73</v>
      </c>
      <c r="C156" t="s">
        <v>41</v>
      </c>
      <c r="D156" t="s">
        <v>45</v>
      </c>
      <c r="E156" t="s">
        <v>46</v>
      </c>
      <c r="F156">
        <v>16</v>
      </c>
      <c r="G156">
        <v>26</v>
      </c>
      <c r="H156">
        <v>16</v>
      </c>
      <c r="I156">
        <v>26</v>
      </c>
      <c r="J156">
        <v>5360</v>
      </c>
      <c r="K156">
        <v>41</v>
      </c>
      <c r="L156">
        <v>0</v>
      </c>
      <c r="M156">
        <v>114</v>
      </c>
      <c r="N156" t="s">
        <v>23</v>
      </c>
      <c r="O156">
        <v>0.216</v>
      </c>
      <c r="P156">
        <v>30101.759999999998</v>
      </c>
      <c r="Q156">
        <f>(Table1[[#This Row],[Closing_Stock]]*Table1[[#This Row],[Unit_Cost_INR]])</f>
        <v>139360</v>
      </c>
      <c r="R156">
        <f>(Table1[[#This Row],[Unit_Cost_INR]]*Table1[[#This Row],[Consumption]])</f>
        <v>85760</v>
      </c>
      <c r="S156">
        <f>IFERROR(Table1[[#This Row],[Annual_Consumption_Value_INR]]/Table1[[#This Row],[Inventory_Value_INR]],0)</f>
        <v>0.61538461538461542</v>
      </c>
      <c r="T156">
        <f>IFERROR(365/Table1[[#This Row],[Inventory_Turnover]],0)</f>
        <v>593.125</v>
      </c>
      <c r="U156" t="str">
        <f>IF(Table1[[#This Row],[Consumption]]=0,"Non-Moving", IF(Table1[[#This Row],[Days_Since_Last_Movement]]&gt;90,"Slow-Moving","Active"))</f>
        <v>Slow-Moving</v>
      </c>
      <c r="V156">
        <f>SUM($Q$2:Q156)</f>
        <v>59368890</v>
      </c>
      <c r="W156">
        <f>Table1[[#This Row],[Cumulative_Inventory_Value]]/$AP$3</f>
        <v>0.78431336024911436</v>
      </c>
      <c r="X156" t="str">
        <f>IF(Table1[[#This Row],[Cumulative_Value_%]]&lt;80%,"A", IF(Table1[[#This Row],[Cumulative_Value_%]]&lt;=95%,"B","C"))</f>
        <v>A</v>
      </c>
      <c r="Y156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High Review</v>
      </c>
      <c r="Z156">
        <f>Table1[[#This Row],[Consumption]]/365</f>
        <v>4.3835616438356165E-2</v>
      </c>
      <c r="AA156">
        <f>Table1[[#This Row],[Avg_Daily_Consumption]]*Table1[[#This Row],[Lead_Time_Days]]+Table1[[#This Row],[Safety_Stock]]</f>
        <v>3.7972602739726025</v>
      </c>
      <c r="AB156">
        <f>IFERROR(Table1[[#This Row],[Closing_Stock]]/Table1[[#This Row],[Avg_Daily_Consumption]],9999)</f>
        <v>593.125</v>
      </c>
      <c r="AC156">
        <f>MAX(1,ROUNDUP(Table1[[#This Row],[Avg_Daily_Consumption]]*Table1[[#This Row],[Lead_Time_Days]]*0.8,0))</f>
        <v>2</v>
      </c>
      <c r="AD156" t="str">
        <f>IF(Table1[[#This Row],[Closing_Stock]]&lt;Table1[[#This Row],[Reorder_Point]],"Stock-out Risk","Adequate")</f>
        <v>Adequate</v>
      </c>
      <c r="AE156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156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 Safety Stock</v>
      </c>
      <c r="AG156">
        <f>IF(Table1[[#This Row],[Action_Recommendation]]="Review for Disposal/De-procurement",Table1[[#This Row],[Inventory_Value_INR]]*70%,IF(Table1[[#This Row],[Action_Recommendation]]="Review Safety Stock",Table1[[#This Row],[Inventory_Value_INR]]*20%,0))</f>
        <v>27872</v>
      </c>
      <c r="AH156" s="11">
        <f>MAX(0,Table1[[#This Row],[Closing_Stock]]-Table1[[#This Row],[Reorder_Point]])</f>
        <v>22.202739726027396</v>
      </c>
      <c r="AI156" s="11">
        <f>Table1[[#This Row],[Excess_Stock_Units]]*Table1[[#This Row],[Unit_Cost_INR]]</f>
        <v>119006.68493150684</v>
      </c>
      <c r="AJ156" s="11">
        <f>IF(Table1[[#This Row],[Criticality]]="Critical",0,Table1[[#This Row],[Excess_Inventory_Value_INR]])</f>
        <v>119006.68493150684</v>
      </c>
      <c r="AK156" s="11">
        <f>IF(AND(Table1[[#This Row],[Criticality]]&lt;&gt;"Critical",OR(Table1[[#This Row],[Movement_Class]]="Slow-Moving",Table1[[#This Row],[Movement_Class]]="Non-Moving")),Table1[[#This Row],[Excess_Inventory_Value_INR]],0)</f>
        <v>119006.68493150684</v>
      </c>
    </row>
    <row r="157" spans="1:37" x14ac:dyDescent="0.25">
      <c r="A157" t="s">
        <v>101</v>
      </c>
      <c r="B157" t="s">
        <v>31</v>
      </c>
      <c r="C157" t="s">
        <v>32</v>
      </c>
      <c r="D157" t="s">
        <v>42</v>
      </c>
      <c r="E157" t="s">
        <v>22</v>
      </c>
      <c r="F157">
        <v>39</v>
      </c>
      <c r="G157">
        <v>86</v>
      </c>
      <c r="H157">
        <v>59</v>
      </c>
      <c r="I157">
        <v>66</v>
      </c>
      <c r="J157">
        <v>2100</v>
      </c>
      <c r="K157">
        <v>18</v>
      </c>
      <c r="L157">
        <v>0</v>
      </c>
      <c r="M157">
        <v>3</v>
      </c>
      <c r="N157" t="s">
        <v>33</v>
      </c>
      <c r="O157">
        <v>0.152</v>
      </c>
      <c r="P157">
        <v>21067.200000000001</v>
      </c>
      <c r="Q157">
        <f>(Table1[[#This Row],[Closing_Stock]]*Table1[[#This Row],[Unit_Cost_INR]])</f>
        <v>138600</v>
      </c>
      <c r="R157">
        <f>(Table1[[#This Row],[Unit_Cost_INR]]*Table1[[#This Row],[Consumption]])</f>
        <v>123900</v>
      </c>
      <c r="S157">
        <f>IFERROR(Table1[[#This Row],[Annual_Consumption_Value_INR]]/Table1[[#This Row],[Inventory_Value_INR]],0)</f>
        <v>0.89393939393939392</v>
      </c>
      <c r="T157">
        <f>IFERROR(365/Table1[[#This Row],[Inventory_Turnover]],0)</f>
        <v>408.30508474576271</v>
      </c>
      <c r="U157" t="str">
        <f>IF(Table1[[#This Row],[Consumption]]=0,"Non-Moving", IF(Table1[[#This Row],[Days_Since_Last_Movement]]&gt;90,"Slow-Moving","Active"))</f>
        <v>Active</v>
      </c>
      <c r="V157">
        <f>SUM($Q$2:Q157)</f>
        <v>59507490</v>
      </c>
      <c r="W157">
        <f>Table1[[#This Row],[Cumulative_Inventory_Value]]/$AP$3</f>
        <v>0.7861443837317923</v>
      </c>
      <c r="X157" t="str">
        <f>IF(Table1[[#This Row],[Cumulative_Value_%]]&lt;80%,"A", IF(Table1[[#This Row],[Cumulative_Value_%]]&lt;=95%,"B","C"))</f>
        <v>A</v>
      </c>
      <c r="Y157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157">
        <f>Table1[[#This Row],[Consumption]]/365</f>
        <v>0.16164383561643836</v>
      </c>
      <c r="AA157">
        <f>Table1[[#This Row],[Avg_Daily_Consumption]]*Table1[[#This Row],[Lead_Time_Days]]+Table1[[#This Row],[Safety_Stock]]</f>
        <v>5.9095890410958907</v>
      </c>
      <c r="AB157">
        <f>IFERROR(Table1[[#This Row],[Closing_Stock]]/Table1[[#This Row],[Avg_Daily_Consumption]],9999)</f>
        <v>408.30508474576271</v>
      </c>
      <c r="AC157">
        <f>MAX(1,ROUNDUP(Table1[[#This Row],[Avg_Daily_Consumption]]*Table1[[#This Row],[Lead_Time_Days]]*0.8,0))</f>
        <v>3</v>
      </c>
      <c r="AD157" t="str">
        <f>IF(Table1[[#This Row],[Closing_Stock]]&lt;Table1[[#This Row],[Reorder_Point]],"Stock-out Risk","Adequate")</f>
        <v>Adequate</v>
      </c>
      <c r="AE157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157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157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157" s="11">
        <f>MAX(0,Table1[[#This Row],[Closing_Stock]]-Table1[[#This Row],[Reorder_Point]])</f>
        <v>60.090410958904108</v>
      </c>
      <c r="AI157" s="11">
        <f>Table1[[#This Row],[Excess_Stock_Units]]*Table1[[#This Row],[Unit_Cost_INR]]</f>
        <v>126189.86301369863</v>
      </c>
      <c r="AJ157" s="11">
        <f>IF(Table1[[#This Row],[Criticality]]="Critical",0,Table1[[#This Row],[Excess_Inventory_Value_INR]])</f>
        <v>126189.86301369863</v>
      </c>
      <c r="AK157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158" spans="1:37" x14ac:dyDescent="0.25">
      <c r="A158" t="s">
        <v>407</v>
      </c>
      <c r="B158" t="s">
        <v>104</v>
      </c>
      <c r="C158" t="s">
        <v>41</v>
      </c>
      <c r="D158" t="s">
        <v>45</v>
      </c>
      <c r="E158" t="s">
        <v>28</v>
      </c>
      <c r="F158">
        <v>45</v>
      </c>
      <c r="G158">
        <v>29</v>
      </c>
      <c r="H158">
        <v>27</v>
      </c>
      <c r="I158">
        <v>47</v>
      </c>
      <c r="J158">
        <v>2940</v>
      </c>
      <c r="K158">
        <v>30</v>
      </c>
      <c r="L158">
        <v>0</v>
      </c>
      <c r="M158">
        <v>93</v>
      </c>
      <c r="N158" t="s">
        <v>33</v>
      </c>
      <c r="O158">
        <v>0.22700000000000001</v>
      </c>
      <c r="P158">
        <v>31366.86</v>
      </c>
      <c r="Q158">
        <f>(Table1[[#This Row],[Closing_Stock]]*Table1[[#This Row],[Unit_Cost_INR]])</f>
        <v>138180</v>
      </c>
      <c r="R158">
        <f>(Table1[[#This Row],[Unit_Cost_INR]]*Table1[[#This Row],[Consumption]])</f>
        <v>79380</v>
      </c>
      <c r="S158">
        <f>IFERROR(Table1[[#This Row],[Annual_Consumption_Value_INR]]/Table1[[#This Row],[Inventory_Value_INR]],0)</f>
        <v>0.57446808510638303</v>
      </c>
      <c r="T158">
        <f>IFERROR(365/Table1[[#This Row],[Inventory_Turnover]],0)</f>
        <v>635.37037037037032</v>
      </c>
      <c r="U158" t="str">
        <f>IF(Table1[[#This Row],[Consumption]]=0,"Non-Moving", IF(Table1[[#This Row],[Days_Since_Last_Movement]]&gt;90,"Slow-Moving","Active"))</f>
        <v>Slow-Moving</v>
      </c>
      <c r="V158">
        <f>SUM($Q$2:Q158)</f>
        <v>59645670</v>
      </c>
      <c r="W158">
        <f>Table1[[#This Row],[Cumulative_Inventory_Value]]/$AP$3</f>
        <v>0.78796985865846225</v>
      </c>
      <c r="X158" t="str">
        <f>IF(Table1[[#This Row],[Cumulative_Value_%]]&lt;80%,"A", IF(Table1[[#This Row],[Cumulative_Value_%]]&lt;=95%,"B","C"))</f>
        <v>A</v>
      </c>
      <c r="Y158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High Review</v>
      </c>
      <c r="Z158">
        <f>Table1[[#This Row],[Consumption]]/365</f>
        <v>7.3972602739726029E-2</v>
      </c>
      <c r="AA158">
        <f>Table1[[#This Row],[Avg_Daily_Consumption]]*Table1[[#This Row],[Lead_Time_Days]]+Table1[[#This Row],[Safety_Stock]]</f>
        <v>4.2191780821917808</v>
      </c>
      <c r="AB158">
        <f>IFERROR(Table1[[#This Row],[Closing_Stock]]/Table1[[#This Row],[Avg_Daily_Consumption]],9999)</f>
        <v>635.37037037037032</v>
      </c>
      <c r="AC158">
        <f>MAX(1,ROUNDUP(Table1[[#This Row],[Avg_Daily_Consumption]]*Table1[[#This Row],[Lead_Time_Days]]*0.8,0))</f>
        <v>2</v>
      </c>
      <c r="AD158" t="str">
        <f>IF(Table1[[#This Row],[Closing_Stock]]&lt;Table1[[#This Row],[Reorder_Point]],"Stock-out Risk","Adequate")</f>
        <v>Adequate</v>
      </c>
      <c r="AE158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158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 Safety Stock</v>
      </c>
      <c r="AG158">
        <f>IF(Table1[[#This Row],[Action_Recommendation]]="Review for Disposal/De-procurement",Table1[[#This Row],[Inventory_Value_INR]]*70%,IF(Table1[[#This Row],[Action_Recommendation]]="Review Safety Stock",Table1[[#This Row],[Inventory_Value_INR]]*20%,0))</f>
        <v>27636</v>
      </c>
      <c r="AH158" s="11">
        <f>MAX(0,Table1[[#This Row],[Closing_Stock]]-Table1[[#This Row],[Reorder_Point]])</f>
        <v>42.780821917808218</v>
      </c>
      <c r="AI158" s="11">
        <f>Table1[[#This Row],[Excess_Stock_Units]]*Table1[[#This Row],[Unit_Cost_INR]]</f>
        <v>125775.61643835616</v>
      </c>
      <c r="AJ158" s="11">
        <f>IF(Table1[[#This Row],[Criticality]]="Critical",0,Table1[[#This Row],[Excess_Inventory_Value_INR]])</f>
        <v>125775.61643835616</v>
      </c>
      <c r="AK158" s="11">
        <f>IF(AND(Table1[[#This Row],[Criticality]]&lt;&gt;"Critical",OR(Table1[[#This Row],[Movement_Class]]="Slow-Moving",Table1[[#This Row],[Movement_Class]]="Non-Moving")),Table1[[#This Row],[Excess_Inventory_Value_INR]],0)</f>
        <v>125775.61643835616</v>
      </c>
    </row>
    <row r="159" spans="1:37" x14ac:dyDescent="0.25">
      <c r="A159" t="s">
        <v>135</v>
      </c>
      <c r="B159" t="s">
        <v>40</v>
      </c>
      <c r="C159" t="s">
        <v>41</v>
      </c>
      <c r="D159" t="s">
        <v>45</v>
      </c>
      <c r="E159" t="s">
        <v>46</v>
      </c>
      <c r="F159">
        <v>22</v>
      </c>
      <c r="G159">
        <v>10</v>
      </c>
      <c r="H159">
        <v>9</v>
      </c>
      <c r="I159">
        <v>23</v>
      </c>
      <c r="J159">
        <v>5980</v>
      </c>
      <c r="K159">
        <v>41</v>
      </c>
      <c r="L159">
        <v>0</v>
      </c>
      <c r="M159">
        <v>20</v>
      </c>
      <c r="N159" t="s">
        <v>29</v>
      </c>
      <c r="O159">
        <v>0.25900000000000001</v>
      </c>
      <c r="P159">
        <v>35622.86</v>
      </c>
      <c r="Q159">
        <f>(Table1[[#This Row],[Closing_Stock]]*Table1[[#This Row],[Unit_Cost_INR]])</f>
        <v>137540</v>
      </c>
      <c r="R159">
        <f>(Table1[[#This Row],[Unit_Cost_INR]]*Table1[[#This Row],[Consumption]])</f>
        <v>53820</v>
      </c>
      <c r="S159">
        <f>IFERROR(Table1[[#This Row],[Annual_Consumption_Value_INR]]/Table1[[#This Row],[Inventory_Value_INR]],0)</f>
        <v>0.39130434782608697</v>
      </c>
      <c r="T159">
        <f>IFERROR(365/Table1[[#This Row],[Inventory_Turnover]],0)</f>
        <v>932.77777777777771</v>
      </c>
      <c r="U159" t="str">
        <f>IF(Table1[[#This Row],[Consumption]]=0,"Non-Moving", IF(Table1[[#This Row],[Days_Since_Last_Movement]]&gt;90,"Slow-Moving","Active"))</f>
        <v>Active</v>
      </c>
      <c r="V159">
        <f>SUM($Q$2:Q159)</f>
        <v>59783210</v>
      </c>
      <c r="W159">
        <f>Table1[[#This Row],[Cumulative_Inventory_Value]]/$AP$3</f>
        <v>0.78978687864264352</v>
      </c>
      <c r="X159" t="str">
        <f>IF(Table1[[#This Row],[Cumulative_Value_%]]&lt;80%,"A", IF(Table1[[#This Row],[Cumulative_Value_%]]&lt;=95%,"B","C"))</f>
        <v>A</v>
      </c>
      <c r="Y159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159">
        <f>Table1[[#This Row],[Consumption]]/365</f>
        <v>2.4657534246575342E-2</v>
      </c>
      <c r="AA159">
        <f>Table1[[#This Row],[Avg_Daily_Consumption]]*Table1[[#This Row],[Lead_Time_Days]]+Table1[[#This Row],[Safety_Stock]]</f>
        <v>2.010958904109589</v>
      </c>
      <c r="AB159">
        <f>IFERROR(Table1[[#This Row],[Closing_Stock]]/Table1[[#This Row],[Avg_Daily_Consumption]],9999)</f>
        <v>932.77777777777783</v>
      </c>
      <c r="AC159">
        <f>MAX(1,ROUNDUP(Table1[[#This Row],[Avg_Daily_Consumption]]*Table1[[#This Row],[Lead_Time_Days]]*0.8,0))</f>
        <v>1</v>
      </c>
      <c r="AD159" t="str">
        <f>IF(Table1[[#This Row],[Closing_Stock]]&lt;Table1[[#This Row],[Reorder_Point]],"Stock-out Risk","Adequate")</f>
        <v>Adequate</v>
      </c>
      <c r="AE159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159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159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159" s="11">
        <f>MAX(0,Table1[[#This Row],[Closing_Stock]]-Table1[[#This Row],[Reorder_Point]])</f>
        <v>20.989041095890411</v>
      </c>
      <c r="AI159" s="11">
        <f>Table1[[#This Row],[Excess_Stock_Units]]*Table1[[#This Row],[Unit_Cost_INR]]</f>
        <v>125514.46575342465</v>
      </c>
      <c r="AJ159" s="11">
        <f>IF(Table1[[#This Row],[Criticality]]="Critical",0,Table1[[#This Row],[Excess_Inventory_Value_INR]])</f>
        <v>125514.46575342465</v>
      </c>
      <c r="AK159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160" spans="1:37" x14ac:dyDescent="0.25">
      <c r="A160" t="s">
        <v>110</v>
      </c>
      <c r="B160" t="s">
        <v>71</v>
      </c>
      <c r="C160" t="s">
        <v>20</v>
      </c>
      <c r="D160" t="s">
        <v>45</v>
      </c>
      <c r="E160" t="s">
        <v>28</v>
      </c>
      <c r="F160">
        <v>28</v>
      </c>
      <c r="G160">
        <v>32</v>
      </c>
      <c r="H160">
        <v>34</v>
      </c>
      <c r="I160">
        <v>49</v>
      </c>
      <c r="J160">
        <v>2800</v>
      </c>
      <c r="K160">
        <v>18</v>
      </c>
      <c r="L160">
        <v>1</v>
      </c>
      <c r="M160">
        <v>4</v>
      </c>
      <c r="N160" t="s">
        <v>23</v>
      </c>
      <c r="O160">
        <v>0.20200000000000001</v>
      </c>
      <c r="P160">
        <v>27714.400000000001</v>
      </c>
      <c r="Q160">
        <f>(Table1[[#This Row],[Closing_Stock]]*Table1[[#This Row],[Unit_Cost_INR]])</f>
        <v>137200</v>
      </c>
      <c r="R160">
        <f>(Table1[[#This Row],[Unit_Cost_INR]]*Table1[[#This Row],[Consumption]])</f>
        <v>95200</v>
      </c>
      <c r="S160">
        <f>IFERROR(Table1[[#This Row],[Annual_Consumption_Value_INR]]/Table1[[#This Row],[Inventory_Value_INR]],0)</f>
        <v>0.69387755102040816</v>
      </c>
      <c r="T160">
        <f>IFERROR(365/Table1[[#This Row],[Inventory_Turnover]],0)</f>
        <v>526.02941176470586</v>
      </c>
      <c r="U160" t="str">
        <f>IF(Table1[[#This Row],[Consumption]]=0,"Non-Moving", IF(Table1[[#This Row],[Days_Since_Last_Movement]]&gt;90,"Slow-Moving","Active"))</f>
        <v>Active</v>
      </c>
      <c r="V160">
        <f>SUM($Q$2:Q160)</f>
        <v>59920410</v>
      </c>
      <c r="W160">
        <f>Table1[[#This Row],[Cumulative_Inventory_Value]]/$AP$3</f>
        <v>0.79159940693862785</v>
      </c>
      <c r="X160" t="str">
        <f>IF(Table1[[#This Row],[Cumulative_Value_%]]&lt;80%,"A", IF(Table1[[#This Row],[Cumulative_Value_%]]&lt;=95%,"B","C"))</f>
        <v>A</v>
      </c>
      <c r="Y160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160">
        <f>Table1[[#This Row],[Consumption]]/365</f>
        <v>9.3150684931506855E-2</v>
      </c>
      <c r="AA160">
        <f>Table1[[#This Row],[Avg_Daily_Consumption]]*Table1[[#This Row],[Lead_Time_Days]]+Table1[[#This Row],[Safety_Stock]]</f>
        <v>3.6767123287671235</v>
      </c>
      <c r="AB160">
        <f>IFERROR(Table1[[#This Row],[Closing_Stock]]/Table1[[#This Row],[Avg_Daily_Consumption]],9999)</f>
        <v>526.02941176470586</v>
      </c>
      <c r="AC160">
        <f>MAX(1,ROUNDUP(Table1[[#This Row],[Avg_Daily_Consumption]]*Table1[[#This Row],[Lead_Time_Days]]*0.8,0))</f>
        <v>2</v>
      </c>
      <c r="AD160" t="str">
        <f>IF(Table1[[#This Row],[Closing_Stock]]&lt;Table1[[#This Row],[Reorder_Point]],"Stock-out Risk","Adequate")</f>
        <v>Adequate</v>
      </c>
      <c r="AE160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160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160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160" s="11">
        <f>MAX(0,Table1[[#This Row],[Closing_Stock]]-Table1[[#This Row],[Reorder_Point]])</f>
        <v>45.323287671232876</v>
      </c>
      <c r="AI160" s="11">
        <f>Table1[[#This Row],[Excess_Stock_Units]]*Table1[[#This Row],[Unit_Cost_INR]]</f>
        <v>126905.20547945205</v>
      </c>
      <c r="AJ160" s="11">
        <f>IF(Table1[[#This Row],[Criticality]]="Critical",0,Table1[[#This Row],[Excess_Inventory_Value_INR]])</f>
        <v>126905.20547945205</v>
      </c>
      <c r="AK160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161" spans="1:37" x14ac:dyDescent="0.25">
      <c r="A161" t="s">
        <v>429</v>
      </c>
      <c r="B161" t="s">
        <v>48</v>
      </c>
      <c r="C161" t="s">
        <v>41</v>
      </c>
      <c r="D161" t="s">
        <v>42</v>
      </c>
      <c r="E161" t="s">
        <v>22</v>
      </c>
      <c r="F161">
        <v>52</v>
      </c>
      <c r="G161">
        <v>41</v>
      </c>
      <c r="H161">
        <v>31</v>
      </c>
      <c r="I161">
        <v>62</v>
      </c>
      <c r="J161">
        <v>2200</v>
      </c>
      <c r="K161">
        <v>25</v>
      </c>
      <c r="L161">
        <v>0</v>
      </c>
      <c r="M161">
        <v>36</v>
      </c>
      <c r="N161" t="s">
        <v>29</v>
      </c>
      <c r="O161">
        <v>0.28899999999999998</v>
      </c>
      <c r="P161">
        <v>39419.599999999999</v>
      </c>
      <c r="Q161">
        <f>(Table1[[#This Row],[Closing_Stock]]*Table1[[#This Row],[Unit_Cost_INR]])</f>
        <v>136400</v>
      </c>
      <c r="R161">
        <f>(Table1[[#This Row],[Unit_Cost_INR]]*Table1[[#This Row],[Consumption]])</f>
        <v>68200</v>
      </c>
      <c r="S161">
        <f>IFERROR(Table1[[#This Row],[Annual_Consumption_Value_INR]]/Table1[[#This Row],[Inventory_Value_INR]],0)</f>
        <v>0.5</v>
      </c>
      <c r="T161">
        <f>IFERROR(365/Table1[[#This Row],[Inventory_Turnover]],0)</f>
        <v>730</v>
      </c>
      <c r="U161" t="str">
        <f>IF(Table1[[#This Row],[Consumption]]=0,"Non-Moving", IF(Table1[[#This Row],[Days_Since_Last_Movement]]&gt;90,"Slow-Moving","Active"))</f>
        <v>Active</v>
      </c>
      <c r="V161">
        <f>SUM($Q$2:Q161)</f>
        <v>60056810</v>
      </c>
      <c r="W161">
        <f>Table1[[#This Row],[Cumulative_Inventory_Value]]/$AP$3</f>
        <v>0.7934013665565014</v>
      </c>
      <c r="X161" t="str">
        <f>IF(Table1[[#This Row],[Cumulative_Value_%]]&lt;80%,"A", IF(Table1[[#This Row],[Cumulative_Value_%]]&lt;=95%,"B","C"))</f>
        <v>A</v>
      </c>
      <c r="Y161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161">
        <f>Table1[[#This Row],[Consumption]]/365</f>
        <v>8.4931506849315067E-2</v>
      </c>
      <c r="AA161">
        <f>Table1[[#This Row],[Avg_Daily_Consumption]]*Table1[[#This Row],[Lead_Time_Days]]+Table1[[#This Row],[Safety_Stock]]</f>
        <v>4.1232876712328768</v>
      </c>
      <c r="AB161">
        <f>IFERROR(Table1[[#This Row],[Closing_Stock]]/Table1[[#This Row],[Avg_Daily_Consumption]],9999)</f>
        <v>730</v>
      </c>
      <c r="AC161">
        <f>MAX(1,ROUNDUP(Table1[[#This Row],[Avg_Daily_Consumption]]*Table1[[#This Row],[Lead_Time_Days]]*0.8,0))</f>
        <v>2</v>
      </c>
      <c r="AD161" t="str">
        <f>IF(Table1[[#This Row],[Closing_Stock]]&lt;Table1[[#This Row],[Reorder_Point]],"Stock-out Risk","Adequate")</f>
        <v>Adequate</v>
      </c>
      <c r="AE161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161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161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161" s="11">
        <f>MAX(0,Table1[[#This Row],[Closing_Stock]]-Table1[[#This Row],[Reorder_Point]])</f>
        <v>57.876712328767127</v>
      </c>
      <c r="AI161" s="11">
        <f>Table1[[#This Row],[Excess_Stock_Units]]*Table1[[#This Row],[Unit_Cost_INR]]</f>
        <v>127328.76712328767</v>
      </c>
      <c r="AJ161" s="11">
        <f>IF(Table1[[#This Row],[Criticality]]="Critical",0,Table1[[#This Row],[Excess_Inventory_Value_INR]])</f>
        <v>127328.76712328767</v>
      </c>
      <c r="AK161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162" spans="1:37" x14ac:dyDescent="0.25">
      <c r="A162" t="s">
        <v>451</v>
      </c>
      <c r="B162" t="s">
        <v>51</v>
      </c>
      <c r="C162" t="s">
        <v>52</v>
      </c>
      <c r="D162" t="s">
        <v>66</v>
      </c>
      <c r="E162" t="s">
        <v>46</v>
      </c>
      <c r="F162">
        <v>13</v>
      </c>
      <c r="G162">
        <v>7</v>
      </c>
      <c r="H162">
        <v>5</v>
      </c>
      <c r="I162">
        <v>15</v>
      </c>
      <c r="J162">
        <v>9090</v>
      </c>
      <c r="K162">
        <v>15</v>
      </c>
      <c r="L162">
        <v>0</v>
      </c>
      <c r="M162">
        <v>114</v>
      </c>
      <c r="N162" t="s">
        <v>23</v>
      </c>
      <c r="O162">
        <v>0.23400000000000001</v>
      </c>
      <c r="P162">
        <v>31905.9</v>
      </c>
      <c r="Q162">
        <f>(Table1[[#This Row],[Closing_Stock]]*Table1[[#This Row],[Unit_Cost_INR]])</f>
        <v>136350</v>
      </c>
      <c r="R162">
        <f>(Table1[[#This Row],[Unit_Cost_INR]]*Table1[[#This Row],[Consumption]])</f>
        <v>45450</v>
      </c>
      <c r="S162">
        <f>IFERROR(Table1[[#This Row],[Annual_Consumption_Value_INR]]/Table1[[#This Row],[Inventory_Value_INR]],0)</f>
        <v>0.33333333333333331</v>
      </c>
      <c r="T162">
        <f>IFERROR(365/Table1[[#This Row],[Inventory_Turnover]],0)</f>
        <v>1095</v>
      </c>
      <c r="U162" t="str">
        <f>IF(Table1[[#This Row],[Consumption]]=0,"Non-Moving", IF(Table1[[#This Row],[Days_Since_Last_Movement]]&gt;90,"Slow-Moving","Active"))</f>
        <v>Slow-Moving</v>
      </c>
      <c r="V162">
        <f>SUM($Q$2:Q162)</f>
        <v>60193160</v>
      </c>
      <c r="W162">
        <f>Table1[[#This Row],[Cumulative_Inventory_Value]]/$AP$3</f>
        <v>0.79520266563199304</v>
      </c>
      <c r="X162" t="str">
        <f>IF(Table1[[#This Row],[Cumulative_Value_%]]&lt;80%,"A", IF(Table1[[#This Row],[Cumulative_Value_%]]&lt;=95%,"B","C"))</f>
        <v>A</v>
      </c>
      <c r="Y162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High Review</v>
      </c>
      <c r="Z162">
        <f>Table1[[#This Row],[Consumption]]/365</f>
        <v>1.3698630136986301E-2</v>
      </c>
      <c r="AA162">
        <f>Table1[[#This Row],[Avg_Daily_Consumption]]*Table1[[#This Row],[Lead_Time_Days]]+Table1[[#This Row],[Safety_Stock]]</f>
        <v>1.2054794520547945</v>
      </c>
      <c r="AB162">
        <f>IFERROR(Table1[[#This Row],[Closing_Stock]]/Table1[[#This Row],[Avg_Daily_Consumption]],9999)</f>
        <v>1095</v>
      </c>
      <c r="AC162">
        <f>MAX(1,ROUNDUP(Table1[[#This Row],[Avg_Daily_Consumption]]*Table1[[#This Row],[Lead_Time_Days]]*0.8,0))</f>
        <v>1</v>
      </c>
      <c r="AD162" t="str">
        <f>IF(Table1[[#This Row],[Closing_Stock]]&lt;Table1[[#This Row],[Reorder_Point]],"Stock-out Risk","Adequate")</f>
        <v>Adequate</v>
      </c>
      <c r="AE162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162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 Safety Stock</v>
      </c>
      <c r="AG162">
        <f>IF(Table1[[#This Row],[Action_Recommendation]]="Review for Disposal/De-procurement",Table1[[#This Row],[Inventory_Value_INR]]*70%,IF(Table1[[#This Row],[Action_Recommendation]]="Review Safety Stock",Table1[[#This Row],[Inventory_Value_INR]]*20%,0))</f>
        <v>27270</v>
      </c>
      <c r="AH162" s="11">
        <f>MAX(0,Table1[[#This Row],[Closing_Stock]]-Table1[[#This Row],[Reorder_Point]])</f>
        <v>13.794520547945206</v>
      </c>
      <c r="AI162" s="11">
        <f>Table1[[#This Row],[Excess_Stock_Units]]*Table1[[#This Row],[Unit_Cost_INR]]</f>
        <v>125392.19178082193</v>
      </c>
      <c r="AJ162" s="11">
        <f>IF(Table1[[#This Row],[Criticality]]="Critical",0,Table1[[#This Row],[Excess_Inventory_Value_INR]])</f>
        <v>125392.19178082193</v>
      </c>
      <c r="AK162" s="11">
        <f>IF(AND(Table1[[#This Row],[Criticality]]&lt;&gt;"Critical",OR(Table1[[#This Row],[Movement_Class]]="Slow-Moving",Table1[[#This Row],[Movement_Class]]="Non-Moving")),Table1[[#This Row],[Excess_Inventory_Value_INR]],0)</f>
        <v>125392.19178082193</v>
      </c>
    </row>
    <row r="163" spans="1:37" x14ac:dyDescent="0.25">
      <c r="A163" t="s">
        <v>436</v>
      </c>
      <c r="B163" t="s">
        <v>54</v>
      </c>
      <c r="C163" t="s">
        <v>36</v>
      </c>
      <c r="D163" t="s">
        <v>45</v>
      </c>
      <c r="E163" t="s">
        <v>22</v>
      </c>
      <c r="F163">
        <v>24</v>
      </c>
      <c r="G163">
        <v>41</v>
      </c>
      <c r="H163">
        <v>41</v>
      </c>
      <c r="I163">
        <v>24</v>
      </c>
      <c r="J163">
        <v>5650</v>
      </c>
      <c r="K163">
        <v>32</v>
      </c>
      <c r="L163">
        <v>0</v>
      </c>
      <c r="M163">
        <v>90</v>
      </c>
      <c r="N163" t="s">
        <v>38</v>
      </c>
      <c r="O163">
        <v>0.24</v>
      </c>
      <c r="P163">
        <v>32544</v>
      </c>
      <c r="Q163">
        <f>(Table1[[#This Row],[Closing_Stock]]*Table1[[#This Row],[Unit_Cost_INR]])</f>
        <v>135600</v>
      </c>
      <c r="R163">
        <f>(Table1[[#This Row],[Unit_Cost_INR]]*Table1[[#This Row],[Consumption]])</f>
        <v>231650</v>
      </c>
      <c r="S163">
        <f>IFERROR(Table1[[#This Row],[Annual_Consumption_Value_INR]]/Table1[[#This Row],[Inventory_Value_INR]],0)</f>
        <v>1.7083333333333333</v>
      </c>
      <c r="T163">
        <f>IFERROR(365/Table1[[#This Row],[Inventory_Turnover]],0)</f>
        <v>213.65853658536585</v>
      </c>
      <c r="U163" t="str">
        <f>IF(Table1[[#This Row],[Consumption]]=0,"Non-Moving", IF(Table1[[#This Row],[Days_Since_Last_Movement]]&gt;90,"Slow-Moving","Active"))</f>
        <v>Active</v>
      </c>
      <c r="V163">
        <f>SUM($Q$2:Q163)</f>
        <v>60328760</v>
      </c>
      <c r="W163">
        <f>Table1[[#This Row],[Cumulative_Inventory_Value]]/$AP$3</f>
        <v>0.79699405657175593</v>
      </c>
      <c r="X163" t="str">
        <f>IF(Table1[[#This Row],[Cumulative_Value_%]]&lt;80%,"A", IF(Table1[[#This Row],[Cumulative_Value_%]]&lt;=95%,"B","C"))</f>
        <v>A</v>
      </c>
      <c r="Y163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163">
        <f>Table1[[#This Row],[Consumption]]/365</f>
        <v>0.11232876712328767</v>
      </c>
      <c r="AA163">
        <f>Table1[[#This Row],[Avg_Daily_Consumption]]*Table1[[#This Row],[Lead_Time_Days]]+Table1[[#This Row],[Safety_Stock]]</f>
        <v>6.5945205479452049</v>
      </c>
      <c r="AB163">
        <f>IFERROR(Table1[[#This Row],[Closing_Stock]]/Table1[[#This Row],[Avg_Daily_Consumption]],9999)</f>
        <v>213.65853658536585</v>
      </c>
      <c r="AC163">
        <f>MAX(1,ROUNDUP(Table1[[#This Row],[Avg_Daily_Consumption]]*Table1[[#This Row],[Lead_Time_Days]]*0.8,0))</f>
        <v>3</v>
      </c>
      <c r="AD163" t="str">
        <f>IF(Table1[[#This Row],[Closing_Stock]]&lt;Table1[[#This Row],[Reorder_Point]],"Stock-out Risk","Adequate")</f>
        <v>Adequate</v>
      </c>
      <c r="AE163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163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163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163" s="11">
        <f>MAX(0,Table1[[#This Row],[Closing_Stock]]-Table1[[#This Row],[Reorder_Point]])</f>
        <v>17.405479452054795</v>
      </c>
      <c r="AI163" s="11">
        <f>Table1[[#This Row],[Excess_Stock_Units]]*Table1[[#This Row],[Unit_Cost_INR]]</f>
        <v>98340.95890410959</v>
      </c>
      <c r="AJ163" s="11">
        <f>IF(Table1[[#This Row],[Criticality]]="Critical",0,Table1[[#This Row],[Excess_Inventory_Value_INR]])</f>
        <v>98340.95890410959</v>
      </c>
      <c r="AK163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164" spans="1:37" x14ac:dyDescent="0.25">
      <c r="A164" t="s">
        <v>533</v>
      </c>
      <c r="B164" t="s">
        <v>85</v>
      </c>
      <c r="C164" t="s">
        <v>41</v>
      </c>
      <c r="D164" t="s">
        <v>45</v>
      </c>
      <c r="E164" t="s">
        <v>37</v>
      </c>
      <c r="F164">
        <v>22</v>
      </c>
      <c r="G164">
        <v>25</v>
      </c>
      <c r="H164">
        <v>0</v>
      </c>
      <c r="I164">
        <v>85</v>
      </c>
      <c r="J164">
        <v>1580</v>
      </c>
      <c r="K164">
        <v>36</v>
      </c>
      <c r="L164">
        <v>0</v>
      </c>
      <c r="M164">
        <v>438</v>
      </c>
      <c r="N164" t="s">
        <v>58</v>
      </c>
      <c r="O164">
        <v>0.24399999999999999</v>
      </c>
      <c r="P164">
        <v>32769.199999999997</v>
      </c>
      <c r="Q164">
        <f>(Table1[[#This Row],[Closing_Stock]]*Table1[[#This Row],[Unit_Cost_INR]])</f>
        <v>134300</v>
      </c>
      <c r="R164">
        <f>(Table1[[#This Row],[Unit_Cost_INR]]*Table1[[#This Row],[Consumption]])</f>
        <v>0</v>
      </c>
      <c r="S164">
        <f>IFERROR(Table1[[#This Row],[Annual_Consumption_Value_INR]]/Table1[[#This Row],[Inventory_Value_INR]],0)</f>
        <v>0</v>
      </c>
      <c r="T164">
        <f>IFERROR(365/Table1[[#This Row],[Inventory_Turnover]],0)</f>
        <v>0</v>
      </c>
      <c r="U164" t="str">
        <f>IF(Table1[[#This Row],[Consumption]]=0,"Non-Moving", IF(Table1[[#This Row],[Days_Since_Last_Movement]]&gt;90,"Slow-Moving","Active"))</f>
        <v>Non-Moving</v>
      </c>
      <c r="V164">
        <f>SUM($Q$2:Q164)</f>
        <v>60463060</v>
      </c>
      <c r="W164">
        <f>Table1[[#This Row],[Cumulative_Inventory_Value]]/$AP$3</f>
        <v>0.798768273409589</v>
      </c>
      <c r="X164" t="str">
        <f>IF(Table1[[#This Row],[Cumulative_Value_%]]&lt;80%,"A", IF(Table1[[#This Row],[Cumulative_Value_%]]&lt;=95%,"B","C"))</f>
        <v>A</v>
      </c>
      <c r="Y164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Critical Review</v>
      </c>
      <c r="Z164">
        <f>Table1[[#This Row],[Consumption]]/365</f>
        <v>0</v>
      </c>
      <c r="AA164">
        <f>Table1[[#This Row],[Avg_Daily_Consumption]]*Table1[[#This Row],[Lead_Time_Days]]+Table1[[#This Row],[Safety_Stock]]</f>
        <v>1</v>
      </c>
      <c r="AB164">
        <f>IFERROR(Table1[[#This Row],[Closing_Stock]]/Table1[[#This Row],[Avg_Daily_Consumption]],9999)</f>
        <v>9999</v>
      </c>
      <c r="AC164">
        <f>MAX(1,ROUNDUP(Table1[[#This Row],[Avg_Daily_Consumption]]*Table1[[#This Row],[Lead_Time_Days]]*0.8,0))</f>
        <v>1</v>
      </c>
      <c r="AD164" t="str">
        <f>IF(Table1[[#This Row],[Closing_Stock]]&lt;Table1[[#This Row],[Reorder_Point]],"Stock-out Risk","Adequate")</f>
        <v>Adequate</v>
      </c>
      <c r="AE164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164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164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164" s="11">
        <f>MAX(0,Table1[[#This Row],[Closing_Stock]]-Table1[[#This Row],[Reorder_Point]])</f>
        <v>84</v>
      </c>
      <c r="AI164" s="11">
        <f>Table1[[#This Row],[Excess_Stock_Units]]*Table1[[#This Row],[Unit_Cost_INR]]</f>
        <v>132720</v>
      </c>
      <c r="AJ164" s="11">
        <f>IF(Table1[[#This Row],[Criticality]]="Critical",0,Table1[[#This Row],[Excess_Inventory_Value_INR]])</f>
        <v>0</v>
      </c>
      <c r="AK164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165" spans="1:37" x14ac:dyDescent="0.25">
      <c r="A165" t="s">
        <v>370</v>
      </c>
      <c r="B165" t="s">
        <v>48</v>
      </c>
      <c r="C165" t="s">
        <v>41</v>
      </c>
      <c r="D165" t="s">
        <v>27</v>
      </c>
      <c r="E165" t="s">
        <v>28</v>
      </c>
      <c r="F165">
        <v>23</v>
      </c>
      <c r="G165">
        <v>26</v>
      </c>
      <c r="H165">
        <v>19</v>
      </c>
      <c r="I165">
        <v>30</v>
      </c>
      <c r="J165">
        <v>4460</v>
      </c>
      <c r="K165">
        <v>11</v>
      </c>
      <c r="L165">
        <v>1</v>
      </c>
      <c r="M165">
        <v>121</v>
      </c>
      <c r="N165" t="s">
        <v>23</v>
      </c>
      <c r="O165">
        <v>0.17599999999999999</v>
      </c>
      <c r="P165">
        <v>23548.799999999999</v>
      </c>
      <c r="Q165">
        <f>(Table1[[#This Row],[Closing_Stock]]*Table1[[#This Row],[Unit_Cost_INR]])</f>
        <v>133800</v>
      </c>
      <c r="R165">
        <f>(Table1[[#This Row],[Unit_Cost_INR]]*Table1[[#This Row],[Consumption]])</f>
        <v>84740</v>
      </c>
      <c r="S165">
        <f>IFERROR(Table1[[#This Row],[Annual_Consumption_Value_INR]]/Table1[[#This Row],[Inventory_Value_INR]],0)</f>
        <v>0.6333333333333333</v>
      </c>
      <c r="T165">
        <f>IFERROR(365/Table1[[#This Row],[Inventory_Turnover]],0)</f>
        <v>576.31578947368428</v>
      </c>
      <c r="U165" t="str">
        <f>IF(Table1[[#This Row],[Consumption]]=0,"Non-Moving", IF(Table1[[#This Row],[Days_Since_Last_Movement]]&gt;90,"Slow-Moving","Active"))</f>
        <v>Slow-Moving</v>
      </c>
      <c r="V165">
        <f>SUM($Q$2:Q165)</f>
        <v>60596860</v>
      </c>
      <c r="W165">
        <f>Table1[[#This Row],[Cumulative_Inventory_Value]]/$AP$3</f>
        <v>0.80053588482360283</v>
      </c>
      <c r="X165" t="str">
        <f>IF(Table1[[#This Row],[Cumulative_Value_%]]&lt;80%,"A", IF(Table1[[#This Row],[Cumulative_Value_%]]&lt;=95%,"B","C"))</f>
        <v>B</v>
      </c>
      <c r="Y165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165">
        <f>Table1[[#This Row],[Consumption]]/365</f>
        <v>5.2054794520547946E-2</v>
      </c>
      <c r="AA165">
        <f>Table1[[#This Row],[Avg_Daily_Consumption]]*Table1[[#This Row],[Lead_Time_Days]]+Table1[[#This Row],[Safety_Stock]]</f>
        <v>1.5726027397260274</v>
      </c>
      <c r="AB165">
        <f>IFERROR(Table1[[#This Row],[Closing_Stock]]/Table1[[#This Row],[Avg_Daily_Consumption]],9999)</f>
        <v>576.31578947368416</v>
      </c>
      <c r="AC165">
        <f>MAX(1,ROUNDUP(Table1[[#This Row],[Avg_Daily_Consumption]]*Table1[[#This Row],[Lead_Time_Days]]*0.8,0))</f>
        <v>1</v>
      </c>
      <c r="AD165" t="str">
        <f>IF(Table1[[#This Row],[Closing_Stock]]&lt;Table1[[#This Row],[Reorder_Point]],"Stock-out Risk","Adequate")</f>
        <v>Adequate</v>
      </c>
      <c r="AE165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165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165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165" s="11">
        <f>MAX(0,Table1[[#This Row],[Closing_Stock]]-Table1[[#This Row],[Reorder_Point]])</f>
        <v>28.427397260273974</v>
      </c>
      <c r="AI165" s="11">
        <f>Table1[[#This Row],[Excess_Stock_Units]]*Table1[[#This Row],[Unit_Cost_INR]]</f>
        <v>126786.19178082193</v>
      </c>
      <c r="AJ165" s="11">
        <f>IF(Table1[[#This Row],[Criticality]]="Critical",0,Table1[[#This Row],[Excess_Inventory_Value_INR]])</f>
        <v>126786.19178082193</v>
      </c>
      <c r="AK165" s="11">
        <f>IF(AND(Table1[[#This Row],[Criticality]]&lt;&gt;"Critical",OR(Table1[[#This Row],[Movement_Class]]="Slow-Moving",Table1[[#This Row],[Movement_Class]]="Non-Moving")),Table1[[#This Row],[Excess_Inventory_Value_INR]],0)</f>
        <v>126786.19178082193</v>
      </c>
    </row>
    <row r="166" spans="1:37" x14ac:dyDescent="0.25">
      <c r="A166" t="s">
        <v>204</v>
      </c>
      <c r="B166" t="s">
        <v>104</v>
      </c>
      <c r="C166" t="s">
        <v>41</v>
      </c>
      <c r="D166" t="s">
        <v>42</v>
      </c>
      <c r="E166" t="s">
        <v>46</v>
      </c>
      <c r="F166">
        <v>72</v>
      </c>
      <c r="G166">
        <v>93</v>
      </c>
      <c r="H166">
        <v>3</v>
      </c>
      <c r="I166">
        <v>92</v>
      </c>
      <c r="J166">
        <v>1450</v>
      </c>
      <c r="K166">
        <v>38</v>
      </c>
      <c r="L166">
        <v>0</v>
      </c>
      <c r="M166">
        <v>296</v>
      </c>
      <c r="N166" t="s">
        <v>29</v>
      </c>
      <c r="O166">
        <v>0.16800000000000001</v>
      </c>
      <c r="P166">
        <v>22411.200000000001</v>
      </c>
      <c r="Q166">
        <f>(Table1[[#This Row],[Closing_Stock]]*Table1[[#This Row],[Unit_Cost_INR]])</f>
        <v>133400</v>
      </c>
      <c r="R166">
        <f>(Table1[[#This Row],[Unit_Cost_INR]]*Table1[[#This Row],[Consumption]])</f>
        <v>4350</v>
      </c>
      <c r="S166">
        <f>IFERROR(Table1[[#This Row],[Annual_Consumption_Value_INR]]/Table1[[#This Row],[Inventory_Value_INR]],0)</f>
        <v>3.2608695652173912E-2</v>
      </c>
      <c r="T166">
        <f>IFERROR(365/Table1[[#This Row],[Inventory_Turnover]],0)</f>
        <v>11193.333333333334</v>
      </c>
      <c r="U166" t="str">
        <f>IF(Table1[[#This Row],[Consumption]]=0,"Non-Moving", IF(Table1[[#This Row],[Days_Since_Last_Movement]]&gt;90,"Slow-Moving","Active"))</f>
        <v>Slow-Moving</v>
      </c>
      <c r="V166">
        <f>SUM($Q$2:Q166)</f>
        <v>60730260</v>
      </c>
      <c r="W166">
        <f>Table1[[#This Row],[Cumulative_Inventory_Value]]/$AP$3</f>
        <v>0.80229821189856132</v>
      </c>
      <c r="X166" t="str">
        <f>IF(Table1[[#This Row],[Cumulative_Value_%]]&lt;80%,"A", IF(Table1[[#This Row],[Cumulative_Value_%]]&lt;=95%,"B","C"))</f>
        <v>B</v>
      </c>
      <c r="Y166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166">
        <f>Table1[[#This Row],[Consumption]]/365</f>
        <v>8.21917808219178E-3</v>
      </c>
      <c r="AA166">
        <f>Table1[[#This Row],[Avg_Daily_Consumption]]*Table1[[#This Row],[Lead_Time_Days]]+Table1[[#This Row],[Safety_Stock]]</f>
        <v>1.3123287671232877</v>
      </c>
      <c r="AB166">
        <f>IFERROR(Table1[[#This Row],[Closing_Stock]]/Table1[[#This Row],[Avg_Daily_Consumption]],9999)</f>
        <v>11193.333333333334</v>
      </c>
      <c r="AC166">
        <f>MAX(1,ROUNDUP(Table1[[#This Row],[Avg_Daily_Consumption]]*Table1[[#This Row],[Lead_Time_Days]]*0.8,0))</f>
        <v>1</v>
      </c>
      <c r="AD166" t="str">
        <f>IF(Table1[[#This Row],[Closing_Stock]]&lt;Table1[[#This Row],[Reorder_Point]],"Stock-out Risk","Adequate")</f>
        <v>Adequate</v>
      </c>
      <c r="AE166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166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166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166" s="11">
        <f>MAX(0,Table1[[#This Row],[Closing_Stock]]-Table1[[#This Row],[Reorder_Point]])</f>
        <v>90.68767123287671</v>
      </c>
      <c r="AI166" s="11">
        <f>Table1[[#This Row],[Excess_Stock_Units]]*Table1[[#This Row],[Unit_Cost_INR]]</f>
        <v>131497.12328767122</v>
      </c>
      <c r="AJ166" s="11">
        <f>IF(Table1[[#This Row],[Criticality]]="Critical",0,Table1[[#This Row],[Excess_Inventory_Value_INR]])</f>
        <v>131497.12328767122</v>
      </c>
      <c r="AK166" s="11">
        <f>IF(AND(Table1[[#This Row],[Criticality]]&lt;&gt;"Critical",OR(Table1[[#This Row],[Movement_Class]]="Slow-Moving",Table1[[#This Row],[Movement_Class]]="Non-Moving")),Table1[[#This Row],[Excess_Inventory_Value_INR]],0)</f>
        <v>131497.12328767122</v>
      </c>
    </row>
    <row r="167" spans="1:37" x14ac:dyDescent="0.25">
      <c r="A167" t="s">
        <v>270</v>
      </c>
      <c r="B167" t="s">
        <v>137</v>
      </c>
      <c r="C167" t="s">
        <v>26</v>
      </c>
      <c r="D167" t="s">
        <v>66</v>
      </c>
      <c r="E167" t="s">
        <v>22</v>
      </c>
      <c r="F167">
        <v>34</v>
      </c>
      <c r="G167">
        <v>158</v>
      </c>
      <c r="H167">
        <v>131</v>
      </c>
      <c r="I167">
        <v>61</v>
      </c>
      <c r="J167">
        <v>2170</v>
      </c>
      <c r="K167">
        <v>33</v>
      </c>
      <c r="L167">
        <v>1</v>
      </c>
      <c r="M167">
        <v>35</v>
      </c>
      <c r="N167" t="s">
        <v>49</v>
      </c>
      <c r="O167">
        <v>0.224</v>
      </c>
      <c r="P167">
        <v>29650.880000000001</v>
      </c>
      <c r="Q167">
        <f>(Table1[[#This Row],[Closing_Stock]]*Table1[[#This Row],[Unit_Cost_INR]])</f>
        <v>132370</v>
      </c>
      <c r="R167">
        <f>(Table1[[#This Row],[Unit_Cost_INR]]*Table1[[#This Row],[Consumption]])</f>
        <v>284270</v>
      </c>
      <c r="S167">
        <f>IFERROR(Table1[[#This Row],[Annual_Consumption_Value_INR]]/Table1[[#This Row],[Inventory_Value_INR]],0)</f>
        <v>2.1475409836065573</v>
      </c>
      <c r="T167">
        <f>IFERROR(365/Table1[[#This Row],[Inventory_Turnover]],0)</f>
        <v>169.96183206106872</v>
      </c>
      <c r="U167" t="str">
        <f>IF(Table1[[#This Row],[Consumption]]=0,"Non-Moving", IF(Table1[[#This Row],[Days_Since_Last_Movement]]&gt;90,"Slow-Moving","Active"))</f>
        <v>Active</v>
      </c>
      <c r="V167">
        <f>SUM($Q$2:Q167)</f>
        <v>60862630</v>
      </c>
      <c r="W167">
        <f>Table1[[#This Row],[Cumulative_Inventory_Value]]/$AP$3</f>
        <v>0.80404693180045228</v>
      </c>
      <c r="X167" t="str">
        <f>IF(Table1[[#This Row],[Cumulative_Value_%]]&lt;80%,"A", IF(Table1[[#This Row],[Cumulative_Value_%]]&lt;=95%,"B","C"))</f>
        <v>B</v>
      </c>
      <c r="Y167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167">
        <f>Table1[[#This Row],[Consumption]]/365</f>
        <v>0.35890410958904112</v>
      </c>
      <c r="AA167">
        <f>Table1[[#This Row],[Avg_Daily_Consumption]]*Table1[[#This Row],[Lead_Time_Days]]+Table1[[#This Row],[Safety_Stock]]</f>
        <v>21.843835616438355</v>
      </c>
      <c r="AB167">
        <f>IFERROR(Table1[[#This Row],[Closing_Stock]]/Table1[[#This Row],[Avg_Daily_Consumption]],9999)</f>
        <v>169.96183206106869</v>
      </c>
      <c r="AC167">
        <f>MAX(1,ROUNDUP(Table1[[#This Row],[Avg_Daily_Consumption]]*Table1[[#This Row],[Lead_Time_Days]]*0.8,0))</f>
        <v>10</v>
      </c>
      <c r="AD167" t="str">
        <f>IF(Table1[[#This Row],[Closing_Stock]]&lt;Table1[[#This Row],[Reorder_Point]],"Stock-out Risk","Adequate")</f>
        <v>Adequate</v>
      </c>
      <c r="AE167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167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167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167" s="11">
        <f>MAX(0,Table1[[#This Row],[Closing_Stock]]-Table1[[#This Row],[Reorder_Point]])</f>
        <v>39.156164383561645</v>
      </c>
      <c r="AI167" s="11">
        <f>Table1[[#This Row],[Excess_Stock_Units]]*Table1[[#This Row],[Unit_Cost_INR]]</f>
        <v>84968.876712328769</v>
      </c>
      <c r="AJ167" s="11">
        <f>IF(Table1[[#This Row],[Criticality]]="Critical",0,Table1[[#This Row],[Excess_Inventory_Value_INR]])</f>
        <v>84968.876712328769</v>
      </c>
      <c r="AK167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168" spans="1:37" x14ac:dyDescent="0.25">
      <c r="A168" t="s">
        <v>173</v>
      </c>
      <c r="B168" t="s">
        <v>152</v>
      </c>
      <c r="C168" t="s">
        <v>20</v>
      </c>
      <c r="D168" t="s">
        <v>66</v>
      </c>
      <c r="E168" t="s">
        <v>46</v>
      </c>
      <c r="F168">
        <v>22</v>
      </c>
      <c r="G168">
        <v>26</v>
      </c>
      <c r="H168">
        <v>26</v>
      </c>
      <c r="I168">
        <v>22</v>
      </c>
      <c r="J168">
        <v>6010</v>
      </c>
      <c r="K168">
        <v>32</v>
      </c>
      <c r="L168">
        <v>0</v>
      </c>
      <c r="M168">
        <v>10</v>
      </c>
      <c r="N168" t="s">
        <v>38</v>
      </c>
      <c r="O168">
        <v>0.20799999999999999</v>
      </c>
      <c r="P168">
        <v>27501.759999999998</v>
      </c>
      <c r="Q168">
        <f>(Table1[[#This Row],[Closing_Stock]]*Table1[[#This Row],[Unit_Cost_INR]])</f>
        <v>132220</v>
      </c>
      <c r="R168">
        <f>(Table1[[#This Row],[Unit_Cost_INR]]*Table1[[#This Row],[Consumption]])</f>
        <v>156260</v>
      </c>
      <c r="S168">
        <f>IFERROR(Table1[[#This Row],[Annual_Consumption_Value_INR]]/Table1[[#This Row],[Inventory_Value_INR]],0)</f>
        <v>1.1818181818181819</v>
      </c>
      <c r="T168">
        <f>IFERROR(365/Table1[[#This Row],[Inventory_Turnover]],0)</f>
        <v>308.84615384615381</v>
      </c>
      <c r="U168" t="str">
        <f>IF(Table1[[#This Row],[Consumption]]=0,"Non-Moving", IF(Table1[[#This Row],[Days_Since_Last_Movement]]&gt;90,"Slow-Moving","Active"))</f>
        <v>Active</v>
      </c>
      <c r="V168">
        <f>SUM($Q$2:Q168)</f>
        <v>60994850</v>
      </c>
      <c r="W168">
        <f>Table1[[#This Row],[Cumulative_Inventory_Value]]/$AP$3</f>
        <v>0.80579367007519742</v>
      </c>
      <c r="X168" t="str">
        <f>IF(Table1[[#This Row],[Cumulative_Value_%]]&lt;80%,"A", IF(Table1[[#This Row],[Cumulative_Value_%]]&lt;=95%,"B","C"))</f>
        <v>B</v>
      </c>
      <c r="Y168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168">
        <f>Table1[[#This Row],[Consumption]]/365</f>
        <v>7.1232876712328766E-2</v>
      </c>
      <c r="AA168">
        <f>Table1[[#This Row],[Avg_Daily_Consumption]]*Table1[[#This Row],[Lead_Time_Days]]+Table1[[#This Row],[Safety_Stock]]</f>
        <v>4.2794520547945201</v>
      </c>
      <c r="AB168">
        <f>IFERROR(Table1[[#This Row],[Closing_Stock]]/Table1[[#This Row],[Avg_Daily_Consumption]],9999)</f>
        <v>308.84615384615387</v>
      </c>
      <c r="AC168">
        <f>MAX(1,ROUNDUP(Table1[[#This Row],[Avg_Daily_Consumption]]*Table1[[#This Row],[Lead_Time_Days]]*0.8,0))</f>
        <v>2</v>
      </c>
      <c r="AD168" t="str">
        <f>IF(Table1[[#This Row],[Closing_Stock]]&lt;Table1[[#This Row],[Reorder_Point]],"Stock-out Risk","Adequate")</f>
        <v>Adequate</v>
      </c>
      <c r="AE168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168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168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168" s="11">
        <f>MAX(0,Table1[[#This Row],[Closing_Stock]]-Table1[[#This Row],[Reorder_Point]])</f>
        <v>17.720547945205482</v>
      </c>
      <c r="AI168" s="11">
        <f>Table1[[#This Row],[Excess_Stock_Units]]*Table1[[#This Row],[Unit_Cost_INR]]</f>
        <v>106500.49315068494</v>
      </c>
      <c r="AJ168" s="11">
        <f>IF(Table1[[#This Row],[Criticality]]="Critical",0,Table1[[#This Row],[Excess_Inventory_Value_INR]])</f>
        <v>106500.49315068494</v>
      </c>
      <c r="AK168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169" spans="1:37" x14ac:dyDescent="0.25">
      <c r="A169" t="s">
        <v>447</v>
      </c>
      <c r="B169" t="s">
        <v>44</v>
      </c>
      <c r="C169" t="s">
        <v>41</v>
      </c>
      <c r="D169" t="s">
        <v>27</v>
      </c>
      <c r="E169" t="s">
        <v>37</v>
      </c>
      <c r="F169">
        <v>19</v>
      </c>
      <c r="G169">
        <v>12</v>
      </c>
      <c r="H169">
        <v>5</v>
      </c>
      <c r="I169">
        <v>93</v>
      </c>
      <c r="J169">
        <v>1420</v>
      </c>
      <c r="K169">
        <v>37</v>
      </c>
      <c r="L169">
        <v>1</v>
      </c>
      <c r="M169">
        <v>229</v>
      </c>
      <c r="N169" t="s">
        <v>33</v>
      </c>
      <c r="O169">
        <v>0.16900000000000001</v>
      </c>
      <c r="P169">
        <v>22318.14</v>
      </c>
      <c r="Q169">
        <f>(Table1[[#This Row],[Closing_Stock]]*Table1[[#This Row],[Unit_Cost_INR]])</f>
        <v>132060</v>
      </c>
      <c r="R169">
        <f>(Table1[[#This Row],[Unit_Cost_INR]]*Table1[[#This Row],[Consumption]])</f>
        <v>7100</v>
      </c>
      <c r="S169">
        <f>IFERROR(Table1[[#This Row],[Annual_Consumption_Value_INR]]/Table1[[#This Row],[Inventory_Value_INR]],0)</f>
        <v>5.3763440860215055E-2</v>
      </c>
      <c r="T169">
        <f>IFERROR(365/Table1[[#This Row],[Inventory_Turnover]],0)</f>
        <v>6789</v>
      </c>
      <c r="U169" t="str">
        <f>IF(Table1[[#This Row],[Consumption]]=0,"Non-Moving", IF(Table1[[#This Row],[Days_Since_Last_Movement]]&gt;90,"Slow-Moving","Active"))</f>
        <v>Slow-Moving</v>
      </c>
      <c r="V169">
        <f>SUM($Q$2:Q169)</f>
        <v>61126910</v>
      </c>
      <c r="W169">
        <f>Table1[[#This Row],[Cumulative_Inventory_Value]]/$AP$3</f>
        <v>0.80753829461432058</v>
      </c>
      <c r="X169" t="str">
        <f>IF(Table1[[#This Row],[Cumulative_Value_%]]&lt;80%,"A", IF(Table1[[#This Row],[Cumulative_Value_%]]&lt;=95%,"B","C"))</f>
        <v>B</v>
      </c>
      <c r="Y169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169">
        <f>Table1[[#This Row],[Consumption]]/365</f>
        <v>1.3698630136986301E-2</v>
      </c>
      <c r="AA169">
        <f>Table1[[#This Row],[Avg_Daily_Consumption]]*Table1[[#This Row],[Lead_Time_Days]]+Table1[[#This Row],[Safety_Stock]]</f>
        <v>1.5068493150684932</v>
      </c>
      <c r="AB169">
        <f>IFERROR(Table1[[#This Row],[Closing_Stock]]/Table1[[#This Row],[Avg_Daily_Consumption]],9999)</f>
        <v>6789</v>
      </c>
      <c r="AC169">
        <f>MAX(1,ROUNDUP(Table1[[#This Row],[Avg_Daily_Consumption]]*Table1[[#This Row],[Lead_Time_Days]]*0.8,0))</f>
        <v>1</v>
      </c>
      <c r="AD169" t="str">
        <f>IF(Table1[[#This Row],[Closing_Stock]]&lt;Table1[[#This Row],[Reorder_Point]],"Stock-out Risk","Adequate")</f>
        <v>Adequate</v>
      </c>
      <c r="AE169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169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169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169" s="11">
        <f>MAX(0,Table1[[#This Row],[Closing_Stock]]-Table1[[#This Row],[Reorder_Point]])</f>
        <v>91.493150684931507</v>
      </c>
      <c r="AI169" s="11">
        <f>Table1[[#This Row],[Excess_Stock_Units]]*Table1[[#This Row],[Unit_Cost_INR]]</f>
        <v>129920.27397260274</v>
      </c>
      <c r="AJ169" s="11">
        <f>IF(Table1[[#This Row],[Criticality]]="Critical",0,Table1[[#This Row],[Excess_Inventory_Value_INR]])</f>
        <v>0</v>
      </c>
      <c r="AK169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170" spans="1:37" x14ac:dyDescent="0.25">
      <c r="A170" t="s">
        <v>111</v>
      </c>
      <c r="B170" t="s">
        <v>35</v>
      </c>
      <c r="C170" t="s">
        <v>36</v>
      </c>
      <c r="D170" t="s">
        <v>27</v>
      </c>
      <c r="E170" t="s">
        <v>28</v>
      </c>
      <c r="F170">
        <v>20</v>
      </c>
      <c r="G170">
        <v>11</v>
      </c>
      <c r="H170">
        <v>9</v>
      </c>
      <c r="I170">
        <v>22</v>
      </c>
      <c r="J170">
        <v>5950</v>
      </c>
      <c r="K170">
        <v>26</v>
      </c>
      <c r="L170">
        <v>1</v>
      </c>
      <c r="M170">
        <v>4</v>
      </c>
      <c r="N170" t="s">
        <v>81</v>
      </c>
      <c r="O170">
        <v>0.24399999999999999</v>
      </c>
      <c r="P170">
        <v>31939.599999999999</v>
      </c>
      <c r="Q170">
        <f>(Table1[[#This Row],[Closing_Stock]]*Table1[[#This Row],[Unit_Cost_INR]])</f>
        <v>130900</v>
      </c>
      <c r="R170">
        <f>(Table1[[#This Row],[Unit_Cost_INR]]*Table1[[#This Row],[Consumption]])</f>
        <v>53550</v>
      </c>
      <c r="S170">
        <f>IFERROR(Table1[[#This Row],[Annual_Consumption_Value_INR]]/Table1[[#This Row],[Inventory_Value_INR]],0)</f>
        <v>0.40909090909090912</v>
      </c>
      <c r="T170">
        <f>IFERROR(365/Table1[[#This Row],[Inventory_Turnover]],0)</f>
        <v>892.22222222222217</v>
      </c>
      <c r="U170" t="str">
        <f>IF(Table1[[#This Row],[Consumption]]=0,"Non-Moving", IF(Table1[[#This Row],[Days_Since_Last_Movement]]&gt;90,"Slow-Moving","Active"))</f>
        <v>Active</v>
      </c>
      <c r="V170">
        <f>SUM($Q$2:Q170)</f>
        <v>61257810</v>
      </c>
      <c r="W170">
        <f>Table1[[#This Row],[Cumulative_Inventory_Value]]/$AP$3</f>
        <v>0.80926759457018305</v>
      </c>
      <c r="X170" t="str">
        <f>IF(Table1[[#This Row],[Cumulative_Value_%]]&lt;80%,"A", IF(Table1[[#This Row],[Cumulative_Value_%]]&lt;=95%,"B","C"))</f>
        <v>B</v>
      </c>
      <c r="Y170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170">
        <f>Table1[[#This Row],[Consumption]]/365</f>
        <v>2.4657534246575342E-2</v>
      </c>
      <c r="AA170">
        <f>Table1[[#This Row],[Avg_Daily_Consumption]]*Table1[[#This Row],[Lead_Time_Days]]+Table1[[#This Row],[Safety_Stock]]</f>
        <v>1.6410958904109589</v>
      </c>
      <c r="AB170">
        <f>IFERROR(Table1[[#This Row],[Closing_Stock]]/Table1[[#This Row],[Avg_Daily_Consumption]],9999)</f>
        <v>892.22222222222229</v>
      </c>
      <c r="AC170">
        <f>MAX(1,ROUNDUP(Table1[[#This Row],[Avg_Daily_Consumption]]*Table1[[#This Row],[Lead_Time_Days]]*0.8,0))</f>
        <v>1</v>
      </c>
      <c r="AD170" t="str">
        <f>IF(Table1[[#This Row],[Closing_Stock]]&lt;Table1[[#This Row],[Reorder_Point]],"Stock-out Risk","Adequate")</f>
        <v>Adequate</v>
      </c>
      <c r="AE170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170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170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170" s="11">
        <f>MAX(0,Table1[[#This Row],[Closing_Stock]]-Table1[[#This Row],[Reorder_Point]])</f>
        <v>20.358904109589041</v>
      </c>
      <c r="AI170" s="11">
        <f>Table1[[#This Row],[Excess_Stock_Units]]*Table1[[#This Row],[Unit_Cost_INR]]</f>
        <v>121135.47945205479</v>
      </c>
      <c r="AJ170" s="11">
        <f>IF(Table1[[#This Row],[Criticality]]="Critical",0,Table1[[#This Row],[Excess_Inventory_Value_INR]])</f>
        <v>121135.47945205479</v>
      </c>
      <c r="AK170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171" spans="1:37" x14ac:dyDescent="0.25">
      <c r="A171" t="s">
        <v>212</v>
      </c>
      <c r="B171" t="s">
        <v>137</v>
      </c>
      <c r="C171" t="s">
        <v>26</v>
      </c>
      <c r="D171" t="s">
        <v>60</v>
      </c>
      <c r="E171" t="s">
        <v>22</v>
      </c>
      <c r="F171">
        <v>6</v>
      </c>
      <c r="G171">
        <v>13</v>
      </c>
      <c r="H171">
        <v>4</v>
      </c>
      <c r="I171">
        <v>53</v>
      </c>
      <c r="J171">
        <v>2400</v>
      </c>
      <c r="K171">
        <v>7</v>
      </c>
      <c r="L171">
        <v>1</v>
      </c>
      <c r="M171">
        <v>107</v>
      </c>
      <c r="N171" t="s">
        <v>81</v>
      </c>
      <c r="O171">
        <v>0.20300000000000001</v>
      </c>
      <c r="P171">
        <v>25821.599999999999</v>
      </c>
      <c r="Q171">
        <f>(Table1[[#This Row],[Closing_Stock]]*Table1[[#This Row],[Unit_Cost_INR]])</f>
        <v>127200</v>
      </c>
      <c r="R171">
        <f>(Table1[[#This Row],[Unit_Cost_INR]]*Table1[[#This Row],[Consumption]])</f>
        <v>9600</v>
      </c>
      <c r="S171">
        <f>IFERROR(Table1[[#This Row],[Annual_Consumption_Value_INR]]/Table1[[#This Row],[Inventory_Value_INR]],0)</f>
        <v>7.5471698113207544E-2</v>
      </c>
      <c r="T171">
        <f>IFERROR(365/Table1[[#This Row],[Inventory_Turnover]],0)</f>
        <v>4836.25</v>
      </c>
      <c r="U171" t="str">
        <f>IF(Table1[[#This Row],[Consumption]]=0,"Non-Moving", IF(Table1[[#This Row],[Days_Since_Last_Movement]]&gt;90,"Slow-Moving","Active"))</f>
        <v>Slow-Moving</v>
      </c>
      <c r="V171">
        <f>SUM($Q$2:Q171)</f>
        <v>61385010</v>
      </c>
      <c r="W171">
        <f>Table1[[#This Row],[Cumulative_Inventory_Value]]/$AP$3</f>
        <v>0.8109480143897837</v>
      </c>
      <c r="X171" t="str">
        <f>IF(Table1[[#This Row],[Cumulative_Value_%]]&lt;80%,"A", IF(Table1[[#This Row],[Cumulative_Value_%]]&lt;=95%,"B","C"))</f>
        <v>B</v>
      </c>
      <c r="Y171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171">
        <f>Table1[[#This Row],[Consumption]]/365</f>
        <v>1.0958904109589041E-2</v>
      </c>
      <c r="AA171">
        <f>Table1[[#This Row],[Avg_Daily_Consumption]]*Table1[[#This Row],[Lead_Time_Days]]+Table1[[#This Row],[Safety_Stock]]</f>
        <v>1.0767123287671232</v>
      </c>
      <c r="AB171">
        <f>IFERROR(Table1[[#This Row],[Closing_Stock]]/Table1[[#This Row],[Avg_Daily_Consumption]],9999)</f>
        <v>4836.25</v>
      </c>
      <c r="AC171">
        <f>MAX(1,ROUNDUP(Table1[[#This Row],[Avg_Daily_Consumption]]*Table1[[#This Row],[Lead_Time_Days]]*0.8,0))</f>
        <v>1</v>
      </c>
      <c r="AD171" t="str">
        <f>IF(Table1[[#This Row],[Closing_Stock]]&lt;Table1[[#This Row],[Reorder_Point]],"Stock-out Risk","Adequate")</f>
        <v>Adequate</v>
      </c>
      <c r="AE171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171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171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171" s="11">
        <f>MAX(0,Table1[[#This Row],[Closing_Stock]]-Table1[[#This Row],[Reorder_Point]])</f>
        <v>51.923287671232877</v>
      </c>
      <c r="AI171" s="11">
        <f>Table1[[#This Row],[Excess_Stock_Units]]*Table1[[#This Row],[Unit_Cost_INR]]</f>
        <v>124615.89041095891</v>
      </c>
      <c r="AJ171" s="11">
        <f>IF(Table1[[#This Row],[Criticality]]="Critical",0,Table1[[#This Row],[Excess_Inventory_Value_INR]])</f>
        <v>124615.89041095891</v>
      </c>
      <c r="AK171" s="11">
        <f>IF(AND(Table1[[#This Row],[Criticality]]&lt;&gt;"Critical",OR(Table1[[#This Row],[Movement_Class]]="Slow-Moving",Table1[[#This Row],[Movement_Class]]="Non-Moving")),Table1[[#This Row],[Excess_Inventory_Value_INR]],0)</f>
        <v>124615.89041095891</v>
      </c>
    </row>
    <row r="172" spans="1:37" x14ac:dyDescent="0.25">
      <c r="A172" t="s">
        <v>400</v>
      </c>
      <c r="B172" t="s">
        <v>75</v>
      </c>
      <c r="C172" t="s">
        <v>36</v>
      </c>
      <c r="D172" t="s">
        <v>21</v>
      </c>
      <c r="E172" t="s">
        <v>22</v>
      </c>
      <c r="F172">
        <v>69</v>
      </c>
      <c r="G172">
        <v>171</v>
      </c>
      <c r="H172">
        <v>108</v>
      </c>
      <c r="I172">
        <v>135</v>
      </c>
      <c r="J172">
        <v>930</v>
      </c>
      <c r="K172">
        <v>22</v>
      </c>
      <c r="L172">
        <v>0</v>
      </c>
      <c r="M172">
        <v>263</v>
      </c>
      <c r="N172" t="s">
        <v>58</v>
      </c>
      <c r="O172">
        <v>0.26600000000000001</v>
      </c>
      <c r="P172">
        <v>33396.300000000003</v>
      </c>
      <c r="Q172">
        <f>(Table1[[#This Row],[Closing_Stock]]*Table1[[#This Row],[Unit_Cost_INR]])</f>
        <v>125550</v>
      </c>
      <c r="R172">
        <f>(Table1[[#This Row],[Unit_Cost_INR]]*Table1[[#This Row],[Consumption]])</f>
        <v>100440</v>
      </c>
      <c r="S172">
        <f>IFERROR(Table1[[#This Row],[Annual_Consumption_Value_INR]]/Table1[[#This Row],[Inventory_Value_INR]],0)</f>
        <v>0.8</v>
      </c>
      <c r="T172">
        <f>IFERROR(365/Table1[[#This Row],[Inventory_Turnover]],0)</f>
        <v>456.25</v>
      </c>
      <c r="U172" t="str">
        <f>IF(Table1[[#This Row],[Consumption]]=0,"Non-Moving", IF(Table1[[#This Row],[Days_Since_Last_Movement]]&gt;90,"Slow-Moving","Active"))</f>
        <v>Slow-Moving</v>
      </c>
      <c r="V172">
        <f>SUM($Q$2:Q172)</f>
        <v>61510560</v>
      </c>
      <c r="W172">
        <f>Table1[[#This Row],[Cumulative_Inventory_Value]]/$AP$3</f>
        <v>0.81260663631078101</v>
      </c>
      <c r="X172" t="str">
        <f>IF(Table1[[#This Row],[Cumulative_Value_%]]&lt;80%,"A", IF(Table1[[#This Row],[Cumulative_Value_%]]&lt;=95%,"B","C"))</f>
        <v>B</v>
      </c>
      <c r="Y172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172">
        <f>Table1[[#This Row],[Consumption]]/365</f>
        <v>0.29589041095890412</v>
      </c>
      <c r="AA172">
        <f>Table1[[#This Row],[Avg_Daily_Consumption]]*Table1[[#This Row],[Lead_Time_Days]]+Table1[[#This Row],[Safety_Stock]]</f>
        <v>12.509589041095889</v>
      </c>
      <c r="AB172">
        <f>IFERROR(Table1[[#This Row],[Closing_Stock]]/Table1[[#This Row],[Avg_Daily_Consumption]],9999)</f>
        <v>456.25</v>
      </c>
      <c r="AC172">
        <f>MAX(1,ROUNDUP(Table1[[#This Row],[Avg_Daily_Consumption]]*Table1[[#This Row],[Lead_Time_Days]]*0.8,0))</f>
        <v>6</v>
      </c>
      <c r="AD172" t="str">
        <f>IF(Table1[[#This Row],[Closing_Stock]]&lt;Table1[[#This Row],[Reorder_Point]],"Stock-out Risk","Adequate")</f>
        <v>Adequate</v>
      </c>
      <c r="AE172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172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172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172" s="11">
        <f>MAX(0,Table1[[#This Row],[Closing_Stock]]-Table1[[#This Row],[Reorder_Point]])</f>
        <v>122.49041095890411</v>
      </c>
      <c r="AI172" s="11">
        <f>Table1[[#This Row],[Excess_Stock_Units]]*Table1[[#This Row],[Unit_Cost_INR]]</f>
        <v>113916.08219178082</v>
      </c>
      <c r="AJ172" s="11">
        <f>IF(Table1[[#This Row],[Criticality]]="Critical",0,Table1[[#This Row],[Excess_Inventory_Value_INR]])</f>
        <v>113916.08219178082</v>
      </c>
      <c r="AK172" s="11">
        <f>IF(AND(Table1[[#This Row],[Criticality]]&lt;&gt;"Critical",OR(Table1[[#This Row],[Movement_Class]]="Slow-Moving",Table1[[#This Row],[Movement_Class]]="Non-Moving")),Table1[[#This Row],[Excess_Inventory_Value_INR]],0)</f>
        <v>113916.08219178082</v>
      </c>
    </row>
    <row r="173" spans="1:37" x14ac:dyDescent="0.25">
      <c r="A173" t="s">
        <v>243</v>
      </c>
      <c r="B173" t="s">
        <v>83</v>
      </c>
      <c r="C173" t="s">
        <v>32</v>
      </c>
      <c r="D173" t="s">
        <v>21</v>
      </c>
      <c r="E173" t="s">
        <v>22</v>
      </c>
      <c r="F173">
        <v>12</v>
      </c>
      <c r="G173">
        <v>7</v>
      </c>
      <c r="H173">
        <v>6</v>
      </c>
      <c r="I173">
        <v>13</v>
      </c>
      <c r="J173">
        <v>9600</v>
      </c>
      <c r="K173">
        <v>23</v>
      </c>
      <c r="L173">
        <v>0</v>
      </c>
      <c r="M173">
        <v>205</v>
      </c>
      <c r="N173" t="s">
        <v>29</v>
      </c>
      <c r="O173">
        <v>0.17100000000000001</v>
      </c>
      <c r="P173">
        <v>21340.799999999999</v>
      </c>
      <c r="Q173">
        <f>(Table1[[#This Row],[Closing_Stock]]*Table1[[#This Row],[Unit_Cost_INR]])</f>
        <v>124800</v>
      </c>
      <c r="R173">
        <f>(Table1[[#This Row],[Unit_Cost_INR]]*Table1[[#This Row],[Consumption]])</f>
        <v>57600</v>
      </c>
      <c r="S173">
        <f>IFERROR(Table1[[#This Row],[Annual_Consumption_Value_INR]]/Table1[[#This Row],[Inventory_Value_INR]],0)</f>
        <v>0.46153846153846156</v>
      </c>
      <c r="T173">
        <f>IFERROR(365/Table1[[#This Row],[Inventory_Turnover]],0)</f>
        <v>790.83333333333326</v>
      </c>
      <c r="U173" t="str">
        <f>IF(Table1[[#This Row],[Consumption]]=0,"Non-Moving", IF(Table1[[#This Row],[Days_Since_Last_Movement]]&gt;90,"Slow-Moving","Active"))</f>
        <v>Slow-Moving</v>
      </c>
      <c r="V173">
        <f>SUM($Q$2:Q173)</f>
        <v>61635360</v>
      </c>
      <c r="W173">
        <f>Table1[[#This Row],[Cumulative_Inventory_Value]]/$AP$3</f>
        <v>0.81425535009604944</v>
      </c>
      <c r="X173" t="str">
        <f>IF(Table1[[#This Row],[Cumulative_Value_%]]&lt;80%,"A", IF(Table1[[#This Row],[Cumulative_Value_%]]&lt;=95%,"B","C"))</f>
        <v>B</v>
      </c>
      <c r="Y173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173">
        <f>Table1[[#This Row],[Consumption]]/365</f>
        <v>1.643835616438356E-2</v>
      </c>
      <c r="AA173">
        <f>Table1[[#This Row],[Avg_Daily_Consumption]]*Table1[[#This Row],[Lead_Time_Days]]+Table1[[#This Row],[Safety_Stock]]</f>
        <v>1.3780821917808219</v>
      </c>
      <c r="AB173">
        <f>IFERROR(Table1[[#This Row],[Closing_Stock]]/Table1[[#This Row],[Avg_Daily_Consumption]],9999)</f>
        <v>790.83333333333337</v>
      </c>
      <c r="AC173">
        <f>MAX(1,ROUNDUP(Table1[[#This Row],[Avg_Daily_Consumption]]*Table1[[#This Row],[Lead_Time_Days]]*0.8,0))</f>
        <v>1</v>
      </c>
      <c r="AD173" t="str">
        <f>IF(Table1[[#This Row],[Closing_Stock]]&lt;Table1[[#This Row],[Reorder_Point]],"Stock-out Risk","Adequate")</f>
        <v>Adequate</v>
      </c>
      <c r="AE173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173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173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173" s="11">
        <f>MAX(0,Table1[[#This Row],[Closing_Stock]]-Table1[[#This Row],[Reorder_Point]])</f>
        <v>11.621917808219179</v>
      </c>
      <c r="AI173" s="11">
        <f>Table1[[#This Row],[Excess_Stock_Units]]*Table1[[#This Row],[Unit_Cost_INR]]</f>
        <v>111570.41095890412</v>
      </c>
      <c r="AJ173" s="11">
        <f>IF(Table1[[#This Row],[Criticality]]="Critical",0,Table1[[#This Row],[Excess_Inventory_Value_INR]])</f>
        <v>111570.41095890412</v>
      </c>
      <c r="AK173" s="11">
        <f>IF(AND(Table1[[#This Row],[Criticality]]&lt;&gt;"Critical",OR(Table1[[#This Row],[Movement_Class]]="Slow-Moving",Table1[[#This Row],[Movement_Class]]="Non-Moving")),Table1[[#This Row],[Excess_Inventory_Value_INR]],0)</f>
        <v>111570.41095890412</v>
      </c>
    </row>
    <row r="174" spans="1:37" x14ac:dyDescent="0.25">
      <c r="A174" t="s">
        <v>121</v>
      </c>
      <c r="B174" t="s">
        <v>104</v>
      </c>
      <c r="C174" t="s">
        <v>41</v>
      </c>
      <c r="D174" t="s">
        <v>66</v>
      </c>
      <c r="E174" t="s">
        <v>46</v>
      </c>
      <c r="F174">
        <v>28</v>
      </c>
      <c r="G174">
        <v>50</v>
      </c>
      <c r="H174">
        <v>38</v>
      </c>
      <c r="I174">
        <v>40</v>
      </c>
      <c r="J174">
        <v>3110</v>
      </c>
      <c r="K174">
        <v>11</v>
      </c>
      <c r="L174">
        <v>0</v>
      </c>
      <c r="M174">
        <v>41</v>
      </c>
      <c r="N174" t="s">
        <v>61</v>
      </c>
      <c r="O174">
        <v>0.22600000000000001</v>
      </c>
      <c r="P174">
        <v>28114.400000000001</v>
      </c>
      <c r="Q174">
        <f>(Table1[[#This Row],[Closing_Stock]]*Table1[[#This Row],[Unit_Cost_INR]])</f>
        <v>124400</v>
      </c>
      <c r="R174">
        <f>(Table1[[#This Row],[Unit_Cost_INR]]*Table1[[#This Row],[Consumption]])</f>
        <v>118180</v>
      </c>
      <c r="S174">
        <f>IFERROR(Table1[[#This Row],[Annual_Consumption_Value_INR]]/Table1[[#This Row],[Inventory_Value_INR]],0)</f>
        <v>0.95</v>
      </c>
      <c r="T174">
        <f>IFERROR(365/Table1[[#This Row],[Inventory_Turnover]],0)</f>
        <v>384.21052631578948</v>
      </c>
      <c r="U174" t="str">
        <f>IF(Table1[[#This Row],[Consumption]]=0,"Non-Moving", IF(Table1[[#This Row],[Days_Since_Last_Movement]]&gt;90,"Slow-Moving","Active"))</f>
        <v>Active</v>
      </c>
      <c r="V174">
        <f>SUM($Q$2:Q174)</f>
        <v>61759760</v>
      </c>
      <c r="W174">
        <f>Table1[[#This Row],[Cumulative_Inventory_Value]]/$AP$3</f>
        <v>0.81589877954226264</v>
      </c>
      <c r="X174" t="str">
        <f>IF(Table1[[#This Row],[Cumulative_Value_%]]&lt;80%,"A", IF(Table1[[#This Row],[Cumulative_Value_%]]&lt;=95%,"B","C"))</f>
        <v>B</v>
      </c>
      <c r="Y174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174">
        <f>Table1[[#This Row],[Consumption]]/365</f>
        <v>0.10410958904109589</v>
      </c>
      <c r="AA174">
        <f>Table1[[#This Row],[Avg_Daily_Consumption]]*Table1[[#This Row],[Lead_Time_Days]]+Table1[[#This Row],[Safety_Stock]]</f>
        <v>2.1452054794520548</v>
      </c>
      <c r="AB174">
        <f>IFERROR(Table1[[#This Row],[Closing_Stock]]/Table1[[#This Row],[Avg_Daily_Consumption]],9999)</f>
        <v>384.21052631578948</v>
      </c>
      <c r="AC174">
        <f>MAX(1,ROUNDUP(Table1[[#This Row],[Avg_Daily_Consumption]]*Table1[[#This Row],[Lead_Time_Days]]*0.8,0))</f>
        <v>1</v>
      </c>
      <c r="AD174" t="str">
        <f>IF(Table1[[#This Row],[Closing_Stock]]&lt;Table1[[#This Row],[Reorder_Point]],"Stock-out Risk","Adequate")</f>
        <v>Adequate</v>
      </c>
      <c r="AE174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174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174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174" s="11">
        <f>MAX(0,Table1[[#This Row],[Closing_Stock]]-Table1[[#This Row],[Reorder_Point]])</f>
        <v>37.854794520547948</v>
      </c>
      <c r="AI174" s="11">
        <f>Table1[[#This Row],[Excess_Stock_Units]]*Table1[[#This Row],[Unit_Cost_INR]]</f>
        <v>117728.41095890412</v>
      </c>
      <c r="AJ174" s="11">
        <f>IF(Table1[[#This Row],[Criticality]]="Critical",0,Table1[[#This Row],[Excess_Inventory_Value_INR]])</f>
        <v>117728.41095890412</v>
      </c>
      <c r="AK174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175" spans="1:37" x14ac:dyDescent="0.25">
      <c r="A175" t="s">
        <v>236</v>
      </c>
      <c r="B175" t="s">
        <v>54</v>
      </c>
      <c r="C175" t="s">
        <v>36</v>
      </c>
      <c r="D175" t="s">
        <v>42</v>
      </c>
      <c r="E175" t="s">
        <v>37</v>
      </c>
      <c r="F175">
        <v>37</v>
      </c>
      <c r="G175">
        <v>35</v>
      </c>
      <c r="H175">
        <v>37</v>
      </c>
      <c r="I175">
        <v>35</v>
      </c>
      <c r="J175">
        <v>3540</v>
      </c>
      <c r="K175">
        <v>28</v>
      </c>
      <c r="L175">
        <v>1</v>
      </c>
      <c r="M175">
        <v>19</v>
      </c>
      <c r="N175" t="s">
        <v>38</v>
      </c>
      <c r="O175">
        <v>0.19700000000000001</v>
      </c>
      <c r="P175">
        <v>24408.3</v>
      </c>
      <c r="Q175">
        <f>(Table1[[#This Row],[Closing_Stock]]*Table1[[#This Row],[Unit_Cost_INR]])</f>
        <v>123900</v>
      </c>
      <c r="R175">
        <f>(Table1[[#This Row],[Unit_Cost_INR]]*Table1[[#This Row],[Consumption]])</f>
        <v>130980</v>
      </c>
      <c r="S175">
        <f>IFERROR(Table1[[#This Row],[Annual_Consumption_Value_INR]]/Table1[[#This Row],[Inventory_Value_INR]],0)</f>
        <v>1.0571428571428572</v>
      </c>
      <c r="T175">
        <f>IFERROR(365/Table1[[#This Row],[Inventory_Turnover]],0)</f>
        <v>345.27027027027026</v>
      </c>
      <c r="U175" t="str">
        <f>IF(Table1[[#This Row],[Consumption]]=0,"Non-Moving", IF(Table1[[#This Row],[Days_Since_Last_Movement]]&gt;90,"Slow-Moving","Active"))</f>
        <v>Active</v>
      </c>
      <c r="V175">
        <f>SUM($Q$2:Q175)</f>
        <v>61883660</v>
      </c>
      <c r="W175">
        <f>Table1[[#This Row],[Cumulative_Inventory_Value]]/$AP$3</f>
        <v>0.8175356035646566</v>
      </c>
      <c r="X175" t="str">
        <f>IF(Table1[[#This Row],[Cumulative_Value_%]]&lt;80%,"A", IF(Table1[[#This Row],[Cumulative_Value_%]]&lt;=95%,"B","C"))</f>
        <v>B</v>
      </c>
      <c r="Y175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175">
        <f>Table1[[#This Row],[Consumption]]/365</f>
        <v>0.10136986301369863</v>
      </c>
      <c r="AA175">
        <f>Table1[[#This Row],[Avg_Daily_Consumption]]*Table1[[#This Row],[Lead_Time_Days]]+Table1[[#This Row],[Safety_Stock]]</f>
        <v>5.838356164383562</v>
      </c>
      <c r="AB175">
        <f>IFERROR(Table1[[#This Row],[Closing_Stock]]/Table1[[#This Row],[Avg_Daily_Consumption]],9999)</f>
        <v>345.27027027027026</v>
      </c>
      <c r="AC175">
        <f>MAX(1,ROUNDUP(Table1[[#This Row],[Avg_Daily_Consumption]]*Table1[[#This Row],[Lead_Time_Days]]*0.8,0))</f>
        <v>3</v>
      </c>
      <c r="AD175" t="str">
        <f>IF(Table1[[#This Row],[Closing_Stock]]&lt;Table1[[#This Row],[Reorder_Point]],"Stock-out Risk","Adequate")</f>
        <v>Adequate</v>
      </c>
      <c r="AE175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175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175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175" s="11">
        <f>MAX(0,Table1[[#This Row],[Closing_Stock]]-Table1[[#This Row],[Reorder_Point]])</f>
        <v>29.161643835616438</v>
      </c>
      <c r="AI175" s="11">
        <f>Table1[[#This Row],[Excess_Stock_Units]]*Table1[[#This Row],[Unit_Cost_INR]]</f>
        <v>103232.21917808219</v>
      </c>
      <c r="AJ175" s="11">
        <f>IF(Table1[[#This Row],[Criticality]]="Critical",0,Table1[[#This Row],[Excess_Inventory_Value_INR]])</f>
        <v>0</v>
      </c>
      <c r="AK175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176" spans="1:37" x14ac:dyDescent="0.25">
      <c r="A176" t="s">
        <v>501</v>
      </c>
      <c r="B176" t="s">
        <v>71</v>
      </c>
      <c r="C176" t="s">
        <v>20</v>
      </c>
      <c r="D176" t="s">
        <v>45</v>
      </c>
      <c r="E176" t="s">
        <v>22</v>
      </c>
      <c r="F176">
        <v>106</v>
      </c>
      <c r="G176">
        <v>266</v>
      </c>
      <c r="H176">
        <v>199</v>
      </c>
      <c r="I176">
        <v>173</v>
      </c>
      <c r="J176">
        <v>710</v>
      </c>
      <c r="K176">
        <v>17</v>
      </c>
      <c r="L176">
        <v>0</v>
      </c>
      <c r="M176">
        <v>16</v>
      </c>
      <c r="N176" t="s">
        <v>33</v>
      </c>
      <c r="O176">
        <v>0.26200000000000001</v>
      </c>
      <c r="P176">
        <v>32181.46</v>
      </c>
      <c r="Q176">
        <f>(Table1[[#This Row],[Closing_Stock]]*Table1[[#This Row],[Unit_Cost_INR]])</f>
        <v>122830</v>
      </c>
      <c r="R176">
        <f>(Table1[[#This Row],[Unit_Cost_INR]]*Table1[[#This Row],[Consumption]])</f>
        <v>141290</v>
      </c>
      <c r="S176">
        <f>IFERROR(Table1[[#This Row],[Annual_Consumption_Value_INR]]/Table1[[#This Row],[Inventory_Value_INR]],0)</f>
        <v>1.1502890173410405</v>
      </c>
      <c r="T176">
        <f>IFERROR(365/Table1[[#This Row],[Inventory_Turnover]],0)</f>
        <v>317.3115577889447</v>
      </c>
      <c r="U176" t="str">
        <f>IF(Table1[[#This Row],[Consumption]]=0,"Non-Moving", IF(Table1[[#This Row],[Days_Since_Last_Movement]]&gt;90,"Slow-Moving","Active"))</f>
        <v>Active</v>
      </c>
      <c r="V176">
        <f>SUM($Q$2:Q176)</f>
        <v>62006490</v>
      </c>
      <c r="W176">
        <f>Table1[[#This Row],[Cumulative_Inventory_Value]]/$AP$3</f>
        <v>0.8191582919800775</v>
      </c>
      <c r="X176" t="str">
        <f>IF(Table1[[#This Row],[Cumulative_Value_%]]&lt;80%,"A", IF(Table1[[#This Row],[Cumulative_Value_%]]&lt;=95%,"B","C"))</f>
        <v>B</v>
      </c>
      <c r="Y176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176">
        <f>Table1[[#This Row],[Consumption]]/365</f>
        <v>0.54520547945205478</v>
      </c>
      <c r="AA176">
        <f>Table1[[#This Row],[Avg_Daily_Consumption]]*Table1[[#This Row],[Lead_Time_Days]]+Table1[[#This Row],[Safety_Stock]]</f>
        <v>17.268493150684932</v>
      </c>
      <c r="AB176">
        <f>IFERROR(Table1[[#This Row],[Closing_Stock]]/Table1[[#This Row],[Avg_Daily_Consumption]],9999)</f>
        <v>317.31155778894475</v>
      </c>
      <c r="AC176">
        <f>MAX(1,ROUNDUP(Table1[[#This Row],[Avg_Daily_Consumption]]*Table1[[#This Row],[Lead_Time_Days]]*0.8,0))</f>
        <v>8</v>
      </c>
      <c r="AD176" t="str">
        <f>IF(Table1[[#This Row],[Closing_Stock]]&lt;Table1[[#This Row],[Reorder_Point]],"Stock-out Risk","Adequate")</f>
        <v>Adequate</v>
      </c>
      <c r="AE176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176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176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176" s="11">
        <f>MAX(0,Table1[[#This Row],[Closing_Stock]]-Table1[[#This Row],[Reorder_Point]])</f>
        <v>155.73150684931505</v>
      </c>
      <c r="AI176" s="11">
        <f>Table1[[#This Row],[Excess_Stock_Units]]*Table1[[#This Row],[Unit_Cost_INR]]</f>
        <v>110569.36986301369</v>
      </c>
      <c r="AJ176" s="11">
        <f>IF(Table1[[#This Row],[Criticality]]="Critical",0,Table1[[#This Row],[Excess_Inventory_Value_INR]])</f>
        <v>110569.36986301369</v>
      </c>
      <c r="AK176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177" spans="1:37" x14ac:dyDescent="0.25">
      <c r="A177" t="s">
        <v>344</v>
      </c>
      <c r="B177" t="s">
        <v>51</v>
      </c>
      <c r="C177" t="s">
        <v>52</v>
      </c>
      <c r="D177" t="s">
        <v>45</v>
      </c>
      <c r="E177" t="s">
        <v>28</v>
      </c>
      <c r="F177">
        <v>28</v>
      </c>
      <c r="G177">
        <v>57</v>
      </c>
      <c r="H177">
        <v>45</v>
      </c>
      <c r="I177">
        <v>40</v>
      </c>
      <c r="J177">
        <v>3030</v>
      </c>
      <c r="K177">
        <v>23</v>
      </c>
      <c r="L177">
        <v>0</v>
      </c>
      <c r="M177">
        <v>129</v>
      </c>
      <c r="N177" t="s">
        <v>81</v>
      </c>
      <c r="O177">
        <v>0.151</v>
      </c>
      <c r="P177">
        <v>18301.2</v>
      </c>
      <c r="Q177">
        <f>(Table1[[#This Row],[Closing_Stock]]*Table1[[#This Row],[Unit_Cost_INR]])</f>
        <v>121200</v>
      </c>
      <c r="R177">
        <f>(Table1[[#This Row],[Unit_Cost_INR]]*Table1[[#This Row],[Consumption]])</f>
        <v>136350</v>
      </c>
      <c r="S177">
        <f>IFERROR(Table1[[#This Row],[Annual_Consumption_Value_INR]]/Table1[[#This Row],[Inventory_Value_INR]],0)</f>
        <v>1.125</v>
      </c>
      <c r="T177">
        <f>IFERROR(365/Table1[[#This Row],[Inventory_Turnover]],0)</f>
        <v>324.44444444444446</v>
      </c>
      <c r="U177" t="str">
        <f>IF(Table1[[#This Row],[Consumption]]=0,"Non-Moving", IF(Table1[[#This Row],[Days_Since_Last_Movement]]&gt;90,"Slow-Moving","Active"))</f>
        <v>Slow-Moving</v>
      </c>
      <c r="V177">
        <f>SUM($Q$2:Q177)</f>
        <v>62127690</v>
      </c>
      <c r="W177">
        <f>Table1[[#This Row],[Cumulative_Inventory_Value]]/$AP$3</f>
        <v>0.82075944671384793</v>
      </c>
      <c r="X177" t="str">
        <f>IF(Table1[[#This Row],[Cumulative_Value_%]]&lt;80%,"A", IF(Table1[[#This Row],[Cumulative_Value_%]]&lt;=95%,"B","C"))</f>
        <v>B</v>
      </c>
      <c r="Y177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177">
        <f>Table1[[#This Row],[Consumption]]/365</f>
        <v>0.12328767123287671</v>
      </c>
      <c r="AA177">
        <f>Table1[[#This Row],[Avg_Daily_Consumption]]*Table1[[#This Row],[Lead_Time_Days]]+Table1[[#This Row],[Safety_Stock]]</f>
        <v>5.8356164383561637</v>
      </c>
      <c r="AB177">
        <f>IFERROR(Table1[[#This Row],[Closing_Stock]]/Table1[[#This Row],[Avg_Daily_Consumption]],9999)</f>
        <v>324.44444444444446</v>
      </c>
      <c r="AC177">
        <f>MAX(1,ROUNDUP(Table1[[#This Row],[Avg_Daily_Consumption]]*Table1[[#This Row],[Lead_Time_Days]]*0.8,0))</f>
        <v>3</v>
      </c>
      <c r="AD177" t="str">
        <f>IF(Table1[[#This Row],[Closing_Stock]]&lt;Table1[[#This Row],[Reorder_Point]],"Stock-out Risk","Adequate")</f>
        <v>Adequate</v>
      </c>
      <c r="AE177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177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177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177" s="11">
        <f>MAX(0,Table1[[#This Row],[Closing_Stock]]-Table1[[#This Row],[Reorder_Point]])</f>
        <v>34.164383561643838</v>
      </c>
      <c r="AI177" s="11">
        <f>Table1[[#This Row],[Excess_Stock_Units]]*Table1[[#This Row],[Unit_Cost_INR]]</f>
        <v>103518.08219178084</v>
      </c>
      <c r="AJ177" s="11">
        <f>IF(Table1[[#This Row],[Criticality]]="Critical",0,Table1[[#This Row],[Excess_Inventory_Value_INR]])</f>
        <v>103518.08219178084</v>
      </c>
      <c r="AK177" s="11">
        <f>IF(AND(Table1[[#This Row],[Criticality]]&lt;&gt;"Critical",OR(Table1[[#This Row],[Movement_Class]]="Slow-Moving",Table1[[#This Row],[Movement_Class]]="Non-Moving")),Table1[[#This Row],[Excess_Inventory_Value_INR]],0)</f>
        <v>103518.08219178084</v>
      </c>
    </row>
    <row r="178" spans="1:37" x14ac:dyDescent="0.25">
      <c r="A178" t="s">
        <v>206</v>
      </c>
      <c r="B178" t="s">
        <v>95</v>
      </c>
      <c r="C178" t="s">
        <v>26</v>
      </c>
      <c r="D178" t="s">
        <v>60</v>
      </c>
      <c r="E178" t="s">
        <v>22</v>
      </c>
      <c r="F178">
        <v>52</v>
      </c>
      <c r="G178">
        <v>38</v>
      </c>
      <c r="H178">
        <v>42</v>
      </c>
      <c r="I178">
        <v>48</v>
      </c>
      <c r="J178">
        <v>2460</v>
      </c>
      <c r="K178">
        <v>10</v>
      </c>
      <c r="L178">
        <v>1</v>
      </c>
      <c r="M178">
        <v>3</v>
      </c>
      <c r="N178" t="s">
        <v>81</v>
      </c>
      <c r="O178">
        <v>0.16700000000000001</v>
      </c>
      <c r="P178">
        <v>19719.36</v>
      </c>
      <c r="Q178">
        <f>(Table1[[#This Row],[Closing_Stock]]*Table1[[#This Row],[Unit_Cost_INR]])</f>
        <v>118080</v>
      </c>
      <c r="R178">
        <f>(Table1[[#This Row],[Unit_Cost_INR]]*Table1[[#This Row],[Consumption]])</f>
        <v>103320</v>
      </c>
      <c r="S178">
        <f>IFERROR(Table1[[#This Row],[Annual_Consumption_Value_INR]]/Table1[[#This Row],[Inventory_Value_INR]],0)</f>
        <v>0.875</v>
      </c>
      <c r="T178">
        <f>IFERROR(365/Table1[[#This Row],[Inventory_Turnover]],0)</f>
        <v>417.14285714285717</v>
      </c>
      <c r="U178" t="str">
        <f>IF(Table1[[#This Row],[Consumption]]=0,"Non-Moving", IF(Table1[[#This Row],[Days_Since_Last_Movement]]&gt;90,"Slow-Moving","Active"))</f>
        <v>Active</v>
      </c>
      <c r="V178">
        <f>SUM($Q$2:Q178)</f>
        <v>62245770</v>
      </c>
      <c r="W178">
        <f>Table1[[#This Row],[Cumulative_Inventory_Value]]/$AP$3</f>
        <v>0.82231938360298651</v>
      </c>
      <c r="X178" t="str">
        <f>IF(Table1[[#This Row],[Cumulative_Value_%]]&lt;80%,"A", IF(Table1[[#This Row],[Cumulative_Value_%]]&lt;=95%,"B","C"))</f>
        <v>B</v>
      </c>
      <c r="Y178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178">
        <f>Table1[[#This Row],[Consumption]]/365</f>
        <v>0.11506849315068493</v>
      </c>
      <c r="AA178">
        <f>Table1[[#This Row],[Avg_Daily_Consumption]]*Table1[[#This Row],[Lead_Time_Days]]+Table1[[#This Row],[Safety_Stock]]</f>
        <v>2.1506849315068495</v>
      </c>
      <c r="AB178">
        <f>IFERROR(Table1[[#This Row],[Closing_Stock]]/Table1[[#This Row],[Avg_Daily_Consumption]],9999)</f>
        <v>417.14285714285717</v>
      </c>
      <c r="AC178">
        <f>MAX(1,ROUNDUP(Table1[[#This Row],[Avg_Daily_Consumption]]*Table1[[#This Row],[Lead_Time_Days]]*0.8,0))</f>
        <v>1</v>
      </c>
      <c r="AD178" t="str">
        <f>IF(Table1[[#This Row],[Closing_Stock]]&lt;Table1[[#This Row],[Reorder_Point]],"Stock-out Risk","Adequate")</f>
        <v>Adequate</v>
      </c>
      <c r="AE178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178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178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178" s="11">
        <f>MAX(0,Table1[[#This Row],[Closing_Stock]]-Table1[[#This Row],[Reorder_Point]])</f>
        <v>45.849315068493148</v>
      </c>
      <c r="AI178" s="11">
        <f>Table1[[#This Row],[Excess_Stock_Units]]*Table1[[#This Row],[Unit_Cost_INR]]</f>
        <v>112789.31506849315</v>
      </c>
      <c r="AJ178" s="11">
        <f>IF(Table1[[#This Row],[Criticality]]="Critical",0,Table1[[#This Row],[Excess_Inventory_Value_INR]])</f>
        <v>112789.31506849315</v>
      </c>
      <c r="AK178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179" spans="1:37" x14ac:dyDescent="0.25">
      <c r="A179" t="s">
        <v>127</v>
      </c>
      <c r="B179" t="s">
        <v>40</v>
      </c>
      <c r="C179" t="s">
        <v>41</v>
      </c>
      <c r="D179" t="s">
        <v>21</v>
      </c>
      <c r="E179" t="s">
        <v>28</v>
      </c>
      <c r="F179">
        <v>31</v>
      </c>
      <c r="G179">
        <v>35</v>
      </c>
      <c r="H179">
        <v>22</v>
      </c>
      <c r="I179">
        <v>44</v>
      </c>
      <c r="J179">
        <v>2680</v>
      </c>
      <c r="K179">
        <v>22</v>
      </c>
      <c r="L179">
        <v>0</v>
      </c>
      <c r="M179">
        <v>54</v>
      </c>
      <c r="N179" t="s">
        <v>33</v>
      </c>
      <c r="O179">
        <v>0.16</v>
      </c>
      <c r="P179">
        <v>18867.2</v>
      </c>
      <c r="Q179">
        <f>(Table1[[#This Row],[Closing_Stock]]*Table1[[#This Row],[Unit_Cost_INR]])</f>
        <v>117920</v>
      </c>
      <c r="R179">
        <f>(Table1[[#This Row],[Unit_Cost_INR]]*Table1[[#This Row],[Consumption]])</f>
        <v>58960</v>
      </c>
      <c r="S179">
        <f>IFERROR(Table1[[#This Row],[Annual_Consumption_Value_INR]]/Table1[[#This Row],[Inventory_Value_INR]],0)</f>
        <v>0.5</v>
      </c>
      <c r="T179">
        <f>IFERROR(365/Table1[[#This Row],[Inventory_Turnover]],0)</f>
        <v>730</v>
      </c>
      <c r="U179" t="str">
        <f>IF(Table1[[#This Row],[Consumption]]=0,"Non-Moving", IF(Table1[[#This Row],[Days_Since_Last_Movement]]&gt;90,"Slow-Moving","Active"))</f>
        <v>Active</v>
      </c>
      <c r="V179">
        <f>SUM($Q$2:Q179)</f>
        <v>62363690</v>
      </c>
      <c r="W179">
        <f>Table1[[#This Row],[Cumulative_Inventory_Value]]/$AP$3</f>
        <v>0.82387720675650311</v>
      </c>
      <c r="X179" t="str">
        <f>IF(Table1[[#This Row],[Cumulative_Value_%]]&lt;80%,"A", IF(Table1[[#This Row],[Cumulative_Value_%]]&lt;=95%,"B","C"))</f>
        <v>B</v>
      </c>
      <c r="Y179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179">
        <f>Table1[[#This Row],[Consumption]]/365</f>
        <v>6.0273972602739728E-2</v>
      </c>
      <c r="AA179">
        <f>Table1[[#This Row],[Avg_Daily_Consumption]]*Table1[[#This Row],[Lead_Time_Days]]+Table1[[#This Row],[Safety_Stock]]</f>
        <v>3.3260273972602743</v>
      </c>
      <c r="AB179">
        <f>IFERROR(Table1[[#This Row],[Closing_Stock]]/Table1[[#This Row],[Avg_Daily_Consumption]],9999)</f>
        <v>730</v>
      </c>
      <c r="AC179">
        <f>MAX(1,ROUNDUP(Table1[[#This Row],[Avg_Daily_Consumption]]*Table1[[#This Row],[Lead_Time_Days]]*0.8,0))</f>
        <v>2</v>
      </c>
      <c r="AD179" t="str">
        <f>IF(Table1[[#This Row],[Closing_Stock]]&lt;Table1[[#This Row],[Reorder_Point]],"Stock-out Risk","Adequate")</f>
        <v>Adequate</v>
      </c>
      <c r="AE179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179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179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179" s="11">
        <f>MAX(0,Table1[[#This Row],[Closing_Stock]]-Table1[[#This Row],[Reorder_Point]])</f>
        <v>40.673972602739724</v>
      </c>
      <c r="AI179" s="11">
        <f>Table1[[#This Row],[Excess_Stock_Units]]*Table1[[#This Row],[Unit_Cost_INR]]</f>
        <v>109006.24657534246</v>
      </c>
      <c r="AJ179" s="11">
        <f>IF(Table1[[#This Row],[Criticality]]="Critical",0,Table1[[#This Row],[Excess_Inventory_Value_INR]])</f>
        <v>109006.24657534246</v>
      </c>
      <c r="AK179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180" spans="1:37" x14ac:dyDescent="0.25">
      <c r="A180" t="s">
        <v>158</v>
      </c>
      <c r="B180" t="s">
        <v>129</v>
      </c>
      <c r="C180" t="s">
        <v>52</v>
      </c>
      <c r="D180" t="s">
        <v>21</v>
      </c>
      <c r="E180" t="s">
        <v>28</v>
      </c>
      <c r="F180">
        <v>26</v>
      </c>
      <c r="G180">
        <v>26</v>
      </c>
      <c r="H180">
        <v>21</v>
      </c>
      <c r="I180">
        <v>31</v>
      </c>
      <c r="J180">
        <v>3800</v>
      </c>
      <c r="K180">
        <v>25</v>
      </c>
      <c r="L180">
        <v>0</v>
      </c>
      <c r="M180">
        <v>100</v>
      </c>
      <c r="N180" t="s">
        <v>61</v>
      </c>
      <c r="O180">
        <v>0.185</v>
      </c>
      <c r="P180">
        <v>21793</v>
      </c>
      <c r="Q180">
        <f>(Table1[[#This Row],[Closing_Stock]]*Table1[[#This Row],[Unit_Cost_INR]])</f>
        <v>117800</v>
      </c>
      <c r="R180">
        <f>(Table1[[#This Row],[Unit_Cost_INR]]*Table1[[#This Row],[Consumption]])</f>
        <v>79800</v>
      </c>
      <c r="S180">
        <f>IFERROR(Table1[[#This Row],[Annual_Consumption_Value_INR]]/Table1[[#This Row],[Inventory_Value_INR]],0)</f>
        <v>0.67741935483870963</v>
      </c>
      <c r="T180">
        <f>IFERROR(365/Table1[[#This Row],[Inventory_Turnover]],0)</f>
        <v>538.80952380952385</v>
      </c>
      <c r="U180" t="str">
        <f>IF(Table1[[#This Row],[Consumption]]=0,"Non-Moving", IF(Table1[[#This Row],[Days_Since_Last_Movement]]&gt;90,"Slow-Moving","Active"))</f>
        <v>Slow-Moving</v>
      </c>
      <c r="V180">
        <f>SUM($Q$2:Q180)</f>
        <v>62481490</v>
      </c>
      <c r="W180">
        <f>Table1[[#This Row],[Cumulative_Inventory_Value]]/$AP$3</f>
        <v>0.82543344460830304</v>
      </c>
      <c r="X180" t="str">
        <f>IF(Table1[[#This Row],[Cumulative_Value_%]]&lt;80%,"A", IF(Table1[[#This Row],[Cumulative_Value_%]]&lt;=95%,"B","C"))</f>
        <v>B</v>
      </c>
      <c r="Y180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180">
        <f>Table1[[#This Row],[Consumption]]/365</f>
        <v>5.7534246575342465E-2</v>
      </c>
      <c r="AA180">
        <f>Table1[[#This Row],[Avg_Daily_Consumption]]*Table1[[#This Row],[Lead_Time_Days]]+Table1[[#This Row],[Safety_Stock]]</f>
        <v>3.4383561643835616</v>
      </c>
      <c r="AB180">
        <f>IFERROR(Table1[[#This Row],[Closing_Stock]]/Table1[[#This Row],[Avg_Daily_Consumption]],9999)</f>
        <v>538.80952380952385</v>
      </c>
      <c r="AC180">
        <f>MAX(1,ROUNDUP(Table1[[#This Row],[Avg_Daily_Consumption]]*Table1[[#This Row],[Lead_Time_Days]]*0.8,0))</f>
        <v>2</v>
      </c>
      <c r="AD180" t="str">
        <f>IF(Table1[[#This Row],[Closing_Stock]]&lt;Table1[[#This Row],[Reorder_Point]],"Stock-out Risk","Adequate")</f>
        <v>Adequate</v>
      </c>
      <c r="AE180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180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180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180" s="11">
        <f>MAX(0,Table1[[#This Row],[Closing_Stock]]-Table1[[#This Row],[Reorder_Point]])</f>
        <v>27.561643835616437</v>
      </c>
      <c r="AI180" s="11">
        <f>Table1[[#This Row],[Excess_Stock_Units]]*Table1[[#This Row],[Unit_Cost_INR]]</f>
        <v>104734.24657534246</v>
      </c>
      <c r="AJ180" s="11">
        <f>IF(Table1[[#This Row],[Criticality]]="Critical",0,Table1[[#This Row],[Excess_Inventory_Value_INR]])</f>
        <v>104734.24657534246</v>
      </c>
      <c r="AK180" s="11">
        <f>IF(AND(Table1[[#This Row],[Criticality]]&lt;&gt;"Critical",OR(Table1[[#This Row],[Movement_Class]]="Slow-Moving",Table1[[#This Row],[Movement_Class]]="Non-Moving")),Table1[[#This Row],[Excess_Inventory_Value_INR]],0)</f>
        <v>104734.24657534246</v>
      </c>
    </row>
    <row r="181" spans="1:37" x14ac:dyDescent="0.25">
      <c r="A181" t="s">
        <v>509</v>
      </c>
      <c r="B181" t="s">
        <v>85</v>
      </c>
      <c r="C181" t="s">
        <v>41</v>
      </c>
      <c r="D181" t="s">
        <v>21</v>
      </c>
      <c r="E181" t="s">
        <v>37</v>
      </c>
      <c r="F181">
        <v>46</v>
      </c>
      <c r="G181">
        <v>54</v>
      </c>
      <c r="H181">
        <v>34</v>
      </c>
      <c r="I181">
        <v>66</v>
      </c>
      <c r="J181">
        <v>1770</v>
      </c>
      <c r="K181">
        <v>3</v>
      </c>
      <c r="L181">
        <v>0</v>
      </c>
      <c r="M181">
        <v>95</v>
      </c>
      <c r="N181" t="s">
        <v>58</v>
      </c>
      <c r="O181">
        <v>0.155</v>
      </c>
      <c r="P181">
        <v>18107.099999999999</v>
      </c>
      <c r="Q181">
        <f>(Table1[[#This Row],[Closing_Stock]]*Table1[[#This Row],[Unit_Cost_INR]])</f>
        <v>116820</v>
      </c>
      <c r="R181">
        <f>(Table1[[#This Row],[Unit_Cost_INR]]*Table1[[#This Row],[Consumption]])</f>
        <v>60180</v>
      </c>
      <c r="S181">
        <f>IFERROR(Table1[[#This Row],[Annual_Consumption_Value_INR]]/Table1[[#This Row],[Inventory_Value_INR]],0)</f>
        <v>0.51515151515151514</v>
      </c>
      <c r="T181">
        <f>IFERROR(365/Table1[[#This Row],[Inventory_Turnover]],0)</f>
        <v>708.52941176470586</v>
      </c>
      <c r="U181" t="str">
        <f>IF(Table1[[#This Row],[Consumption]]=0,"Non-Moving", IF(Table1[[#This Row],[Days_Since_Last_Movement]]&gt;90,"Slow-Moving","Active"))</f>
        <v>Slow-Moving</v>
      </c>
      <c r="V181">
        <f>SUM($Q$2:Q181)</f>
        <v>62598310</v>
      </c>
      <c r="W181">
        <f>Table1[[#This Row],[Cumulative_Inventory_Value]]/$AP$3</f>
        <v>0.82697673582941733</v>
      </c>
      <c r="X181" t="str">
        <f>IF(Table1[[#This Row],[Cumulative_Value_%]]&lt;80%,"A", IF(Table1[[#This Row],[Cumulative_Value_%]]&lt;=95%,"B","C"))</f>
        <v>B</v>
      </c>
      <c r="Y181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181">
        <f>Table1[[#This Row],[Consumption]]/365</f>
        <v>9.3150684931506855E-2</v>
      </c>
      <c r="AA181">
        <f>Table1[[#This Row],[Avg_Daily_Consumption]]*Table1[[#This Row],[Lead_Time_Days]]+Table1[[#This Row],[Safety_Stock]]</f>
        <v>1.2794520547945205</v>
      </c>
      <c r="AB181">
        <f>IFERROR(Table1[[#This Row],[Closing_Stock]]/Table1[[#This Row],[Avg_Daily_Consumption]],9999)</f>
        <v>708.52941176470586</v>
      </c>
      <c r="AC181">
        <f>MAX(1,ROUNDUP(Table1[[#This Row],[Avg_Daily_Consumption]]*Table1[[#This Row],[Lead_Time_Days]]*0.8,0))</f>
        <v>1</v>
      </c>
      <c r="AD181" t="str">
        <f>IF(Table1[[#This Row],[Closing_Stock]]&lt;Table1[[#This Row],[Reorder_Point]],"Stock-out Risk","Adequate")</f>
        <v>Adequate</v>
      </c>
      <c r="AE181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181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181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181" s="11">
        <f>MAX(0,Table1[[#This Row],[Closing_Stock]]-Table1[[#This Row],[Reorder_Point]])</f>
        <v>64.720547945205482</v>
      </c>
      <c r="AI181" s="11">
        <f>Table1[[#This Row],[Excess_Stock_Units]]*Table1[[#This Row],[Unit_Cost_INR]]</f>
        <v>114555.36986301371</v>
      </c>
      <c r="AJ181" s="11">
        <f>IF(Table1[[#This Row],[Criticality]]="Critical",0,Table1[[#This Row],[Excess_Inventory_Value_INR]])</f>
        <v>0</v>
      </c>
      <c r="AK181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182" spans="1:37" x14ac:dyDescent="0.25">
      <c r="A182" t="s">
        <v>386</v>
      </c>
      <c r="B182" t="s">
        <v>184</v>
      </c>
      <c r="C182" t="s">
        <v>26</v>
      </c>
      <c r="D182" t="s">
        <v>66</v>
      </c>
      <c r="E182" t="s">
        <v>22</v>
      </c>
      <c r="F182">
        <v>83</v>
      </c>
      <c r="G182">
        <v>101</v>
      </c>
      <c r="H182">
        <v>101</v>
      </c>
      <c r="I182">
        <v>83</v>
      </c>
      <c r="J182">
        <v>1400</v>
      </c>
      <c r="K182">
        <v>32</v>
      </c>
      <c r="L182">
        <v>0</v>
      </c>
      <c r="M182">
        <v>29</v>
      </c>
      <c r="N182" t="s">
        <v>38</v>
      </c>
      <c r="O182">
        <v>0.17799999999999999</v>
      </c>
      <c r="P182">
        <v>20683.599999999999</v>
      </c>
      <c r="Q182">
        <f>(Table1[[#This Row],[Closing_Stock]]*Table1[[#This Row],[Unit_Cost_INR]])</f>
        <v>116200</v>
      </c>
      <c r="R182">
        <f>(Table1[[#This Row],[Unit_Cost_INR]]*Table1[[#This Row],[Consumption]])</f>
        <v>141400</v>
      </c>
      <c r="S182">
        <f>IFERROR(Table1[[#This Row],[Annual_Consumption_Value_INR]]/Table1[[#This Row],[Inventory_Value_INR]],0)</f>
        <v>1.2168674698795181</v>
      </c>
      <c r="T182">
        <f>IFERROR(365/Table1[[#This Row],[Inventory_Turnover]],0)</f>
        <v>299.95049504950492</v>
      </c>
      <c r="U182" t="str">
        <f>IF(Table1[[#This Row],[Consumption]]=0,"Non-Moving", IF(Table1[[#This Row],[Days_Since_Last_Movement]]&gt;90,"Slow-Moving","Active"))</f>
        <v>Active</v>
      </c>
      <c r="V182">
        <f>SUM($Q$2:Q182)</f>
        <v>62714510</v>
      </c>
      <c r="W182">
        <f>Table1[[#This Row],[Cumulative_Inventory_Value]]/$AP$3</f>
        <v>0.82851183632499581</v>
      </c>
      <c r="X182" t="str">
        <f>IF(Table1[[#This Row],[Cumulative_Value_%]]&lt;80%,"A", IF(Table1[[#This Row],[Cumulative_Value_%]]&lt;=95%,"B","C"))</f>
        <v>B</v>
      </c>
      <c r="Y182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182">
        <f>Table1[[#This Row],[Consumption]]/365</f>
        <v>0.27671232876712326</v>
      </c>
      <c r="AA182">
        <f>Table1[[#This Row],[Avg_Daily_Consumption]]*Table1[[#This Row],[Lead_Time_Days]]+Table1[[#This Row],[Safety_Stock]]</f>
        <v>16.854794520547944</v>
      </c>
      <c r="AB182">
        <f>IFERROR(Table1[[#This Row],[Closing_Stock]]/Table1[[#This Row],[Avg_Daily_Consumption]],9999)</f>
        <v>299.95049504950498</v>
      </c>
      <c r="AC182">
        <f>MAX(1,ROUNDUP(Table1[[#This Row],[Avg_Daily_Consumption]]*Table1[[#This Row],[Lead_Time_Days]]*0.8,0))</f>
        <v>8</v>
      </c>
      <c r="AD182" t="str">
        <f>IF(Table1[[#This Row],[Closing_Stock]]&lt;Table1[[#This Row],[Reorder_Point]],"Stock-out Risk","Adequate")</f>
        <v>Adequate</v>
      </c>
      <c r="AE182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182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182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182" s="11">
        <f>MAX(0,Table1[[#This Row],[Closing_Stock]]-Table1[[#This Row],[Reorder_Point]])</f>
        <v>66.145205479452059</v>
      </c>
      <c r="AI182" s="11">
        <f>Table1[[#This Row],[Excess_Stock_Units]]*Table1[[#This Row],[Unit_Cost_INR]]</f>
        <v>92603.287671232887</v>
      </c>
      <c r="AJ182" s="11">
        <f>IF(Table1[[#This Row],[Criticality]]="Critical",0,Table1[[#This Row],[Excess_Inventory_Value_INR]])</f>
        <v>92603.287671232887</v>
      </c>
      <c r="AK182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183" spans="1:37" x14ac:dyDescent="0.25">
      <c r="A183" t="s">
        <v>358</v>
      </c>
      <c r="B183" t="s">
        <v>104</v>
      </c>
      <c r="C183" t="s">
        <v>41</v>
      </c>
      <c r="D183" t="s">
        <v>60</v>
      </c>
      <c r="E183" t="s">
        <v>22</v>
      </c>
      <c r="F183">
        <v>17</v>
      </c>
      <c r="G183">
        <v>33</v>
      </c>
      <c r="H183">
        <v>30</v>
      </c>
      <c r="I183">
        <v>20</v>
      </c>
      <c r="J183">
        <v>5700</v>
      </c>
      <c r="K183">
        <v>32</v>
      </c>
      <c r="L183">
        <v>1</v>
      </c>
      <c r="M183">
        <v>15</v>
      </c>
      <c r="N183" t="s">
        <v>33</v>
      </c>
      <c r="O183">
        <v>0.26300000000000001</v>
      </c>
      <c r="P183">
        <v>29982</v>
      </c>
      <c r="Q183">
        <f>(Table1[[#This Row],[Closing_Stock]]*Table1[[#This Row],[Unit_Cost_INR]])</f>
        <v>114000</v>
      </c>
      <c r="R183">
        <f>(Table1[[#This Row],[Unit_Cost_INR]]*Table1[[#This Row],[Consumption]])</f>
        <v>171000</v>
      </c>
      <c r="S183">
        <f>IFERROR(Table1[[#This Row],[Annual_Consumption_Value_INR]]/Table1[[#This Row],[Inventory_Value_INR]],0)</f>
        <v>1.5</v>
      </c>
      <c r="T183">
        <f>IFERROR(365/Table1[[#This Row],[Inventory_Turnover]],0)</f>
        <v>243.33333333333334</v>
      </c>
      <c r="U183" t="str">
        <f>IF(Table1[[#This Row],[Consumption]]=0,"Non-Moving", IF(Table1[[#This Row],[Days_Since_Last_Movement]]&gt;90,"Slow-Moving","Active"))</f>
        <v>Active</v>
      </c>
      <c r="V183">
        <f>SUM($Q$2:Q183)</f>
        <v>62828510</v>
      </c>
      <c r="W183">
        <f>Table1[[#This Row],[Cumulative_Inventory_Value]]/$AP$3</f>
        <v>0.8300178729557699</v>
      </c>
      <c r="X183" t="str">
        <f>IF(Table1[[#This Row],[Cumulative_Value_%]]&lt;80%,"A", IF(Table1[[#This Row],[Cumulative_Value_%]]&lt;=95%,"B","C"))</f>
        <v>B</v>
      </c>
      <c r="Y183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183">
        <f>Table1[[#This Row],[Consumption]]/365</f>
        <v>8.2191780821917804E-2</v>
      </c>
      <c r="AA183">
        <f>Table1[[#This Row],[Avg_Daily_Consumption]]*Table1[[#This Row],[Lead_Time_Days]]+Table1[[#This Row],[Safety_Stock]]</f>
        <v>5.6301369863013697</v>
      </c>
      <c r="AB183">
        <f>IFERROR(Table1[[#This Row],[Closing_Stock]]/Table1[[#This Row],[Avg_Daily_Consumption]],9999)</f>
        <v>243.33333333333334</v>
      </c>
      <c r="AC183">
        <f>MAX(1,ROUNDUP(Table1[[#This Row],[Avg_Daily_Consumption]]*Table1[[#This Row],[Lead_Time_Days]]*0.8,0))</f>
        <v>3</v>
      </c>
      <c r="AD183" t="str">
        <f>IF(Table1[[#This Row],[Closing_Stock]]&lt;Table1[[#This Row],[Reorder_Point]],"Stock-out Risk","Adequate")</f>
        <v>Adequate</v>
      </c>
      <c r="AE183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183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183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183" s="11">
        <f>MAX(0,Table1[[#This Row],[Closing_Stock]]-Table1[[#This Row],[Reorder_Point]])</f>
        <v>14.36986301369863</v>
      </c>
      <c r="AI183" s="11">
        <f>Table1[[#This Row],[Excess_Stock_Units]]*Table1[[#This Row],[Unit_Cost_INR]]</f>
        <v>81908.219178082189</v>
      </c>
      <c r="AJ183" s="11">
        <f>IF(Table1[[#This Row],[Criticality]]="Critical",0,Table1[[#This Row],[Excess_Inventory_Value_INR]])</f>
        <v>81908.219178082189</v>
      </c>
      <c r="AK183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184" spans="1:37" x14ac:dyDescent="0.25">
      <c r="A184" t="s">
        <v>526</v>
      </c>
      <c r="B184" t="s">
        <v>137</v>
      </c>
      <c r="C184" t="s">
        <v>26</v>
      </c>
      <c r="D184" t="s">
        <v>45</v>
      </c>
      <c r="E184" t="s">
        <v>46</v>
      </c>
      <c r="F184">
        <v>22</v>
      </c>
      <c r="G184">
        <v>13</v>
      </c>
      <c r="H184">
        <v>12</v>
      </c>
      <c r="I184">
        <v>23</v>
      </c>
      <c r="J184">
        <v>4920</v>
      </c>
      <c r="K184">
        <v>36</v>
      </c>
      <c r="L184">
        <v>1</v>
      </c>
      <c r="M184">
        <v>47</v>
      </c>
      <c r="N184" t="s">
        <v>33</v>
      </c>
      <c r="O184">
        <v>0.215</v>
      </c>
      <c r="P184">
        <v>24329.4</v>
      </c>
      <c r="Q184">
        <f>(Table1[[#This Row],[Closing_Stock]]*Table1[[#This Row],[Unit_Cost_INR]])</f>
        <v>113160</v>
      </c>
      <c r="R184">
        <f>(Table1[[#This Row],[Unit_Cost_INR]]*Table1[[#This Row],[Consumption]])</f>
        <v>59040</v>
      </c>
      <c r="S184">
        <f>IFERROR(Table1[[#This Row],[Annual_Consumption_Value_INR]]/Table1[[#This Row],[Inventory_Value_INR]],0)</f>
        <v>0.52173913043478259</v>
      </c>
      <c r="T184">
        <f>IFERROR(365/Table1[[#This Row],[Inventory_Turnover]],0)</f>
        <v>699.58333333333337</v>
      </c>
      <c r="U184" t="str">
        <f>IF(Table1[[#This Row],[Consumption]]=0,"Non-Moving", IF(Table1[[#This Row],[Days_Since_Last_Movement]]&gt;90,"Slow-Moving","Active"))</f>
        <v>Active</v>
      </c>
      <c r="V184">
        <f>SUM($Q$2:Q184)</f>
        <v>62941670</v>
      </c>
      <c r="W184">
        <f>Table1[[#This Row],[Cumulative_Inventory_Value]]/$AP$3</f>
        <v>0.8315128124745278</v>
      </c>
      <c r="X184" t="str">
        <f>IF(Table1[[#This Row],[Cumulative_Value_%]]&lt;80%,"A", IF(Table1[[#This Row],[Cumulative_Value_%]]&lt;=95%,"B","C"))</f>
        <v>B</v>
      </c>
      <c r="Y184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184">
        <f>Table1[[#This Row],[Consumption]]/365</f>
        <v>3.287671232876712E-2</v>
      </c>
      <c r="AA184">
        <f>Table1[[#This Row],[Avg_Daily_Consumption]]*Table1[[#This Row],[Lead_Time_Days]]+Table1[[#This Row],[Safety_Stock]]</f>
        <v>2.183561643835616</v>
      </c>
      <c r="AB184">
        <f>IFERROR(Table1[[#This Row],[Closing_Stock]]/Table1[[#This Row],[Avg_Daily_Consumption]],9999)</f>
        <v>699.58333333333337</v>
      </c>
      <c r="AC184">
        <f>MAX(1,ROUNDUP(Table1[[#This Row],[Avg_Daily_Consumption]]*Table1[[#This Row],[Lead_Time_Days]]*0.8,0))</f>
        <v>1</v>
      </c>
      <c r="AD184" t="str">
        <f>IF(Table1[[#This Row],[Closing_Stock]]&lt;Table1[[#This Row],[Reorder_Point]],"Stock-out Risk","Adequate")</f>
        <v>Adequate</v>
      </c>
      <c r="AE184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184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184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184" s="11">
        <f>MAX(0,Table1[[#This Row],[Closing_Stock]]-Table1[[#This Row],[Reorder_Point]])</f>
        <v>20.816438356164383</v>
      </c>
      <c r="AI184" s="11">
        <f>Table1[[#This Row],[Excess_Stock_Units]]*Table1[[#This Row],[Unit_Cost_INR]]</f>
        <v>102416.87671232877</v>
      </c>
      <c r="AJ184" s="11">
        <f>IF(Table1[[#This Row],[Criticality]]="Critical",0,Table1[[#This Row],[Excess_Inventory_Value_INR]])</f>
        <v>102416.87671232877</v>
      </c>
      <c r="AK184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185" spans="1:37" x14ac:dyDescent="0.25">
      <c r="A185" t="s">
        <v>554</v>
      </c>
      <c r="B185" t="s">
        <v>210</v>
      </c>
      <c r="C185" t="s">
        <v>32</v>
      </c>
      <c r="D185" t="s">
        <v>60</v>
      </c>
      <c r="E185" t="s">
        <v>22</v>
      </c>
      <c r="F185">
        <v>9</v>
      </c>
      <c r="G185">
        <v>15</v>
      </c>
      <c r="H185">
        <v>0</v>
      </c>
      <c r="I185">
        <v>65</v>
      </c>
      <c r="J185">
        <v>1740</v>
      </c>
      <c r="K185">
        <v>11</v>
      </c>
      <c r="L185">
        <v>0</v>
      </c>
      <c r="M185">
        <v>693</v>
      </c>
      <c r="N185" t="s">
        <v>49</v>
      </c>
      <c r="O185">
        <v>0.26900000000000002</v>
      </c>
      <c r="P185">
        <v>30423.9</v>
      </c>
      <c r="Q185">
        <f>(Table1[[#This Row],[Closing_Stock]]*Table1[[#This Row],[Unit_Cost_INR]])</f>
        <v>113100</v>
      </c>
      <c r="R185">
        <f>(Table1[[#This Row],[Unit_Cost_INR]]*Table1[[#This Row],[Consumption]])</f>
        <v>0</v>
      </c>
      <c r="S185">
        <f>IFERROR(Table1[[#This Row],[Annual_Consumption_Value_INR]]/Table1[[#This Row],[Inventory_Value_INR]],0)</f>
        <v>0</v>
      </c>
      <c r="T185">
        <f>IFERROR(365/Table1[[#This Row],[Inventory_Turnover]],0)</f>
        <v>0</v>
      </c>
      <c r="U185" t="str">
        <f>IF(Table1[[#This Row],[Consumption]]=0,"Non-Moving", IF(Table1[[#This Row],[Days_Since_Last_Movement]]&gt;90,"Slow-Moving","Active"))</f>
        <v>Non-Moving</v>
      </c>
      <c r="V185">
        <f>SUM($Q$2:Q185)</f>
        <v>63054770</v>
      </c>
      <c r="W185">
        <f>Table1[[#This Row],[Cumulative_Inventory_Value]]/$AP$3</f>
        <v>0.83300695934242741</v>
      </c>
      <c r="X185" t="str">
        <f>IF(Table1[[#This Row],[Cumulative_Value_%]]&lt;80%,"A", IF(Table1[[#This Row],[Cumulative_Value_%]]&lt;=95%,"B","C"))</f>
        <v>B</v>
      </c>
      <c r="Y185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Review</v>
      </c>
      <c r="Z185">
        <f>Table1[[#This Row],[Consumption]]/365</f>
        <v>0</v>
      </c>
      <c r="AA185">
        <f>Table1[[#This Row],[Avg_Daily_Consumption]]*Table1[[#This Row],[Lead_Time_Days]]+Table1[[#This Row],[Safety_Stock]]</f>
        <v>1</v>
      </c>
      <c r="AB185">
        <f>IFERROR(Table1[[#This Row],[Closing_Stock]]/Table1[[#This Row],[Avg_Daily_Consumption]],9999)</f>
        <v>9999</v>
      </c>
      <c r="AC185">
        <f>MAX(1,ROUNDUP(Table1[[#This Row],[Avg_Daily_Consumption]]*Table1[[#This Row],[Lead_Time_Days]]*0.8,0))</f>
        <v>1</v>
      </c>
      <c r="AD185" t="str">
        <f>IF(Table1[[#This Row],[Closing_Stock]]&lt;Table1[[#This Row],[Reorder_Point]],"Stock-out Risk","Adequate")</f>
        <v>Adequate</v>
      </c>
      <c r="AE185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185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 for Disposal/De-procurement</v>
      </c>
      <c r="AG185">
        <f>IF(Table1[[#This Row],[Action_Recommendation]]="Review for Disposal/De-procurement",Table1[[#This Row],[Inventory_Value_INR]]*70%,IF(Table1[[#This Row],[Action_Recommendation]]="Review Safety Stock",Table1[[#This Row],[Inventory_Value_INR]]*20%,0))</f>
        <v>79170</v>
      </c>
      <c r="AH185" s="11">
        <f>MAX(0,Table1[[#This Row],[Closing_Stock]]-Table1[[#This Row],[Reorder_Point]])</f>
        <v>64</v>
      </c>
      <c r="AI185" s="11">
        <f>Table1[[#This Row],[Excess_Stock_Units]]*Table1[[#This Row],[Unit_Cost_INR]]</f>
        <v>111360</v>
      </c>
      <c r="AJ185" s="11">
        <f>IF(Table1[[#This Row],[Criticality]]="Critical",0,Table1[[#This Row],[Excess_Inventory_Value_INR]])</f>
        <v>111360</v>
      </c>
      <c r="AK185" s="11">
        <f>IF(AND(Table1[[#This Row],[Criticality]]&lt;&gt;"Critical",OR(Table1[[#This Row],[Movement_Class]]="Slow-Moving",Table1[[#This Row],[Movement_Class]]="Non-Moving")),Table1[[#This Row],[Excess_Inventory_Value_INR]],0)</f>
        <v>111360</v>
      </c>
    </row>
    <row r="186" spans="1:37" x14ac:dyDescent="0.25">
      <c r="A186" t="s">
        <v>402</v>
      </c>
      <c r="B186" t="s">
        <v>44</v>
      </c>
      <c r="C186" t="s">
        <v>41</v>
      </c>
      <c r="D186" t="s">
        <v>21</v>
      </c>
      <c r="E186" t="s">
        <v>28</v>
      </c>
      <c r="F186">
        <v>21</v>
      </c>
      <c r="G186">
        <v>7</v>
      </c>
      <c r="H186">
        <v>7</v>
      </c>
      <c r="I186">
        <v>21</v>
      </c>
      <c r="J186">
        <v>5320</v>
      </c>
      <c r="K186">
        <v>32</v>
      </c>
      <c r="L186">
        <v>0</v>
      </c>
      <c r="M186">
        <v>44</v>
      </c>
      <c r="N186" t="s">
        <v>61</v>
      </c>
      <c r="O186">
        <v>0.24199999999999999</v>
      </c>
      <c r="P186">
        <v>27036.240000000002</v>
      </c>
      <c r="Q186">
        <f>(Table1[[#This Row],[Closing_Stock]]*Table1[[#This Row],[Unit_Cost_INR]])</f>
        <v>111720</v>
      </c>
      <c r="R186">
        <f>(Table1[[#This Row],[Unit_Cost_INR]]*Table1[[#This Row],[Consumption]])</f>
        <v>37240</v>
      </c>
      <c r="S186">
        <f>IFERROR(Table1[[#This Row],[Annual_Consumption_Value_INR]]/Table1[[#This Row],[Inventory_Value_INR]],0)</f>
        <v>0.33333333333333331</v>
      </c>
      <c r="T186">
        <f>IFERROR(365/Table1[[#This Row],[Inventory_Turnover]],0)</f>
        <v>1095</v>
      </c>
      <c r="U186" t="str">
        <f>IF(Table1[[#This Row],[Consumption]]=0,"Non-Moving", IF(Table1[[#This Row],[Days_Since_Last_Movement]]&gt;90,"Slow-Moving","Active"))</f>
        <v>Active</v>
      </c>
      <c r="V186">
        <f>SUM($Q$2:Q186)</f>
        <v>63166490</v>
      </c>
      <c r="W186">
        <f>Table1[[#This Row],[Cumulative_Inventory_Value]]/$AP$3</f>
        <v>0.83448287524058606</v>
      </c>
      <c r="X186" t="str">
        <f>IF(Table1[[#This Row],[Cumulative_Value_%]]&lt;80%,"A", IF(Table1[[#This Row],[Cumulative_Value_%]]&lt;=95%,"B","C"))</f>
        <v>B</v>
      </c>
      <c r="Y186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186">
        <f>Table1[[#This Row],[Consumption]]/365</f>
        <v>1.9178082191780823E-2</v>
      </c>
      <c r="AA186">
        <f>Table1[[#This Row],[Avg_Daily_Consumption]]*Table1[[#This Row],[Lead_Time_Days]]+Table1[[#This Row],[Safety_Stock]]</f>
        <v>1.6136986301369864</v>
      </c>
      <c r="AB186">
        <f>IFERROR(Table1[[#This Row],[Closing_Stock]]/Table1[[#This Row],[Avg_Daily_Consumption]],9999)</f>
        <v>1095</v>
      </c>
      <c r="AC186">
        <f>MAX(1,ROUNDUP(Table1[[#This Row],[Avg_Daily_Consumption]]*Table1[[#This Row],[Lead_Time_Days]]*0.8,0))</f>
        <v>1</v>
      </c>
      <c r="AD186" t="str">
        <f>IF(Table1[[#This Row],[Closing_Stock]]&lt;Table1[[#This Row],[Reorder_Point]],"Stock-out Risk","Adequate")</f>
        <v>Adequate</v>
      </c>
      <c r="AE186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186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186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186" s="11">
        <f>MAX(0,Table1[[#This Row],[Closing_Stock]]-Table1[[#This Row],[Reorder_Point]])</f>
        <v>19.386301369863013</v>
      </c>
      <c r="AI186" s="11">
        <f>Table1[[#This Row],[Excess_Stock_Units]]*Table1[[#This Row],[Unit_Cost_INR]]</f>
        <v>103135.12328767123</v>
      </c>
      <c r="AJ186" s="11">
        <f>IF(Table1[[#This Row],[Criticality]]="Critical",0,Table1[[#This Row],[Excess_Inventory_Value_INR]])</f>
        <v>103135.12328767123</v>
      </c>
      <c r="AK186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187" spans="1:37" x14ac:dyDescent="0.25">
      <c r="A187" t="s">
        <v>84</v>
      </c>
      <c r="B187" t="s">
        <v>85</v>
      </c>
      <c r="C187" t="s">
        <v>41</v>
      </c>
      <c r="D187" t="s">
        <v>21</v>
      </c>
      <c r="E187" t="s">
        <v>46</v>
      </c>
      <c r="F187">
        <v>48</v>
      </c>
      <c r="G187">
        <v>53</v>
      </c>
      <c r="H187">
        <v>36</v>
      </c>
      <c r="I187">
        <v>65</v>
      </c>
      <c r="J187">
        <v>1680</v>
      </c>
      <c r="K187">
        <v>22</v>
      </c>
      <c r="L187">
        <v>1</v>
      </c>
      <c r="M187">
        <v>18</v>
      </c>
      <c r="N187" t="s">
        <v>58</v>
      </c>
      <c r="O187">
        <v>0.3</v>
      </c>
      <c r="P187">
        <v>32760</v>
      </c>
      <c r="Q187">
        <f>(Table1[[#This Row],[Closing_Stock]]*Table1[[#This Row],[Unit_Cost_INR]])</f>
        <v>109200</v>
      </c>
      <c r="R187">
        <f>(Table1[[#This Row],[Unit_Cost_INR]]*Table1[[#This Row],[Consumption]])</f>
        <v>60480</v>
      </c>
      <c r="S187">
        <f>IFERROR(Table1[[#This Row],[Annual_Consumption_Value_INR]]/Table1[[#This Row],[Inventory_Value_INR]],0)</f>
        <v>0.55384615384615388</v>
      </c>
      <c r="T187">
        <f>IFERROR(365/Table1[[#This Row],[Inventory_Turnover]],0)</f>
        <v>659.02777777777771</v>
      </c>
      <c r="U187" t="str">
        <f>IF(Table1[[#This Row],[Consumption]]=0,"Non-Moving", IF(Table1[[#This Row],[Days_Since_Last_Movement]]&gt;90,"Slow-Moving","Active"))</f>
        <v>Active</v>
      </c>
      <c r="V187">
        <f>SUM($Q$2:Q187)</f>
        <v>63275690</v>
      </c>
      <c r="W187">
        <f>Table1[[#This Row],[Cumulative_Inventory_Value]]/$AP$3</f>
        <v>0.83592549980269604</v>
      </c>
      <c r="X187" t="str">
        <f>IF(Table1[[#This Row],[Cumulative_Value_%]]&lt;80%,"A", IF(Table1[[#This Row],[Cumulative_Value_%]]&lt;=95%,"B","C"))</f>
        <v>B</v>
      </c>
      <c r="Y187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187">
        <f>Table1[[#This Row],[Consumption]]/365</f>
        <v>9.8630136986301367E-2</v>
      </c>
      <c r="AA187">
        <f>Table1[[#This Row],[Avg_Daily_Consumption]]*Table1[[#This Row],[Lead_Time_Days]]+Table1[[#This Row],[Safety_Stock]]</f>
        <v>4.1698630136986301</v>
      </c>
      <c r="AB187">
        <f>IFERROR(Table1[[#This Row],[Closing_Stock]]/Table1[[#This Row],[Avg_Daily_Consumption]],9999)</f>
        <v>659.02777777777783</v>
      </c>
      <c r="AC187">
        <f>MAX(1,ROUNDUP(Table1[[#This Row],[Avg_Daily_Consumption]]*Table1[[#This Row],[Lead_Time_Days]]*0.8,0))</f>
        <v>2</v>
      </c>
      <c r="AD187" t="str">
        <f>IF(Table1[[#This Row],[Closing_Stock]]&lt;Table1[[#This Row],[Reorder_Point]],"Stock-out Risk","Adequate")</f>
        <v>Adequate</v>
      </c>
      <c r="AE187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187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187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187" s="11">
        <f>MAX(0,Table1[[#This Row],[Closing_Stock]]-Table1[[#This Row],[Reorder_Point]])</f>
        <v>60.830136986301369</v>
      </c>
      <c r="AI187" s="11">
        <f>Table1[[#This Row],[Excess_Stock_Units]]*Table1[[#This Row],[Unit_Cost_INR]]</f>
        <v>102194.63013698631</v>
      </c>
      <c r="AJ187" s="11">
        <f>IF(Table1[[#This Row],[Criticality]]="Critical",0,Table1[[#This Row],[Excess_Inventory_Value_INR]])</f>
        <v>102194.63013698631</v>
      </c>
      <c r="AK187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188" spans="1:37" x14ac:dyDescent="0.25">
      <c r="A188" t="s">
        <v>446</v>
      </c>
      <c r="B188" t="s">
        <v>56</v>
      </c>
      <c r="C188" t="s">
        <v>32</v>
      </c>
      <c r="D188" t="s">
        <v>27</v>
      </c>
      <c r="E188" t="s">
        <v>46</v>
      </c>
      <c r="F188">
        <v>34</v>
      </c>
      <c r="G188">
        <v>46</v>
      </c>
      <c r="H188">
        <v>45</v>
      </c>
      <c r="I188">
        <v>35</v>
      </c>
      <c r="J188">
        <v>3120</v>
      </c>
      <c r="K188">
        <v>31</v>
      </c>
      <c r="L188">
        <v>0</v>
      </c>
      <c r="M188">
        <v>11</v>
      </c>
      <c r="N188" t="s">
        <v>58</v>
      </c>
      <c r="O188">
        <v>0.20499999999999999</v>
      </c>
      <c r="P188">
        <v>22386</v>
      </c>
      <c r="Q188">
        <f>(Table1[[#This Row],[Closing_Stock]]*Table1[[#This Row],[Unit_Cost_INR]])</f>
        <v>109200</v>
      </c>
      <c r="R188">
        <f>(Table1[[#This Row],[Unit_Cost_INR]]*Table1[[#This Row],[Consumption]])</f>
        <v>140400</v>
      </c>
      <c r="S188">
        <f>IFERROR(Table1[[#This Row],[Annual_Consumption_Value_INR]]/Table1[[#This Row],[Inventory_Value_INR]],0)</f>
        <v>1.2857142857142858</v>
      </c>
      <c r="T188">
        <f>IFERROR(365/Table1[[#This Row],[Inventory_Turnover]],0)</f>
        <v>283.88888888888886</v>
      </c>
      <c r="U188" t="str">
        <f>IF(Table1[[#This Row],[Consumption]]=0,"Non-Moving", IF(Table1[[#This Row],[Days_Since_Last_Movement]]&gt;90,"Slow-Moving","Active"))</f>
        <v>Active</v>
      </c>
      <c r="V188">
        <f>SUM($Q$2:Q188)</f>
        <v>63384890</v>
      </c>
      <c r="W188">
        <f>Table1[[#This Row],[Cumulative_Inventory_Value]]/$AP$3</f>
        <v>0.8373681243648059</v>
      </c>
      <c r="X188" t="str">
        <f>IF(Table1[[#This Row],[Cumulative_Value_%]]&lt;80%,"A", IF(Table1[[#This Row],[Cumulative_Value_%]]&lt;=95%,"B","C"))</f>
        <v>B</v>
      </c>
      <c r="Y188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188">
        <f>Table1[[#This Row],[Consumption]]/365</f>
        <v>0.12328767123287671</v>
      </c>
      <c r="AA188">
        <f>Table1[[#This Row],[Avg_Daily_Consumption]]*Table1[[#This Row],[Lead_Time_Days]]+Table1[[#This Row],[Safety_Stock]]</f>
        <v>7.8219178082191778</v>
      </c>
      <c r="AB188">
        <f>IFERROR(Table1[[#This Row],[Closing_Stock]]/Table1[[#This Row],[Avg_Daily_Consumption]],9999)</f>
        <v>283.88888888888891</v>
      </c>
      <c r="AC188">
        <f>MAX(1,ROUNDUP(Table1[[#This Row],[Avg_Daily_Consumption]]*Table1[[#This Row],[Lead_Time_Days]]*0.8,0))</f>
        <v>4</v>
      </c>
      <c r="AD188" t="str">
        <f>IF(Table1[[#This Row],[Closing_Stock]]&lt;Table1[[#This Row],[Reorder_Point]],"Stock-out Risk","Adequate")</f>
        <v>Adequate</v>
      </c>
      <c r="AE188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188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188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188" s="11">
        <f>MAX(0,Table1[[#This Row],[Closing_Stock]]-Table1[[#This Row],[Reorder_Point]])</f>
        <v>27.178082191780824</v>
      </c>
      <c r="AI188" s="11">
        <f>Table1[[#This Row],[Excess_Stock_Units]]*Table1[[#This Row],[Unit_Cost_INR]]</f>
        <v>84795.61643835617</v>
      </c>
      <c r="AJ188" s="11">
        <f>IF(Table1[[#This Row],[Criticality]]="Critical",0,Table1[[#This Row],[Excess_Inventory_Value_INR]])</f>
        <v>84795.61643835617</v>
      </c>
      <c r="AK188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189" spans="1:37" x14ac:dyDescent="0.25">
      <c r="A189" t="s">
        <v>314</v>
      </c>
      <c r="B189" t="s">
        <v>184</v>
      </c>
      <c r="C189" t="s">
        <v>26</v>
      </c>
      <c r="D189" t="s">
        <v>21</v>
      </c>
      <c r="E189" t="s">
        <v>46</v>
      </c>
      <c r="F189">
        <v>72</v>
      </c>
      <c r="G189">
        <v>86</v>
      </c>
      <c r="H189">
        <v>55</v>
      </c>
      <c r="I189">
        <v>103</v>
      </c>
      <c r="J189">
        <v>1060</v>
      </c>
      <c r="K189">
        <v>19</v>
      </c>
      <c r="L189">
        <v>1</v>
      </c>
      <c r="M189">
        <v>143</v>
      </c>
      <c r="N189" t="s">
        <v>81</v>
      </c>
      <c r="O189">
        <v>0.22500000000000001</v>
      </c>
      <c r="P189">
        <v>24565.5</v>
      </c>
      <c r="Q189">
        <f>(Table1[[#This Row],[Closing_Stock]]*Table1[[#This Row],[Unit_Cost_INR]])</f>
        <v>109180</v>
      </c>
      <c r="R189">
        <f>(Table1[[#This Row],[Unit_Cost_INR]]*Table1[[#This Row],[Consumption]])</f>
        <v>58300</v>
      </c>
      <c r="S189">
        <f>IFERROR(Table1[[#This Row],[Annual_Consumption_Value_INR]]/Table1[[#This Row],[Inventory_Value_INR]],0)</f>
        <v>0.53398058252427183</v>
      </c>
      <c r="T189">
        <f>IFERROR(365/Table1[[#This Row],[Inventory_Turnover]],0)</f>
        <v>683.54545454545462</v>
      </c>
      <c r="U189" t="str">
        <f>IF(Table1[[#This Row],[Consumption]]=0,"Non-Moving", IF(Table1[[#This Row],[Days_Since_Last_Movement]]&gt;90,"Slow-Moving","Active"))</f>
        <v>Slow-Moving</v>
      </c>
      <c r="V189">
        <f>SUM($Q$2:Q189)</f>
        <v>63494070</v>
      </c>
      <c r="W189">
        <f>Table1[[#This Row],[Cumulative_Inventory_Value]]/$AP$3</f>
        <v>0.83881048470996311</v>
      </c>
      <c r="X189" t="str">
        <f>IF(Table1[[#This Row],[Cumulative_Value_%]]&lt;80%,"A", IF(Table1[[#This Row],[Cumulative_Value_%]]&lt;=95%,"B","C"))</f>
        <v>B</v>
      </c>
      <c r="Y189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189">
        <f>Table1[[#This Row],[Consumption]]/365</f>
        <v>0.15068493150684931</v>
      </c>
      <c r="AA189">
        <f>Table1[[#This Row],[Avg_Daily_Consumption]]*Table1[[#This Row],[Lead_Time_Days]]+Table1[[#This Row],[Safety_Stock]]</f>
        <v>5.8630136986301373</v>
      </c>
      <c r="AB189">
        <f>IFERROR(Table1[[#This Row],[Closing_Stock]]/Table1[[#This Row],[Avg_Daily_Consumption]],9999)</f>
        <v>683.54545454545462</v>
      </c>
      <c r="AC189">
        <f>MAX(1,ROUNDUP(Table1[[#This Row],[Avg_Daily_Consumption]]*Table1[[#This Row],[Lead_Time_Days]]*0.8,0))</f>
        <v>3</v>
      </c>
      <c r="AD189" t="str">
        <f>IF(Table1[[#This Row],[Closing_Stock]]&lt;Table1[[#This Row],[Reorder_Point]],"Stock-out Risk","Adequate")</f>
        <v>Adequate</v>
      </c>
      <c r="AE189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189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189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189" s="11">
        <f>MAX(0,Table1[[#This Row],[Closing_Stock]]-Table1[[#This Row],[Reorder_Point]])</f>
        <v>97.136986301369859</v>
      </c>
      <c r="AI189" s="11">
        <f>Table1[[#This Row],[Excess_Stock_Units]]*Table1[[#This Row],[Unit_Cost_INR]]</f>
        <v>102965.20547945205</v>
      </c>
      <c r="AJ189" s="11">
        <f>IF(Table1[[#This Row],[Criticality]]="Critical",0,Table1[[#This Row],[Excess_Inventory_Value_INR]])</f>
        <v>102965.20547945205</v>
      </c>
      <c r="AK189" s="11">
        <f>IF(AND(Table1[[#This Row],[Criticality]]&lt;&gt;"Critical",OR(Table1[[#This Row],[Movement_Class]]="Slow-Moving",Table1[[#This Row],[Movement_Class]]="Non-Moving")),Table1[[#This Row],[Excess_Inventory_Value_INR]],0)</f>
        <v>102965.20547945205</v>
      </c>
    </row>
    <row r="190" spans="1:37" x14ac:dyDescent="0.25">
      <c r="A190" t="s">
        <v>481</v>
      </c>
      <c r="B190" t="s">
        <v>184</v>
      </c>
      <c r="C190" t="s">
        <v>26</v>
      </c>
      <c r="D190" t="s">
        <v>42</v>
      </c>
      <c r="E190" t="s">
        <v>22</v>
      </c>
      <c r="F190">
        <v>34</v>
      </c>
      <c r="G190">
        <v>30</v>
      </c>
      <c r="H190">
        <v>24</v>
      </c>
      <c r="I190">
        <v>40</v>
      </c>
      <c r="J190">
        <v>2720</v>
      </c>
      <c r="K190">
        <v>14</v>
      </c>
      <c r="L190">
        <v>0</v>
      </c>
      <c r="M190">
        <v>90</v>
      </c>
      <c r="N190" t="s">
        <v>49</v>
      </c>
      <c r="O190">
        <v>0.26100000000000001</v>
      </c>
      <c r="P190">
        <v>28396.799999999999</v>
      </c>
      <c r="Q190">
        <f>(Table1[[#This Row],[Closing_Stock]]*Table1[[#This Row],[Unit_Cost_INR]])</f>
        <v>108800</v>
      </c>
      <c r="R190">
        <f>(Table1[[#This Row],[Unit_Cost_INR]]*Table1[[#This Row],[Consumption]])</f>
        <v>65280</v>
      </c>
      <c r="S190">
        <f>IFERROR(Table1[[#This Row],[Annual_Consumption_Value_INR]]/Table1[[#This Row],[Inventory_Value_INR]],0)</f>
        <v>0.6</v>
      </c>
      <c r="T190">
        <f>IFERROR(365/Table1[[#This Row],[Inventory_Turnover]],0)</f>
        <v>608.33333333333337</v>
      </c>
      <c r="U190" t="str">
        <f>IF(Table1[[#This Row],[Consumption]]=0,"Non-Moving", IF(Table1[[#This Row],[Days_Since_Last_Movement]]&gt;90,"Slow-Moving","Active"))</f>
        <v>Active</v>
      </c>
      <c r="V190">
        <f>SUM($Q$2:Q190)</f>
        <v>63602870</v>
      </c>
      <c r="W190">
        <f>Table1[[#This Row],[Cumulative_Inventory_Value]]/$AP$3</f>
        <v>0.84024782493301775</v>
      </c>
      <c r="X190" t="str">
        <f>IF(Table1[[#This Row],[Cumulative_Value_%]]&lt;80%,"A", IF(Table1[[#This Row],[Cumulative_Value_%]]&lt;=95%,"B","C"))</f>
        <v>B</v>
      </c>
      <c r="Y190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190">
        <f>Table1[[#This Row],[Consumption]]/365</f>
        <v>6.575342465753424E-2</v>
      </c>
      <c r="AA190">
        <f>Table1[[#This Row],[Avg_Daily_Consumption]]*Table1[[#This Row],[Lead_Time_Days]]+Table1[[#This Row],[Safety_Stock]]</f>
        <v>1.9205479452054792</v>
      </c>
      <c r="AB190">
        <f>IFERROR(Table1[[#This Row],[Closing_Stock]]/Table1[[#This Row],[Avg_Daily_Consumption]],9999)</f>
        <v>608.33333333333337</v>
      </c>
      <c r="AC190">
        <f>MAX(1,ROUNDUP(Table1[[#This Row],[Avg_Daily_Consumption]]*Table1[[#This Row],[Lead_Time_Days]]*0.8,0))</f>
        <v>1</v>
      </c>
      <c r="AD190" t="str">
        <f>IF(Table1[[#This Row],[Closing_Stock]]&lt;Table1[[#This Row],[Reorder_Point]],"Stock-out Risk","Adequate")</f>
        <v>Adequate</v>
      </c>
      <c r="AE190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190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190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190" s="11">
        <f>MAX(0,Table1[[#This Row],[Closing_Stock]]-Table1[[#This Row],[Reorder_Point]])</f>
        <v>38.079452054794523</v>
      </c>
      <c r="AI190" s="11">
        <f>Table1[[#This Row],[Excess_Stock_Units]]*Table1[[#This Row],[Unit_Cost_INR]]</f>
        <v>103576.10958904109</v>
      </c>
      <c r="AJ190" s="11">
        <f>IF(Table1[[#This Row],[Criticality]]="Critical",0,Table1[[#This Row],[Excess_Inventory_Value_INR]])</f>
        <v>103576.10958904109</v>
      </c>
      <c r="AK190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191" spans="1:37" x14ac:dyDescent="0.25">
      <c r="A191" t="s">
        <v>347</v>
      </c>
      <c r="B191" t="s">
        <v>99</v>
      </c>
      <c r="C191" t="s">
        <v>20</v>
      </c>
      <c r="D191" t="s">
        <v>21</v>
      </c>
      <c r="E191" t="s">
        <v>46</v>
      </c>
      <c r="F191">
        <v>25</v>
      </c>
      <c r="G191">
        <v>23</v>
      </c>
      <c r="H191">
        <v>21</v>
      </c>
      <c r="I191">
        <v>27</v>
      </c>
      <c r="J191">
        <v>4000</v>
      </c>
      <c r="K191">
        <v>37</v>
      </c>
      <c r="L191">
        <v>0</v>
      </c>
      <c r="M191">
        <v>55</v>
      </c>
      <c r="N191" t="s">
        <v>33</v>
      </c>
      <c r="O191">
        <v>0.20399999999999999</v>
      </c>
      <c r="P191">
        <v>22032</v>
      </c>
      <c r="Q191">
        <f>(Table1[[#This Row],[Closing_Stock]]*Table1[[#This Row],[Unit_Cost_INR]])</f>
        <v>108000</v>
      </c>
      <c r="R191">
        <f>(Table1[[#This Row],[Unit_Cost_INR]]*Table1[[#This Row],[Consumption]])</f>
        <v>84000</v>
      </c>
      <c r="S191">
        <f>IFERROR(Table1[[#This Row],[Annual_Consumption_Value_INR]]/Table1[[#This Row],[Inventory_Value_INR]],0)</f>
        <v>0.77777777777777779</v>
      </c>
      <c r="T191">
        <f>IFERROR(365/Table1[[#This Row],[Inventory_Turnover]],0)</f>
        <v>469.28571428571428</v>
      </c>
      <c r="U191" t="str">
        <f>IF(Table1[[#This Row],[Consumption]]=0,"Non-Moving", IF(Table1[[#This Row],[Days_Since_Last_Movement]]&gt;90,"Slow-Moving","Active"))</f>
        <v>Active</v>
      </c>
      <c r="V191">
        <f>SUM($Q$2:Q191)</f>
        <v>63710870</v>
      </c>
      <c r="W191">
        <f>Table1[[#This Row],[Cumulative_Inventory_Value]]/$AP$3</f>
        <v>0.84167459647796161</v>
      </c>
      <c r="X191" t="str">
        <f>IF(Table1[[#This Row],[Cumulative_Value_%]]&lt;80%,"A", IF(Table1[[#This Row],[Cumulative_Value_%]]&lt;=95%,"B","C"))</f>
        <v>B</v>
      </c>
      <c r="Y191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191">
        <f>Table1[[#This Row],[Consumption]]/365</f>
        <v>5.7534246575342465E-2</v>
      </c>
      <c r="AA191">
        <f>Table1[[#This Row],[Avg_Daily_Consumption]]*Table1[[#This Row],[Lead_Time_Days]]+Table1[[#This Row],[Safety_Stock]]</f>
        <v>4.1287671232876715</v>
      </c>
      <c r="AB191">
        <f>IFERROR(Table1[[#This Row],[Closing_Stock]]/Table1[[#This Row],[Avg_Daily_Consumption]],9999)</f>
        <v>469.28571428571428</v>
      </c>
      <c r="AC191">
        <f>MAX(1,ROUNDUP(Table1[[#This Row],[Avg_Daily_Consumption]]*Table1[[#This Row],[Lead_Time_Days]]*0.8,0))</f>
        <v>2</v>
      </c>
      <c r="AD191" t="str">
        <f>IF(Table1[[#This Row],[Closing_Stock]]&lt;Table1[[#This Row],[Reorder_Point]],"Stock-out Risk","Adequate")</f>
        <v>Adequate</v>
      </c>
      <c r="AE191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191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191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191" s="11">
        <f>MAX(0,Table1[[#This Row],[Closing_Stock]]-Table1[[#This Row],[Reorder_Point]])</f>
        <v>22.871232876712327</v>
      </c>
      <c r="AI191" s="11">
        <f>Table1[[#This Row],[Excess_Stock_Units]]*Table1[[#This Row],[Unit_Cost_INR]]</f>
        <v>91484.931506849302</v>
      </c>
      <c r="AJ191" s="11">
        <f>IF(Table1[[#This Row],[Criticality]]="Critical",0,Table1[[#This Row],[Excess_Inventory_Value_INR]])</f>
        <v>91484.931506849302</v>
      </c>
      <c r="AK191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192" spans="1:37" x14ac:dyDescent="0.25">
      <c r="A192" t="s">
        <v>183</v>
      </c>
      <c r="B192" t="s">
        <v>184</v>
      </c>
      <c r="C192" t="s">
        <v>26</v>
      </c>
      <c r="D192" t="s">
        <v>27</v>
      </c>
      <c r="E192" t="s">
        <v>22</v>
      </c>
      <c r="F192">
        <v>41</v>
      </c>
      <c r="G192">
        <v>71</v>
      </c>
      <c r="H192">
        <v>48</v>
      </c>
      <c r="I192">
        <v>82</v>
      </c>
      <c r="J192">
        <v>1310</v>
      </c>
      <c r="K192">
        <v>11</v>
      </c>
      <c r="L192">
        <v>0</v>
      </c>
      <c r="M192">
        <v>12</v>
      </c>
      <c r="N192" t="s">
        <v>23</v>
      </c>
      <c r="O192">
        <v>0.154</v>
      </c>
      <c r="P192">
        <v>16542.68</v>
      </c>
      <c r="Q192">
        <f>(Table1[[#This Row],[Closing_Stock]]*Table1[[#This Row],[Unit_Cost_INR]])</f>
        <v>107420</v>
      </c>
      <c r="R192">
        <f>(Table1[[#This Row],[Unit_Cost_INR]]*Table1[[#This Row],[Consumption]])</f>
        <v>62880</v>
      </c>
      <c r="S192">
        <f>IFERROR(Table1[[#This Row],[Annual_Consumption_Value_INR]]/Table1[[#This Row],[Inventory_Value_INR]],0)</f>
        <v>0.58536585365853655</v>
      </c>
      <c r="T192">
        <f>IFERROR(365/Table1[[#This Row],[Inventory_Turnover]],0)</f>
        <v>623.54166666666674</v>
      </c>
      <c r="U192" t="str">
        <f>IF(Table1[[#This Row],[Consumption]]=0,"Non-Moving", IF(Table1[[#This Row],[Days_Since_Last_Movement]]&gt;90,"Slow-Moving","Active"))</f>
        <v>Active</v>
      </c>
      <c r="V192">
        <f>SUM($Q$2:Q192)</f>
        <v>63818290</v>
      </c>
      <c r="W192">
        <f>Table1[[#This Row],[Cumulative_Inventory_Value]]/$AP$3</f>
        <v>0.84309370573127529</v>
      </c>
      <c r="X192" t="str">
        <f>IF(Table1[[#This Row],[Cumulative_Value_%]]&lt;80%,"A", IF(Table1[[#This Row],[Cumulative_Value_%]]&lt;=95%,"B","C"))</f>
        <v>B</v>
      </c>
      <c r="Y192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192">
        <f>Table1[[#This Row],[Consumption]]/365</f>
        <v>0.13150684931506848</v>
      </c>
      <c r="AA192">
        <f>Table1[[#This Row],[Avg_Daily_Consumption]]*Table1[[#This Row],[Lead_Time_Days]]+Table1[[#This Row],[Safety_Stock]]</f>
        <v>3.4465753424657533</v>
      </c>
      <c r="AB192">
        <f>IFERROR(Table1[[#This Row],[Closing_Stock]]/Table1[[#This Row],[Avg_Daily_Consumption]],9999)</f>
        <v>623.54166666666674</v>
      </c>
      <c r="AC192">
        <f>MAX(1,ROUNDUP(Table1[[#This Row],[Avg_Daily_Consumption]]*Table1[[#This Row],[Lead_Time_Days]]*0.8,0))</f>
        <v>2</v>
      </c>
      <c r="AD192" t="str">
        <f>IF(Table1[[#This Row],[Closing_Stock]]&lt;Table1[[#This Row],[Reorder_Point]],"Stock-out Risk","Adequate")</f>
        <v>Adequate</v>
      </c>
      <c r="AE192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192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192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192" s="11">
        <f>MAX(0,Table1[[#This Row],[Closing_Stock]]-Table1[[#This Row],[Reorder_Point]])</f>
        <v>78.553424657534251</v>
      </c>
      <c r="AI192" s="11">
        <f>Table1[[#This Row],[Excess_Stock_Units]]*Table1[[#This Row],[Unit_Cost_INR]]</f>
        <v>102904.98630136986</v>
      </c>
      <c r="AJ192" s="11">
        <f>IF(Table1[[#This Row],[Criticality]]="Critical",0,Table1[[#This Row],[Excess_Inventory_Value_INR]])</f>
        <v>102904.98630136986</v>
      </c>
      <c r="AK192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193" spans="1:37" x14ac:dyDescent="0.25">
      <c r="A193" t="s">
        <v>123</v>
      </c>
      <c r="B193" t="s">
        <v>48</v>
      </c>
      <c r="C193" t="s">
        <v>41</v>
      </c>
      <c r="D193" t="s">
        <v>60</v>
      </c>
      <c r="E193" t="s">
        <v>28</v>
      </c>
      <c r="F193">
        <v>98</v>
      </c>
      <c r="G193">
        <v>103</v>
      </c>
      <c r="H193">
        <v>97</v>
      </c>
      <c r="I193">
        <v>104</v>
      </c>
      <c r="J193">
        <v>1020</v>
      </c>
      <c r="K193">
        <v>37</v>
      </c>
      <c r="L193">
        <v>1</v>
      </c>
      <c r="M193">
        <v>56</v>
      </c>
      <c r="N193" t="s">
        <v>81</v>
      </c>
      <c r="O193">
        <v>0.27500000000000002</v>
      </c>
      <c r="P193">
        <v>29172</v>
      </c>
      <c r="Q193">
        <f>(Table1[[#This Row],[Closing_Stock]]*Table1[[#This Row],[Unit_Cost_INR]])</f>
        <v>106080</v>
      </c>
      <c r="R193">
        <f>(Table1[[#This Row],[Unit_Cost_INR]]*Table1[[#This Row],[Consumption]])</f>
        <v>98940</v>
      </c>
      <c r="S193">
        <f>IFERROR(Table1[[#This Row],[Annual_Consumption_Value_INR]]/Table1[[#This Row],[Inventory_Value_INR]],0)</f>
        <v>0.93269230769230771</v>
      </c>
      <c r="T193">
        <f>IFERROR(365/Table1[[#This Row],[Inventory_Turnover]],0)</f>
        <v>391.34020618556701</v>
      </c>
      <c r="U193" t="str">
        <f>IF(Table1[[#This Row],[Consumption]]=0,"Non-Moving", IF(Table1[[#This Row],[Days_Since_Last_Movement]]&gt;90,"Slow-Moving","Active"))</f>
        <v>Active</v>
      </c>
      <c r="V193">
        <f>SUM($Q$2:Q193)</f>
        <v>63924370</v>
      </c>
      <c r="W193">
        <f>Table1[[#This Row],[Cumulative_Inventory_Value]]/$AP$3</f>
        <v>0.84449511244875342</v>
      </c>
      <c r="X193" t="str">
        <f>IF(Table1[[#This Row],[Cumulative_Value_%]]&lt;80%,"A", IF(Table1[[#This Row],[Cumulative_Value_%]]&lt;=95%,"B","C"))</f>
        <v>B</v>
      </c>
      <c r="Y193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193">
        <f>Table1[[#This Row],[Consumption]]/365</f>
        <v>0.26575342465753427</v>
      </c>
      <c r="AA193">
        <f>Table1[[#This Row],[Avg_Daily_Consumption]]*Table1[[#This Row],[Lead_Time_Days]]+Table1[[#This Row],[Safety_Stock]]</f>
        <v>17.832876712328769</v>
      </c>
      <c r="AB193">
        <f>IFERROR(Table1[[#This Row],[Closing_Stock]]/Table1[[#This Row],[Avg_Daily_Consumption]],9999)</f>
        <v>391.34020618556696</v>
      </c>
      <c r="AC193">
        <f>MAX(1,ROUNDUP(Table1[[#This Row],[Avg_Daily_Consumption]]*Table1[[#This Row],[Lead_Time_Days]]*0.8,0))</f>
        <v>8</v>
      </c>
      <c r="AD193" t="str">
        <f>IF(Table1[[#This Row],[Closing_Stock]]&lt;Table1[[#This Row],[Reorder_Point]],"Stock-out Risk","Adequate")</f>
        <v>Adequate</v>
      </c>
      <c r="AE193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193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193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193" s="11">
        <f>MAX(0,Table1[[#This Row],[Closing_Stock]]-Table1[[#This Row],[Reorder_Point]])</f>
        <v>86.167123287671231</v>
      </c>
      <c r="AI193" s="11">
        <f>Table1[[#This Row],[Excess_Stock_Units]]*Table1[[#This Row],[Unit_Cost_INR]]</f>
        <v>87890.465753424651</v>
      </c>
      <c r="AJ193" s="11">
        <f>IF(Table1[[#This Row],[Criticality]]="Critical",0,Table1[[#This Row],[Excess_Inventory_Value_INR]])</f>
        <v>87890.465753424651</v>
      </c>
      <c r="AK193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194" spans="1:37" x14ac:dyDescent="0.25">
      <c r="A194" t="s">
        <v>138</v>
      </c>
      <c r="B194" t="s">
        <v>56</v>
      </c>
      <c r="C194" t="s">
        <v>32</v>
      </c>
      <c r="D194" t="s">
        <v>27</v>
      </c>
      <c r="E194" t="s">
        <v>37</v>
      </c>
      <c r="F194">
        <v>15</v>
      </c>
      <c r="G194">
        <v>13</v>
      </c>
      <c r="H194">
        <v>7</v>
      </c>
      <c r="I194">
        <v>60</v>
      </c>
      <c r="J194">
        <v>1760</v>
      </c>
      <c r="K194">
        <v>37</v>
      </c>
      <c r="L194">
        <v>0</v>
      </c>
      <c r="M194">
        <v>310</v>
      </c>
      <c r="N194" t="s">
        <v>38</v>
      </c>
      <c r="O194">
        <v>0.27500000000000002</v>
      </c>
      <c r="P194">
        <v>29040</v>
      </c>
      <c r="Q194">
        <f>(Table1[[#This Row],[Closing_Stock]]*Table1[[#This Row],[Unit_Cost_INR]])</f>
        <v>105600</v>
      </c>
      <c r="R194">
        <f>(Table1[[#This Row],[Unit_Cost_INR]]*Table1[[#This Row],[Consumption]])</f>
        <v>12320</v>
      </c>
      <c r="S194">
        <f>IFERROR(Table1[[#This Row],[Annual_Consumption_Value_INR]]/Table1[[#This Row],[Inventory_Value_INR]],0)</f>
        <v>0.11666666666666667</v>
      </c>
      <c r="T194">
        <f>IFERROR(365/Table1[[#This Row],[Inventory_Turnover]],0)</f>
        <v>3128.5714285714284</v>
      </c>
      <c r="U194" t="str">
        <f>IF(Table1[[#This Row],[Consumption]]=0,"Non-Moving", IF(Table1[[#This Row],[Days_Since_Last_Movement]]&gt;90,"Slow-Moving","Active"))</f>
        <v>Slow-Moving</v>
      </c>
      <c r="V194">
        <f>SUM($Q$2:Q194)</f>
        <v>64029970</v>
      </c>
      <c r="W194">
        <f>Table1[[#This Row],[Cumulative_Inventory_Value]]/$AP$3</f>
        <v>0.84589017795936527</v>
      </c>
      <c r="X194" t="str">
        <f>IF(Table1[[#This Row],[Cumulative_Value_%]]&lt;80%,"A", IF(Table1[[#This Row],[Cumulative_Value_%]]&lt;=95%,"B","C"))</f>
        <v>B</v>
      </c>
      <c r="Y194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194">
        <f>Table1[[#This Row],[Consumption]]/365</f>
        <v>1.9178082191780823E-2</v>
      </c>
      <c r="AA194">
        <f>Table1[[#This Row],[Avg_Daily_Consumption]]*Table1[[#This Row],[Lead_Time_Days]]+Table1[[#This Row],[Safety_Stock]]</f>
        <v>1.7095890410958905</v>
      </c>
      <c r="AB194">
        <f>IFERROR(Table1[[#This Row],[Closing_Stock]]/Table1[[#This Row],[Avg_Daily_Consumption]],9999)</f>
        <v>3128.5714285714284</v>
      </c>
      <c r="AC194">
        <f>MAX(1,ROUNDUP(Table1[[#This Row],[Avg_Daily_Consumption]]*Table1[[#This Row],[Lead_Time_Days]]*0.8,0))</f>
        <v>1</v>
      </c>
      <c r="AD194" t="str">
        <f>IF(Table1[[#This Row],[Closing_Stock]]&lt;Table1[[#This Row],[Reorder_Point]],"Stock-out Risk","Adequate")</f>
        <v>Adequate</v>
      </c>
      <c r="AE194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194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194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194" s="11">
        <f>MAX(0,Table1[[#This Row],[Closing_Stock]]-Table1[[#This Row],[Reorder_Point]])</f>
        <v>58.290410958904111</v>
      </c>
      <c r="AI194" s="11">
        <f>Table1[[#This Row],[Excess_Stock_Units]]*Table1[[#This Row],[Unit_Cost_INR]]</f>
        <v>102591.12328767123</v>
      </c>
      <c r="AJ194" s="11">
        <f>IF(Table1[[#This Row],[Criticality]]="Critical",0,Table1[[#This Row],[Excess_Inventory_Value_INR]])</f>
        <v>0</v>
      </c>
      <c r="AK194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195" spans="1:37" x14ac:dyDescent="0.25">
      <c r="A195" t="s">
        <v>216</v>
      </c>
      <c r="B195" t="s">
        <v>152</v>
      </c>
      <c r="C195" t="s">
        <v>20</v>
      </c>
      <c r="D195" t="s">
        <v>27</v>
      </c>
      <c r="E195" t="s">
        <v>28</v>
      </c>
      <c r="F195">
        <v>9</v>
      </c>
      <c r="G195">
        <v>3</v>
      </c>
      <c r="H195">
        <v>2</v>
      </c>
      <c r="I195">
        <v>28</v>
      </c>
      <c r="J195">
        <v>3770</v>
      </c>
      <c r="K195">
        <v>26</v>
      </c>
      <c r="L195">
        <v>0</v>
      </c>
      <c r="M195">
        <v>223</v>
      </c>
      <c r="N195" t="s">
        <v>49</v>
      </c>
      <c r="O195">
        <v>0.223</v>
      </c>
      <c r="P195">
        <v>23539.88</v>
      </c>
      <c r="Q195">
        <f>(Table1[[#This Row],[Closing_Stock]]*Table1[[#This Row],[Unit_Cost_INR]])</f>
        <v>105560</v>
      </c>
      <c r="R195">
        <f>(Table1[[#This Row],[Unit_Cost_INR]]*Table1[[#This Row],[Consumption]])</f>
        <v>7540</v>
      </c>
      <c r="S195">
        <f>IFERROR(Table1[[#This Row],[Annual_Consumption_Value_INR]]/Table1[[#This Row],[Inventory_Value_INR]],0)</f>
        <v>7.1428571428571425E-2</v>
      </c>
      <c r="T195">
        <f>IFERROR(365/Table1[[#This Row],[Inventory_Turnover]],0)</f>
        <v>5110</v>
      </c>
      <c r="U195" t="str">
        <f>IF(Table1[[#This Row],[Consumption]]=0,"Non-Moving", IF(Table1[[#This Row],[Days_Since_Last_Movement]]&gt;90,"Slow-Moving","Active"))</f>
        <v>Slow-Moving</v>
      </c>
      <c r="V195">
        <f>SUM($Q$2:Q195)</f>
        <v>64135530</v>
      </c>
      <c r="W195">
        <f>Table1[[#This Row],[Cumulative_Inventory_Value]]/$AP$3</f>
        <v>0.84728471503607161</v>
      </c>
      <c r="X195" t="str">
        <f>IF(Table1[[#This Row],[Cumulative_Value_%]]&lt;80%,"A", IF(Table1[[#This Row],[Cumulative_Value_%]]&lt;=95%,"B","C"))</f>
        <v>B</v>
      </c>
      <c r="Y195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195">
        <f>Table1[[#This Row],[Consumption]]/365</f>
        <v>5.4794520547945206E-3</v>
      </c>
      <c r="AA195">
        <f>Table1[[#This Row],[Avg_Daily_Consumption]]*Table1[[#This Row],[Lead_Time_Days]]+Table1[[#This Row],[Safety_Stock]]</f>
        <v>1.1424657534246576</v>
      </c>
      <c r="AB195">
        <f>IFERROR(Table1[[#This Row],[Closing_Stock]]/Table1[[#This Row],[Avg_Daily_Consumption]],9999)</f>
        <v>5110</v>
      </c>
      <c r="AC195">
        <f>MAX(1,ROUNDUP(Table1[[#This Row],[Avg_Daily_Consumption]]*Table1[[#This Row],[Lead_Time_Days]]*0.8,0))</f>
        <v>1</v>
      </c>
      <c r="AD195" t="str">
        <f>IF(Table1[[#This Row],[Closing_Stock]]&lt;Table1[[#This Row],[Reorder_Point]],"Stock-out Risk","Adequate")</f>
        <v>Adequate</v>
      </c>
      <c r="AE195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195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195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195" s="11">
        <f>MAX(0,Table1[[#This Row],[Closing_Stock]]-Table1[[#This Row],[Reorder_Point]])</f>
        <v>26.857534246575341</v>
      </c>
      <c r="AI195" s="11">
        <f>Table1[[#This Row],[Excess_Stock_Units]]*Table1[[#This Row],[Unit_Cost_INR]]</f>
        <v>101252.90410958903</v>
      </c>
      <c r="AJ195" s="11">
        <f>IF(Table1[[#This Row],[Criticality]]="Critical",0,Table1[[#This Row],[Excess_Inventory_Value_INR]])</f>
        <v>101252.90410958903</v>
      </c>
      <c r="AK195" s="11">
        <f>IF(AND(Table1[[#This Row],[Criticality]]&lt;&gt;"Critical",OR(Table1[[#This Row],[Movement_Class]]="Slow-Moving",Table1[[#This Row],[Movement_Class]]="Non-Moving")),Table1[[#This Row],[Excess_Inventory_Value_INR]],0)</f>
        <v>101252.90410958903</v>
      </c>
    </row>
    <row r="196" spans="1:37" x14ac:dyDescent="0.25">
      <c r="A196" t="s">
        <v>176</v>
      </c>
      <c r="B196" t="s">
        <v>48</v>
      </c>
      <c r="C196" t="s">
        <v>41</v>
      </c>
      <c r="D196" t="s">
        <v>21</v>
      </c>
      <c r="E196" t="s">
        <v>37</v>
      </c>
      <c r="F196">
        <v>23</v>
      </c>
      <c r="G196">
        <v>33</v>
      </c>
      <c r="H196">
        <v>22</v>
      </c>
      <c r="I196">
        <v>34</v>
      </c>
      <c r="J196">
        <v>3090</v>
      </c>
      <c r="K196">
        <v>21</v>
      </c>
      <c r="L196">
        <v>0</v>
      </c>
      <c r="M196">
        <v>36</v>
      </c>
      <c r="N196" t="s">
        <v>58</v>
      </c>
      <c r="O196">
        <v>0.26</v>
      </c>
      <c r="P196">
        <v>27315.599999999999</v>
      </c>
      <c r="Q196">
        <f>(Table1[[#This Row],[Closing_Stock]]*Table1[[#This Row],[Unit_Cost_INR]])</f>
        <v>105060</v>
      </c>
      <c r="R196">
        <f>(Table1[[#This Row],[Unit_Cost_INR]]*Table1[[#This Row],[Consumption]])</f>
        <v>67980</v>
      </c>
      <c r="S196">
        <f>IFERROR(Table1[[#This Row],[Annual_Consumption_Value_INR]]/Table1[[#This Row],[Inventory_Value_INR]],0)</f>
        <v>0.6470588235294118</v>
      </c>
      <c r="T196">
        <f>IFERROR(365/Table1[[#This Row],[Inventory_Turnover]],0)</f>
        <v>564.09090909090901</v>
      </c>
      <c r="U196" t="str">
        <f>IF(Table1[[#This Row],[Consumption]]=0,"Non-Moving", IF(Table1[[#This Row],[Days_Since_Last_Movement]]&gt;90,"Slow-Moving","Active"))</f>
        <v>Active</v>
      </c>
      <c r="V196">
        <f>SUM($Q$2:Q196)</f>
        <v>64240590</v>
      </c>
      <c r="W196">
        <f>Table1[[#This Row],[Cumulative_Inventory_Value]]/$AP$3</f>
        <v>0.8486726466889587</v>
      </c>
      <c r="X196" t="str">
        <f>IF(Table1[[#This Row],[Cumulative_Value_%]]&lt;80%,"A", IF(Table1[[#This Row],[Cumulative_Value_%]]&lt;=95%,"B","C"))</f>
        <v>B</v>
      </c>
      <c r="Y196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196">
        <f>Table1[[#This Row],[Consumption]]/365</f>
        <v>6.0273972602739728E-2</v>
      </c>
      <c r="AA196">
        <f>Table1[[#This Row],[Avg_Daily_Consumption]]*Table1[[#This Row],[Lead_Time_Days]]+Table1[[#This Row],[Safety_Stock]]</f>
        <v>3.2657534246575342</v>
      </c>
      <c r="AB196">
        <f>IFERROR(Table1[[#This Row],[Closing_Stock]]/Table1[[#This Row],[Avg_Daily_Consumption]],9999)</f>
        <v>564.09090909090912</v>
      </c>
      <c r="AC196">
        <f>MAX(1,ROUNDUP(Table1[[#This Row],[Avg_Daily_Consumption]]*Table1[[#This Row],[Lead_Time_Days]]*0.8,0))</f>
        <v>2</v>
      </c>
      <c r="AD196" t="str">
        <f>IF(Table1[[#This Row],[Closing_Stock]]&lt;Table1[[#This Row],[Reorder_Point]],"Stock-out Risk","Adequate")</f>
        <v>Adequate</v>
      </c>
      <c r="AE196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196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196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196" s="11">
        <f>MAX(0,Table1[[#This Row],[Closing_Stock]]-Table1[[#This Row],[Reorder_Point]])</f>
        <v>30.734246575342468</v>
      </c>
      <c r="AI196" s="11">
        <f>Table1[[#This Row],[Excess_Stock_Units]]*Table1[[#This Row],[Unit_Cost_INR]]</f>
        <v>94968.821917808222</v>
      </c>
      <c r="AJ196" s="11">
        <f>IF(Table1[[#This Row],[Criticality]]="Critical",0,Table1[[#This Row],[Excess_Inventory_Value_INR]])</f>
        <v>0</v>
      </c>
      <c r="AK196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197" spans="1:37" x14ac:dyDescent="0.25">
      <c r="A197" t="s">
        <v>478</v>
      </c>
      <c r="B197" t="s">
        <v>184</v>
      </c>
      <c r="C197" t="s">
        <v>26</v>
      </c>
      <c r="D197" t="s">
        <v>21</v>
      </c>
      <c r="E197" t="s">
        <v>46</v>
      </c>
      <c r="F197">
        <v>28</v>
      </c>
      <c r="G197">
        <v>90</v>
      </c>
      <c r="H197">
        <v>83</v>
      </c>
      <c r="I197">
        <v>35</v>
      </c>
      <c r="J197">
        <v>2950</v>
      </c>
      <c r="K197">
        <v>23</v>
      </c>
      <c r="L197">
        <v>0</v>
      </c>
      <c r="M197">
        <v>79</v>
      </c>
      <c r="N197" t="s">
        <v>61</v>
      </c>
      <c r="O197">
        <v>0.23699999999999999</v>
      </c>
      <c r="P197">
        <v>24470.25</v>
      </c>
      <c r="Q197">
        <f>(Table1[[#This Row],[Closing_Stock]]*Table1[[#This Row],[Unit_Cost_INR]])</f>
        <v>103250</v>
      </c>
      <c r="R197">
        <f>(Table1[[#This Row],[Unit_Cost_INR]]*Table1[[#This Row],[Consumption]])</f>
        <v>244850</v>
      </c>
      <c r="S197">
        <f>IFERROR(Table1[[#This Row],[Annual_Consumption_Value_INR]]/Table1[[#This Row],[Inventory_Value_INR]],0)</f>
        <v>2.3714285714285714</v>
      </c>
      <c r="T197">
        <f>IFERROR(365/Table1[[#This Row],[Inventory_Turnover]],0)</f>
        <v>153.9156626506024</v>
      </c>
      <c r="U197" t="str">
        <f>IF(Table1[[#This Row],[Consumption]]=0,"Non-Moving", IF(Table1[[#This Row],[Days_Since_Last_Movement]]&gt;90,"Slow-Moving","Active"))</f>
        <v>Active</v>
      </c>
      <c r="V197">
        <f>SUM($Q$2:Q197)</f>
        <v>64343840</v>
      </c>
      <c r="W197">
        <f>Table1[[#This Row],[Cumulative_Inventory_Value]]/$AP$3</f>
        <v>0.85003666670762035</v>
      </c>
      <c r="X197" t="str">
        <f>IF(Table1[[#This Row],[Cumulative_Value_%]]&lt;80%,"A", IF(Table1[[#This Row],[Cumulative_Value_%]]&lt;=95%,"B","C"))</f>
        <v>B</v>
      </c>
      <c r="Y197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197">
        <f>Table1[[#This Row],[Consumption]]/365</f>
        <v>0.22739726027397261</v>
      </c>
      <c r="AA197">
        <f>Table1[[#This Row],[Avg_Daily_Consumption]]*Table1[[#This Row],[Lead_Time_Days]]+Table1[[#This Row],[Safety_Stock]]</f>
        <v>10.230136986301371</v>
      </c>
      <c r="AB197">
        <f>IFERROR(Table1[[#This Row],[Closing_Stock]]/Table1[[#This Row],[Avg_Daily_Consumption]],9999)</f>
        <v>153.9156626506024</v>
      </c>
      <c r="AC197">
        <f>MAX(1,ROUNDUP(Table1[[#This Row],[Avg_Daily_Consumption]]*Table1[[#This Row],[Lead_Time_Days]]*0.8,0))</f>
        <v>5</v>
      </c>
      <c r="AD197" t="str">
        <f>IF(Table1[[#This Row],[Closing_Stock]]&lt;Table1[[#This Row],[Reorder_Point]],"Stock-out Risk","Adequate")</f>
        <v>Adequate</v>
      </c>
      <c r="AE197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197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197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197" s="11">
        <f>MAX(0,Table1[[#This Row],[Closing_Stock]]-Table1[[#This Row],[Reorder_Point]])</f>
        <v>24.769863013698629</v>
      </c>
      <c r="AI197" s="11">
        <f>Table1[[#This Row],[Excess_Stock_Units]]*Table1[[#This Row],[Unit_Cost_INR]]</f>
        <v>73071.095890410958</v>
      </c>
      <c r="AJ197" s="11">
        <f>IF(Table1[[#This Row],[Criticality]]="Critical",0,Table1[[#This Row],[Excess_Inventory_Value_INR]])</f>
        <v>73071.095890410958</v>
      </c>
      <c r="AK197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198" spans="1:37" x14ac:dyDescent="0.25">
      <c r="A198" t="s">
        <v>234</v>
      </c>
      <c r="B198" t="s">
        <v>75</v>
      </c>
      <c r="C198" t="s">
        <v>36</v>
      </c>
      <c r="D198" t="s">
        <v>21</v>
      </c>
      <c r="E198" t="s">
        <v>37</v>
      </c>
      <c r="F198">
        <v>40</v>
      </c>
      <c r="G198">
        <v>25</v>
      </c>
      <c r="H198">
        <v>27</v>
      </c>
      <c r="I198">
        <v>38</v>
      </c>
      <c r="J198">
        <v>2650</v>
      </c>
      <c r="K198">
        <v>63</v>
      </c>
      <c r="L198">
        <v>0</v>
      </c>
      <c r="M198">
        <v>10</v>
      </c>
      <c r="N198" t="s">
        <v>29</v>
      </c>
      <c r="O198">
        <v>0.16300000000000001</v>
      </c>
      <c r="P198">
        <v>16414.099999999999</v>
      </c>
      <c r="Q198">
        <f>(Table1[[#This Row],[Closing_Stock]]*Table1[[#This Row],[Unit_Cost_INR]])</f>
        <v>100700</v>
      </c>
      <c r="R198">
        <f>(Table1[[#This Row],[Unit_Cost_INR]]*Table1[[#This Row],[Consumption]])</f>
        <v>71550</v>
      </c>
      <c r="S198">
        <f>IFERROR(Table1[[#This Row],[Annual_Consumption_Value_INR]]/Table1[[#This Row],[Inventory_Value_INR]],0)</f>
        <v>0.71052631578947367</v>
      </c>
      <c r="T198">
        <f>IFERROR(365/Table1[[#This Row],[Inventory_Turnover]],0)</f>
        <v>513.7037037037037</v>
      </c>
      <c r="U198" t="str">
        <f>IF(Table1[[#This Row],[Consumption]]=0,"Non-Moving", IF(Table1[[#This Row],[Days_Since_Last_Movement]]&gt;90,"Slow-Moving","Active"))</f>
        <v>Active</v>
      </c>
      <c r="V198">
        <f>SUM($Q$2:Q198)</f>
        <v>64444540</v>
      </c>
      <c r="W198">
        <f>Table1[[#This Row],[Cumulative_Inventory_Value]]/$AP$3</f>
        <v>0.85136699906480406</v>
      </c>
      <c r="X198" t="str">
        <f>IF(Table1[[#This Row],[Cumulative_Value_%]]&lt;80%,"A", IF(Table1[[#This Row],[Cumulative_Value_%]]&lt;=95%,"B","C"))</f>
        <v>B</v>
      </c>
      <c r="Y198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198">
        <f>Table1[[#This Row],[Consumption]]/365</f>
        <v>7.3972602739726029E-2</v>
      </c>
      <c r="AA198">
        <f>Table1[[#This Row],[Avg_Daily_Consumption]]*Table1[[#This Row],[Lead_Time_Days]]+Table1[[#This Row],[Safety_Stock]]</f>
        <v>8.6602739726027398</v>
      </c>
      <c r="AB198">
        <f>IFERROR(Table1[[#This Row],[Closing_Stock]]/Table1[[#This Row],[Avg_Daily_Consumption]],9999)</f>
        <v>513.7037037037037</v>
      </c>
      <c r="AC198">
        <f>MAX(1,ROUNDUP(Table1[[#This Row],[Avg_Daily_Consumption]]*Table1[[#This Row],[Lead_Time_Days]]*0.8,0))</f>
        <v>4</v>
      </c>
      <c r="AD198" t="str">
        <f>IF(Table1[[#This Row],[Closing_Stock]]&lt;Table1[[#This Row],[Reorder_Point]],"Stock-out Risk","Adequate")</f>
        <v>Adequate</v>
      </c>
      <c r="AE198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198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198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198" s="11">
        <f>MAX(0,Table1[[#This Row],[Closing_Stock]]-Table1[[#This Row],[Reorder_Point]])</f>
        <v>29.339726027397262</v>
      </c>
      <c r="AI198" s="11">
        <f>Table1[[#This Row],[Excess_Stock_Units]]*Table1[[#This Row],[Unit_Cost_INR]]</f>
        <v>77750.27397260275</v>
      </c>
      <c r="AJ198" s="11">
        <f>IF(Table1[[#This Row],[Criticality]]="Critical",0,Table1[[#This Row],[Excess_Inventory_Value_INR]])</f>
        <v>0</v>
      </c>
      <c r="AK198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199" spans="1:37" x14ac:dyDescent="0.25">
      <c r="A199" t="s">
        <v>477</v>
      </c>
      <c r="B199" t="s">
        <v>71</v>
      </c>
      <c r="C199" t="s">
        <v>20</v>
      </c>
      <c r="D199" t="s">
        <v>45</v>
      </c>
      <c r="E199" t="s">
        <v>22</v>
      </c>
      <c r="F199">
        <v>41</v>
      </c>
      <c r="G199">
        <v>31</v>
      </c>
      <c r="H199">
        <v>33</v>
      </c>
      <c r="I199">
        <v>39</v>
      </c>
      <c r="J199">
        <v>2570</v>
      </c>
      <c r="K199">
        <v>47</v>
      </c>
      <c r="L199">
        <v>0</v>
      </c>
      <c r="M199">
        <v>126</v>
      </c>
      <c r="N199" t="s">
        <v>58</v>
      </c>
      <c r="O199">
        <v>0.19400000000000001</v>
      </c>
      <c r="P199">
        <v>19444.62</v>
      </c>
      <c r="Q199">
        <f>(Table1[[#This Row],[Closing_Stock]]*Table1[[#This Row],[Unit_Cost_INR]])</f>
        <v>100230</v>
      </c>
      <c r="R199">
        <f>(Table1[[#This Row],[Unit_Cost_INR]]*Table1[[#This Row],[Consumption]])</f>
        <v>84810</v>
      </c>
      <c r="S199">
        <f>IFERROR(Table1[[#This Row],[Annual_Consumption_Value_INR]]/Table1[[#This Row],[Inventory_Value_INR]],0)</f>
        <v>0.84615384615384615</v>
      </c>
      <c r="T199">
        <f>IFERROR(365/Table1[[#This Row],[Inventory_Turnover]],0)</f>
        <v>431.36363636363637</v>
      </c>
      <c r="U199" t="str">
        <f>IF(Table1[[#This Row],[Consumption]]=0,"Non-Moving", IF(Table1[[#This Row],[Days_Since_Last_Movement]]&gt;90,"Slow-Moving","Active"))</f>
        <v>Slow-Moving</v>
      </c>
      <c r="V199">
        <f>SUM($Q$2:Q199)</f>
        <v>64544770</v>
      </c>
      <c r="W199">
        <f>Table1[[#This Row],[Cumulative_Inventory_Value]]/$AP$3</f>
        <v>0.85269112232359789</v>
      </c>
      <c r="X199" t="str">
        <f>IF(Table1[[#This Row],[Cumulative_Value_%]]&lt;80%,"A", IF(Table1[[#This Row],[Cumulative_Value_%]]&lt;=95%,"B","C"))</f>
        <v>B</v>
      </c>
      <c r="Y199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199">
        <f>Table1[[#This Row],[Consumption]]/365</f>
        <v>9.0410958904109592E-2</v>
      </c>
      <c r="AA199">
        <f>Table1[[#This Row],[Avg_Daily_Consumption]]*Table1[[#This Row],[Lead_Time_Days]]+Table1[[#This Row],[Safety_Stock]]</f>
        <v>8.24931506849315</v>
      </c>
      <c r="AB199">
        <f>IFERROR(Table1[[#This Row],[Closing_Stock]]/Table1[[#This Row],[Avg_Daily_Consumption]],9999)</f>
        <v>431.36363636363637</v>
      </c>
      <c r="AC199">
        <f>MAX(1,ROUNDUP(Table1[[#This Row],[Avg_Daily_Consumption]]*Table1[[#This Row],[Lead_Time_Days]]*0.8,0))</f>
        <v>4</v>
      </c>
      <c r="AD199" t="str">
        <f>IF(Table1[[#This Row],[Closing_Stock]]&lt;Table1[[#This Row],[Reorder_Point]],"Stock-out Risk","Adequate")</f>
        <v>Adequate</v>
      </c>
      <c r="AE199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199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199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199" s="11">
        <f>MAX(0,Table1[[#This Row],[Closing_Stock]]-Table1[[#This Row],[Reorder_Point]])</f>
        <v>30.75068493150685</v>
      </c>
      <c r="AI199" s="11">
        <f>Table1[[#This Row],[Excess_Stock_Units]]*Table1[[#This Row],[Unit_Cost_INR]]</f>
        <v>79029.260273972599</v>
      </c>
      <c r="AJ199" s="11">
        <f>IF(Table1[[#This Row],[Criticality]]="Critical",0,Table1[[#This Row],[Excess_Inventory_Value_INR]])</f>
        <v>79029.260273972599</v>
      </c>
      <c r="AK199" s="11">
        <f>IF(AND(Table1[[#This Row],[Criticality]]&lt;&gt;"Critical",OR(Table1[[#This Row],[Movement_Class]]="Slow-Moving",Table1[[#This Row],[Movement_Class]]="Non-Moving")),Table1[[#This Row],[Excess_Inventory_Value_INR]],0)</f>
        <v>79029.260273972599</v>
      </c>
    </row>
    <row r="200" spans="1:37" x14ac:dyDescent="0.25">
      <c r="A200" t="s">
        <v>190</v>
      </c>
      <c r="B200" t="s">
        <v>137</v>
      </c>
      <c r="C200" t="s">
        <v>26</v>
      </c>
      <c r="D200" t="s">
        <v>42</v>
      </c>
      <c r="E200" t="s">
        <v>37</v>
      </c>
      <c r="F200">
        <v>66</v>
      </c>
      <c r="G200">
        <v>71</v>
      </c>
      <c r="H200">
        <v>75</v>
      </c>
      <c r="I200">
        <v>105</v>
      </c>
      <c r="J200">
        <v>950</v>
      </c>
      <c r="K200">
        <v>3</v>
      </c>
      <c r="L200">
        <v>0</v>
      </c>
      <c r="M200">
        <v>5</v>
      </c>
      <c r="N200" t="s">
        <v>33</v>
      </c>
      <c r="O200">
        <v>0.156</v>
      </c>
      <c r="P200">
        <v>15561</v>
      </c>
      <c r="Q200">
        <f>(Table1[[#This Row],[Closing_Stock]]*Table1[[#This Row],[Unit_Cost_INR]])</f>
        <v>99750</v>
      </c>
      <c r="R200">
        <f>(Table1[[#This Row],[Unit_Cost_INR]]*Table1[[#This Row],[Consumption]])</f>
        <v>71250</v>
      </c>
      <c r="S200">
        <f>IFERROR(Table1[[#This Row],[Annual_Consumption_Value_INR]]/Table1[[#This Row],[Inventory_Value_INR]],0)</f>
        <v>0.7142857142857143</v>
      </c>
      <c r="T200">
        <f>IFERROR(365/Table1[[#This Row],[Inventory_Turnover]],0)</f>
        <v>511</v>
      </c>
      <c r="U200" t="str">
        <f>IF(Table1[[#This Row],[Consumption]]=0,"Non-Moving", IF(Table1[[#This Row],[Days_Since_Last_Movement]]&gt;90,"Slow-Moving","Active"))</f>
        <v>Active</v>
      </c>
      <c r="V200">
        <f>SUM($Q$2:Q200)</f>
        <v>64644520</v>
      </c>
      <c r="W200">
        <f>Table1[[#This Row],[Cumulative_Inventory_Value]]/$AP$3</f>
        <v>0.85400890437552524</v>
      </c>
      <c r="X200" t="str">
        <f>IF(Table1[[#This Row],[Cumulative_Value_%]]&lt;80%,"A", IF(Table1[[#This Row],[Cumulative_Value_%]]&lt;=95%,"B","C"))</f>
        <v>B</v>
      </c>
      <c r="Y200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200">
        <f>Table1[[#This Row],[Consumption]]/365</f>
        <v>0.20547945205479451</v>
      </c>
      <c r="AA200">
        <f>Table1[[#This Row],[Avg_Daily_Consumption]]*Table1[[#This Row],[Lead_Time_Days]]+Table1[[#This Row],[Safety_Stock]]</f>
        <v>1.6164383561643836</v>
      </c>
      <c r="AB200">
        <f>IFERROR(Table1[[#This Row],[Closing_Stock]]/Table1[[#This Row],[Avg_Daily_Consumption]],9999)</f>
        <v>511</v>
      </c>
      <c r="AC200">
        <f>MAX(1,ROUNDUP(Table1[[#This Row],[Avg_Daily_Consumption]]*Table1[[#This Row],[Lead_Time_Days]]*0.8,0))</f>
        <v>1</v>
      </c>
      <c r="AD200" t="str">
        <f>IF(Table1[[#This Row],[Closing_Stock]]&lt;Table1[[#This Row],[Reorder_Point]],"Stock-out Risk","Adequate")</f>
        <v>Adequate</v>
      </c>
      <c r="AE200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200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200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200" s="11">
        <f>MAX(0,Table1[[#This Row],[Closing_Stock]]-Table1[[#This Row],[Reorder_Point]])</f>
        <v>103.38356164383562</v>
      </c>
      <c r="AI200" s="11">
        <f>Table1[[#This Row],[Excess_Stock_Units]]*Table1[[#This Row],[Unit_Cost_INR]]</f>
        <v>98214.383561643845</v>
      </c>
      <c r="AJ200" s="11">
        <f>IF(Table1[[#This Row],[Criticality]]="Critical",0,Table1[[#This Row],[Excess_Inventory_Value_INR]])</f>
        <v>0</v>
      </c>
      <c r="AK200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201" spans="1:37" x14ac:dyDescent="0.25">
      <c r="A201" t="s">
        <v>332</v>
      </c>
      <c r="B201" t="s">
        <v>44</v>
      </c>
      <c r="C201" t="s">
        <v>41</v>
      </c>
      <c r="D201" t="s">
        <v>60</v>
      </c>
      <c r="E201" t="s">
        <v>28</v>
      </c>
      <c r="F201">
        <v>35</v>
      </c>
      <c r="G201">
        <v>43</v>
      </c>
      <c r="H201">
        <v>40</v>
      </c>
      <c r="I201">
        <v>38</v>
      </c>
      <c r="J201">
        <v>2610</v>
      </c>
      <c r="K201">
        <v>15</v>
      </c>
      <c r="L201">
        <v>1</v>
      </c>
      <c r="M201">
        <v>71</v>
      </c>
      <c r="N201" t="s">
        <v>61</v>
      </c>
      <c r="O201">
        <v>0.153</v>
      </c>
      <c r="P201">
        <v>15174.54</v>
      </c>
      <c r="Q201">
        <f>(Table1[[#This Row],[Closing_Stock]]*Table1[[#This Row],[Unit_Cost_INR]])</f>
        <v>99180</v>
      </c>
      <c r="R201">
        <f>(Table1[[#This Row],[Unit_Cost_INR]]*Table1[[#This Row],[Consumption]])</f>
        <v>104400</v>
      </c>
      <c r="S201">
        <f>IFERROR(Table1[[#This Row],[Annual_Consumption_Value_INR]]/Table1[[#This Row],[Inventory_Value_INR]],0)</f>
        <v>1.0526315789473684</v>
      </c>
      <c r="T201">
        <f>IFERROR(365/Table1[[#This Row],[Inventory_Turnover]],0)</f>
        <v>346.75</v>
      </c>
      <c r="U201" t="str">
        <f>IF(Table1[[#This Row],[Consumption]]=0,"Non-Moving", IF(Table1[[#This Row],[Days_Since_Last_Movement]]&gt;90,"Slow-Moving","Active"))</f>
        <v>Active</v>
      </c>
      <c r="V201">
        <f>SUM($Q$2:Q201)</f>
        <v>64743700</v>
      </c>
      <c r="W201">
        <f>Table1[[#This Row],[Cumulative_Inventory_Value]]/$AP$3</f>
        <v>0.85531915624429866</v>
      </c>
      <c r="X201" t="str">
        <f>IF(Table1[[#This Row],[Cumulative_Value_%]]&lt;80%,"A", IF(Table1[[#This Row],[Cumulative_Value_%]]&lt;=95%,"B","C"))</f>
        <v>B</v>
      </c>
      <c r="Y201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201">
        <f>Table1[[#This Row],[Consumption]]/365</f>
        <v>0.1095890410958904</v>
      </c>
      <c r="AA201">
        <f>Table1[[#This Row],[Avg_Daily_Consumption]]*Table1[[#This Row],[Lead_Time_Days]]+Table1[[#This Row],[Safety_Stock]]</f>
        <v>3.6438356164383561</v>
      </c>
      <c r="AB201">
        <f>IFERROR(Table1[[#This Row],[Closing_Stock]]/Table1[[#This Row],[Avg_Daily_Consumption]],9999)</f>
        <v>346.75</v>
      </c>
      <c r="AC201">
        <f>MAX(1,ROUNDUP(Table1[[#This Row],[Avg_Daily_Consumption]]*Table1[[#This Row],[Lead_Time_Days]]*0.8,0))</f>
        <v>2</v>
      </c>
      <c r="AD201" t="str">
        <f>IF(Table1[[#This Row],[Closing_Stock]]&lt;Table1[[#This Row],[Reorder_Point]],"Stock-out Risk","Adequate")</f>
        <v>Adequate</v>
      </c>
      <c r="AE201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201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201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201" s="11">
        <f>MAX(0,Table1[[#This Row],[Closing_Stock]]-Table1[[#This Row],[Reorder_Point]])</f>
        <v>34.356164383561641</v>
      </c>
      <c r="AI201" s="11">
        <f>Table1[[#This Row],[Excess_Stock_Units]]*Table1[[#This Row],[Unit_Cost_INR]]</f>
        <v>89669.589041095882</v>
      </c>
      <c r="AJ201" s="11">
        <f>IF(Table1[[#This Row],[Criticality]]="Critical",0,Table1[[#This Row],[Excess_Inventory_Value_INR]])</f>
        <v>89669.589041095882</v>
      </c>
      <c r="AK201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202" spans="1:37" x14ac:dyDescent="0.25">
      <c r="A202" t="s">
        <v>241</v>
      </c>
      <c r="B202" t="s">
        <v>85</v>
      </c>
      <c r="C202" t="s">
        <v>41</v>
      </c>
      <c r="D202" t="s">
        <v>66</v>
      </c>
      <c r="E202" t="s">
        <v>28</v>
      </c>
      <c r="F202">
        <v>35</v>
      </c>
      <c r="G202">
        <v>69</v>
      </c>
      <c r="H202">
        <v>1</v>
      </c>
      <c r="I202">
        <v>98</v>
      </c>
      <c r="J202">
        <v>1010</v>
      </c>
      <c r="K202">
        <v>32</v>
      </c>
      <c r="L202">
        <v>0</v>
      </c>
      <c r="M202">
        <v>224</v>
      </c>
      <c r="N202" t="s">
        <v>49</v>
      </c>
      <c r="O202">
        <v>0.29499999999999998</v>
      </c>
      <c r="P202">
        <v>29199.1</v>
      </c>
      <c r="Q202">
        <f>(Table1[[#This Row],[Closing_Stock]]*Table1[[#This Row],[Unit_Cost_INR]])</f>
        <v>98980</v>
      </c>
      <c r="R202">
        <f>(Table1[[#This Row],[Unit_Cost_INR]]*Table1[[#This Row],[Consumption]])</f>
        <v>1010</v>
      </c>
      <c r="S202">
        <f>IFERROR(Table1[[#This Row],[Annual_Consumption_Value_INR]]/Table1[[#This Row],[Inventory_Value_INR]],0)</f>
        <v>1.020408163265306E-2</v>
      </c>
      <c r="T202">
        <f>IFERROR(365/Table1[[#This Row],[Inventory_Turnover]],0)</f>
        <v>35770</v>
      </c>
      <c r="U202" t="str">
        <f>IF(Table1[[#This Row],[Consumption]]=0,"Non-Moving", IF(Table1[[#This Row],[Days_Since_Last_Movement]]&gt;90,"Slow-Moving","Active"))</f>
        <v>Slow-Moving</v>
      </c>
      <c r="V202">
        <f>SUM($Q$2:Q202)</f>
        <v>64842680</v>
      </c>
      <c r="W202">
        <f>Table1[[#This Row],[Cumulative_Inventory_Value]]/$AP$3</f>
        <v>0.85662676594354448</v>
      </c>
      <c r="X202" t="str">
        <f>IF(Table1[[#This Row],[Cumulative_Value_%]]&lt;80%,"A", IF(Table1[[#This Row],[Cumulative_Value_%]]&lt;=95%,"B","C"))</f>
        <v>B</v>
      </c>
      <c r="Y202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202">
        <f>Table1[[#This Row],[Consumption]]/365</f>
        <v>2.7397260273972603E-3</v>
      </c>
      <c r="AA202">
        <f>Table1[[#This Row],[Avg_Daily_Consumption]]*Table1[[#This Row],[Lead_Time_Days]]+Table1[[#This Row],[Safety_Stock]]</f>
        <v>1.0876712328767124</v>
      </c>
      <c r="AB202">
        <f>IFERROR(Table1[[#This Row],[Closing_Stock]]/Table1[[#This Row],[Avg_Daily_Consumption]],9999)</f>
        <v>35770</v>
      </c>
      <c r="AC202">
        <f>MAX(1,ROUNDUP(Table1[[#This Row],[Avg_Daily_Consumption]]*Table1[[#This Row],[Lead_Time_Days]]*0.8,0))</f>
        <v>1</v>
      </c>
      <c r="AD202" t="str">
        <f>IF(Table1[[#This Row],[Closing_Stock]]&lt;Table1[[#This Row],[Reorder_Point]],"Stock-out Risk","Adequate")</f>
        <v>Adequate</v>
      </c>
      <c r="AE202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202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202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202" s="11">
        <f>MAX(0,Table1[[#This Row],[Closing_Stock]]-Table1[[#This Row],[Reorder_Point]])</f>
        <v>96.912328767123284</v>
      </c>
      <c r="AI202" s="11">
        <f>Table1[[#This Row],[Excess_Stock_Units]]*Table1[[#This Row],[Unit_Cost_INR]]</f>
        <v>97881.452054794514</v>
      </c>
      <c r="AJ202" s="11">
        <f>IF(Table1[[#This Row],[Criticality]]="Critical",0,Table1[[#This Row],[Excess_Inventory_Value_INR]])</f>
        <v>97881.452054794514</v>
      </c>
      <c r="AK202" s="11">
        <f>IF(AND(Table1[[#This Row],[Criticality]]&lt;&gt;"Critical",OR(Table1[[#This Row],[Movement_Class]]="Slow-Moving",Table1[[#This Row],[Movement_Class]]="Non-Moving")),Table1[[#This Row],[Excess_Inventory_Value_INR]],0)</f>
        <v>97881.452054794514</v>
      </c>
    </row>
    <row r="203" spans="1:37" x14ac:dyDescent="0.25">
      <c r="A203" t="s">
        <v>43</v>
      </c>
      <c r="B203" t="s">
        <v>44</v>
      </c>
      <c r="C203" t="s">
        <v>41</v>
      </c>
      <c r="D203" t="s">
        <v>45</v>
      </c>
      <c r="E203" t="s">
        <v>46</v>
      </c>
      <c r="F203">
        <v>21</v>
      </c>
      <c r="G203">
        <v>4</v>
      </c>
      <c r="H203">
        <v>5</v>
      </c>
      <c r="I203">
        <v>20</v>
      </c>
      <c r="J203">
        <v>4880</v>
      </c>
      <c r="K203">
        <v>24</v>
      </c>
      <c r="L203">
        <v>0</v>
      </c>
      <c r="M203">
        <v>39</v>
      </c>
      <c r="N203" t="s">
        <v>23</v>
      </c>
      <c r="O203">
        <v>0.223</v>
      </c>
      <c r="P203">
        <v>21764.799999999999</v>
      </c>
      <c r="Q203">
        <f>(Table1[[#This Row],[Closing_Stock]]*Table1[[#This Row],[Unit_Cost_INR]])</f>
        <v>97600</v>
      </c>
      <c r="R203">
        <f>(Table1[[#This Row],[Unit_Cost_INR]]*Table1[[#This Row],[Consumption]])</f>
        <v>24400</v>
      </c>
      <c r="S203">
        <f>IFERROR(Table1[[#This Row],[Annual_Consumption_Value_INR]]/Table1[[#This Row],[Inventory_Value_INR]],0)</f>
        <v>0.25</v>
      </c>
      <c r="T203">
        <f>IFERROR(365/Table1[[#This Row],[Inventory_Turnover]],0)</f>
        <v>1460</v>
      </c>
      <c r="U203" t="str">
        <f>IF(Table1[[#This Row],[Consumption]]=0,"Non-Moving", IF(Table1[[#This Row],[Days_Since_Last_Movement]]&gt;90,"Slow-Moving","Active"))</f>
        <v>Active</v>
      </c>
      <c r="V203">
        <f>SUM($Q$2:Q203)</f>
        <v>64940280</v>
      </c>
      <c r="W203">
        <f>Table1[[#This Row],[Cumulative_Inventory_Value]]/$AP$3</f>
        <v>0.85791614467304933</v>
      </c>
      <c r="X203" t="str">
        <f>IF(Table1[[#This Row],[Cumulative_Value_%]]&lt;80%,"A", IF(Table1[[#This Row],[Cumulative_Value_%]]&lt;=95%,"B","C"))</f>
        <v>B</v>
      </c>
      <c r="Y203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203">
        <f>Table1[[#This Row],[Consumption]]/365</f>
        <v>1.3698630136986301E-2</v>
      </c>
      <c r="AA203">
        <f>Table1[[#This Row],[Avg_Daily_Consumption]]*Table1[[#This Row],[Lead_Time_Days]]+Table1[[#This Row],[Safety_Stock]]</f>
        <v>1.3287671232876712</v>
      </c>
      <c r="AB203">
        <f>IFERROR(Table1[[#This Row],[Closing_Stock]]/Table1[[#This Row],[Avg_Daily_Consumption]],9999)</f>
        <v>1460</v>
      </c>
      <c r="AC203">
        <f>MAX(1,ROUNDUP(Table1[[#This Row],[Avg_Daily_Consumption]]*Table1[[#This Row],[Lead_Time_Days]]*0.8,0))</f>
        <v>1</v>
      </c>
      <c r="AD203" t="str">
        <f>IF(Table1[[#This Row],[Closing_Stock]]&lt;Table1[[#This Row],[Reorder_Point]],"Stock-out Risk","Adequate")</f>
        <v>Adequate</v>
      </c>
      <c r="AE203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203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203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203" s="11">
        <f>MAX(0,Table1[[#This Row],[Closing_Stock]]-Table1[[#This Row],[Reorder_Point]])</f>
        <v>18.671232876712327</v>
      </c>
      <c r="AI203" s="11">
        <f>Table1[[#This Row],[Excess_Stock_Units]]*Table1[[#This Row],[Unit_Cost_INR]]</f>
        <v>91115.616438356155</v>
      </c>
      <c r="AJ203" s="11">
        <f>IF(Table1[[#This Row],[Criticality]]="Critical",0,Table1[[#This Row],[Excess_Inventory_Value_INR]])</f>
        <v>91115.616438356155</v>
      </c>
      <c r="AK203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204" spans="1:37" x14ac:dyDescent="0.25">
      <c r="A204" t="s">
        <v>329</v>
      </c>
      <c r="B204" t="s">
        <v>93</v>
      </c>
      <c r="C204" t="s">
        <v>26</v>
      </c>
      <c r="D204" t="s">
        <v>21</v>
      </c>
      <c r="E204" t="s">
        <v>28</v>
      </c>
      <c r="F204">
        <v>83</v>
      </c>
      <c r="G204">
        <v>253</v>
      </c>
      <c r="H204">
        <v>206</v>
      </c>
      <c r="I204">
        <v>130</v>
      </c>
      <c r="J204">
        <v>750</v>
      </c>
      <c r="K204">
        <v>17</v>
      </c>
      <c r="L204">
        <v>3</v>
      </c>
      <c r="M204">
        <v>173</v>
      </c>
      <c r="N204" t="s">
        <v>58</v>
      </c>
      <c r="O204">
        <v>0.17899999999999999</v>
      </c>
      <c r="P204">
        <v>17452.5</v>
      </c>
      <c r="Q204">
        <f>(Table1[[#This Row],[Closing_Stock]]*Table1[[#This Row],[Unit_Cost_INR]])</f>
        <v>97500</v>
      </c>
      <c r="R204">
        <f>(Table1[[#This Row],[Unit_Cost_INR]]*Table1[[#This Row],[Consumption]])</f>
        <v>154500</v>
      </c>
      <c r="S204">
        <f>IFERROR(Table1[[#This Row],[Annual_Consumption_Value_INR]]/Table1[[#This Row],[Inventory_Value_INR]],0)</f>
        <v>1.5846153846153845</v>
      </c>
      <c r="T204">
        <f>IFERROR(365/Table1[[#This Row],[Inventory_Turnover]],0)</f>
        <v>230.33980582524273</v>
      </c>
      <c r="U204" t="str">
        <f>IF(Table1[[#This Row],[Consumption]]=0,"Non-Moving", IF(Table1[[#This Row],[Days_Since_Last_Movement]]&gt;90,"Slow-Moving","Active"))</f>
        <v>Slow-Moving</v>
      </c>
      <c r="V204">
        <f>SUM($Q$2:Q204)</f>
        <v>65037780</v>
      </c>
      <c r="W204">
        <f>Table1[[#This Row],[Cumulative_Inventory_Value]]/$AP$3</f>
        <v>0.85920420231779038</v>
      </c>
      <c r="X204" t="str">
        <f>IF(Table1[[#This Row],[Cumulative_Value_%]]&lt;80%,"A", IF(Table1[[#This Row],[Cumulative_Value_%]]&lt;=95%,"B","C"))</f>
        <v>B</v>
      </c>
      <c r="Y204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204">
        <f>Table1[[#This Row],[Consumption]]/365</f>
        <v>0.56438356164383563</v>
      </c>
      <c r="AA204">
        <f>Table1[[#This Row],[Avg_Daily_Consumption]]*Table1[[#This Row],[Lead_Time_Days]]+Table1[[#This Row],[Safety_Stock]]</f>
        <v>17.594520547945205</v>
      </c>
      <c r="AB204">
        <f>IFERROR(Table1[[#This Row],[Closing_Stock]]/Table1[[#This Row],[Avg_Daily_Consumption]],9999)</f>
        <v>230.33980582524271</v>
      </c>
      <c r="AC204">
        <f>MAX(1,ROUNDUP(Table1[[#This Row],[Avg_Daily_Consumption]]*Table1[[#This Row],[Lead_Time_Days]]*0.8,0))</f>
        <v>8</v>
      </c>
      <c r="AD204" t="str">
        <f>IF(Table1[[#This Row],[Closing_Stock]]&lt;Table1[[#This Row],[Reorder_Point]],"Stock-out Risk","Adequate")</f>
        <v>Adequate</v>
      </c>
      <c r="AE204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204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204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204" s="11">
        <f>MAX(0,Table1[[#This Row],[Closing_Stock]]-Table1[[#This Row],[Reorder_Point]])</f>
        <v>112.40547945205479</v>
      </c>
      <c r="AI204" s="11">
        <f>Table1[[#This Row],[Excess_Stock_Units]]*Table1[[#This Row],[Unit_Cost_INR]]</f>
        <v>84304.109589041094</v>
      </c>
      <c r="AJ204" s="11">
        <f>IF(Table1[[#This Row],[Criticality]]="Critical",0,Table1[[#This Row],[Excess_Inventory_Value_INR]])</f>
        <v>84304.109589041094</v>
      </c>
      <c r="AK204" s="11">
        <f>IF(AND(Table1[[#This Row],[Criticality]]&lt;&gt;"Critical",OR(Table1[[#This Row],[Movement_Class]]="Slow-Moving",Table1[[#This Row],[Movement_Class]]="Non-Moving")),Table1[[#This Row],[Excess_Inventory_Value_INR]],0)</f>
        <v>84304.109589041094</v>
      </c>
    </row>
    <row r="205" spans="1:37" x14ac:dyDescent="0.25">
      <c r="A205" t="s">
        <v>430</v>
      </c>
      <c r="B205" t="s">
        <v>75</v>
      </c>
      <c r="C205" t="s">
        <v>36</v>
      </c>
      <c r="D205" t="s">
        <v>42</v>
      </c>
      <c r="E205" t="s">
        <v>22</v>
      </c>
      <c r="F205">
        <v>43</v>
      </c>
      <c r="G205">
        <v>110</v>
      </c>
      <c r="H205">
        <v>77</v>
      </c>
      <c r="I205">
        <v>76</v>
      </c>
      <c r="J205">
        <v>1270</v>
      </c>
      <c r="K205">
        <v>28</v>
      </c>
      <c r="L205">
        <v>0</v>
      </c>
      <c r="M205">
        <v>165</v>
      </c>
      <c r="N205" t="s">
        <v>81</v>
      </c>
      <c r="O205">
        <v>0.219</v>
      </c>
      <c r="P205">
        <v>21137.88</v>
      </c>
      <c r="Q205">
        <f>(Table1[[#This Row],[Closing_Stock]]*Table1[[#This Row],[Unit_Cost_INR]])</f>
        <v>96520</v>
      </c>
      <c r="R205">
        <f>(Table1[[#This Row],[Unit_Cost_INR]]*Table1[[#This Row],[Consumption]])</f>
        <v>97790</v>
      </c>
      <c r="S205">
        <f>IFERROR(Table1[[#This Row],[Annual_Consumption_Value_INR]]/Table1[[#This Row],[Inventory_Value_INR]],0)</f>
        <v>1.013157894736842</v>
      </c>
      <c r="T205">
        <f>IFERROR(365/Table1[[#This Row],[Inventory_Turnover]],0)</f>
        <v>360.25974025974028</v>
      </c>
      <c r="U205" t="str">
        <f>IF(Table1[[#This Row],[Consumption]]=0,"Non-Moving", IF(Table1[[#This Row],[Days_Since_Last_Movement]]&gt;90,"Slow-Moving","Active"))</f>
        <v>Slow-Moving</v>
      </c>
      <c r="V205">
        <f>SUM($Q$2:Q205)</f>
        <v>65134300</v>
      </c>
      <c r="W205">
        <f>Table1[[#This Row],[Cumulative_Inventory_Value]]/$AP$3</f>
        <v>0.8604793133318458</v>
      </c>
      <c r="X205" t="str">
        <f>IF(Table1[[#This Row],[Cumulative_Value_%]]&lt;80%,"A", IF(Table1[[#This Row],[Cumulative_Value_%]]&lt;=95%,"B","C"))</f>
        <v>B</v>
      </c>
      <c r="Y205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205">
        <f>Table1[[#This Row],[Consumption]]/365</f>
        <v>0.21095890410958903</v>
      </c>
      <c r="AA205">
        <f>Table1[[#This Row],[Avg_Daily_Consumption]]*Table1[[#This Row],[Lead_Time_Days]]+Table1[[#This Row],[Safety_Stock]]</f>
        <v>10.906849315068493</v>
      </c>
      <c r="AB205">
        <f>IFERROR(Table1[[#This Row],[Closing_Stock]]/Table1[[#This Row],[Avg_Daily_Consumption]],9999)</f>
        <v>360.25974025974028</v>
      </c>
      <c r="AC205">
        <f>MAX(1,ROUNDUP(Table1[[#This Row],[Avg_Daily_Consumption]]*Table1[[#This Row],[Lead_Time_Days]]*0.8,0))</f>
        <v>5</v>
      </c>
      <c r="AD205" t="str">
        <f>IF(Table1[[#This Row],[Closing_Stock]]&lt;Table1[[#This Row],[Reorder_Point]],"Stock-out Risk","Adequate")</f>
        <v>Adequate</v>
      </c>
      <c r="AE205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205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205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205" s="11">
        <f>MAX(0,Table1[[#This Row],[Closing_Stock]]-Table1[[#This Row],[Reorder_Point]])</f>
        <v>65.093150684931501</v>
      </c>
      <c r="AI205" s="11">
        <f>Table1[[#This Row],[Excess_Stock_Units]]*Table1[[#This Row],[Unit_Cost_INR]]</f>
        <v>82668.301369863009</v>
      </c>
      <c r="AJ205" s="11">
        <f>IF(Table1[[#This Row],[Criticality]]="Critical",0,Table1[[#This Row],[Excess_Inventory_Value_INR]])</f>
        <v>82668.301369863009</v>
      </c>
      <c r="AK205" s="11">
        <f>IF(AND(Table1[[#This Row],[Criticality]]&lt;&gt;"Critical",OR(Table1[[#This Row],[Movement_Class]]="Slow-Moving",Table1[[#This Row],[Movement_Class]]="Non-Moving")),Table1[[#This Row],[Excess_Inventory_Value_INR]],0)</f>
        <v>82668.301369863009</v>
      </c>
    </row>
    <row r="206" spans="1:37" x14ac:dyDescent="0.25">
      <c r="A206" t="s">
        <v>162</v>
      </c>
      <c r="B206" t="s">
        <v>83</v>
      </c>
      <c r="C206" t="s">
        <v>32</v>
      </c>
      <c r="D206" t="s">
        <v>42</v>
      </c>
      <c r="E206" t="s">
        <v>37</v>
      </c>
      <c r="F206">
        <v>37</v>
      </c>
      <c r="G206">
        <v>77</v>
      </c>
      <c r="H206">
        <v>63</v>
      </c>
      <c r="I206">
        <v>51</v>
      </c>
      <c r="J206">
        <v>1870</v>
      </c>
      <c r="K206">
        <v>19</v>
      </c>
      <c r="L206">
        <v>1</v>
      </c>
      <c r="M206">
        <v>24</v>
      </c>
      <c r="N206" t="s">
        <v>38</v>
      </c>
      <c r="O206">
        <v>0.26400000000000001</v>
      </c>
      <c r="P206">
        <v>25177.68</v>
      </c>
      <c r="Q206">
        <f>(Table1[[#This Row],[Closing_Stock]]*Table1[[#This Row],[Unit_Cost_INR]])</f>
        <v>95370</v>
      </c>
      <c r="R206">
        <f>(Table1[[#This Row],[Unit_Cost_INR]]*Table1[[#This Row],[Consumption]])</f>
        <v>117810</v>
      </c>
      <c r="S206">
        <f>IFERROR(Table1[[#This Row],[Annual_Consumption_Value_INR]]/Table1[[#This Row],[Inventory_Value_INR]],0)</f>
        <v>1.2352941176470589</v>
      </c>
      <c r="T206">
        <f>IFERROR(365/Table1[[#This Row],[Inventory_Turnover]],0)</f>
        <v>295.47619047619048</v>
      </c>
      <c r="U206" t="str">
        <f>IF(Table1[[#This Row],[Consumption]]=0,"Non-Moving", IF(Table1[[#This Row],[Days_Since_Last_Movement]]&gt;90,"Slow-Moving","Active"))</f>
        <v>Active</v>
      </c>
      <c r="V206">
        <f>SUM($Q$2:Q206)</f>
        <v>65229670</v>
      </c>
      <c r="W206">
        <f>Table1[[#This Row],[Cumulative_Inventory_Value]]/$AP$3</f>
        <v>0.86173923187111712</v>
      </c>
      <c r="X206" t="str">
        <f>IF(Table1[[#This Row],[Cumulative_Value_%]]&lt;80%,"A", IF(Table1[[#This Row],[Cumulative_Value_%]]&lt;=95%,"B","C"))</f>
        <v>B</v>
      </c>
      <c r="Y206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206">
        <f>Table1[[#This Row],[Consumption]]/365</f>
        <v>0.17260273972602741</v>
      </c>
      <c r="AA206">
        <f>Table1[[#This Row],[Avg_Daily_Consumption]]*Table1[[#This Row],[Lead_Time_Days]]+Table1[[#This Row],[Safety_Stock]]</f>
        <v>6.279452054794521</v>
      </c>
      <c r="AB206">
        <f>IFERROR(Table1[[#This Row],[Closing_Stock]]/Table1[[#This Row],[Avg_Daily_Consumption]],9999)</f>
        <v>295.47619047619048</v>
      </c>
      <c r="AC206">
        <f>MAX(1,ROUNDUP(Table1[[#This Row],[Avg_Daily_Consumption]]*Table1[[#This Row],[Lead_Time_Days]]*0.8,0))</f>
        <v>3</v>
      </c>
      <c r="AD206" t="str">
        <f>IF(Table1[[#This Row],[Closing_Stock]]&lt;Table1[[#This Row],[Reorder_Point]],"Stock-out Risk","Adequate")</f>
        <v>Adequate</v>
      </c>
      <c r="AE206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206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206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206" s="11">
        <f>MAX(0,Table1[[#This Row],[Closing_Stock]]-Table1[[#This Row],[Reorder_Point]])</f>
        <v>44.720547945205482</v>
      </c>
      <c r="AI206" s="11">
        <f>Table1[[#This Row],[Excess_Stock_Units]]*Table1[[#This Row],[Unit_Cost_INR]]</f>
        <v>83627.424657534255</v>
      </c>
      <c r="AJ206" s="11">
        <f>IF(Table1[[#This Row],[Criticality]]="Critical",0,Table1[[#This Row],[Excess_Inventory_Value_INR]])</f>
        <v>0</v>
      </c>
      <c r="AK206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207" spans="1:37" x14ac:dyDescent="0.25">
      <c r="A207" t="s">
        <v>180</v>
      </c>
      <c r="B207" t="s">
        <v>40</v>
      </c>
      <c r="C207" t="s">
        <v>41</v>
      </c>
      <c r="D207" t="s">
        <v>45</v>
      </c>
      <c r="E207" t="s">
        <v>28</v>
      </c>
      <c r="F207">
        <v>73</v>
      </c>
      <c r="G207">
        <v>153</v>
      </c>
      <c r="H207">
        <v>115</v>
      </c>
      <c r="I207">
        <v>111</v>
      </c>
      <c r="J207">
        <v>850</v>
      </c>
      <c r="K207">
        <v>30</v>
      </c>
      <c r="L207">
        <v>0</v>
      </c>
      <c r="M207">
        <v>185</v>
      </c>
      <c r="N207" t="s">
        <v>81</v>
      </c>
      <c r="O207">
        <v>0.187</v>
      </c>
      <c r="P207">
        <v>17643.45</v>
      </c>
      <c r="Q207">
        <f>(Table1[[#This Row],[Closing_Stock]]*Table1[[#This Row],[Unit_Cost_INR]])</f>
        <v>94350</v>
      </c>
      <c r="R207">
        <f>(Table1[[#This Row],[Unit_Cost_INR]]*Table1[[#This Row],[Consumption]])</f>
        <v>97750</v>
      </c>
      <c r="S207">
        <f>IFERROR(Table1[[#This Row],[Annual_Consumption_Value_INR]]/Table1[[#This Row],[Inventory_Value_INR]],0)</f>
        <v>1.0360360360360361</v>
      </c>
      <c r="T207">
        <f>IFERROR(365/Table1[[#This Row],[Inventory_Turnover]],0)</f>
        <v>352.30434782608694</v>
      </c>
      <c r="U207" t="str">
        <f>IF(Table1[[#This Row],[Consumption]]=0,"Non-Moving", IF(Table1[[#This Row],[Days_Since_Last_Movement]]&gt;90,"Slow-Moving","Active"))</f>
        <v>Slow-Moving</v>
      </c>
      <c r="V207">
        <f>SUM($Q$2:Q207)</f>
        <v>65324020</v>
      </c>
      <c r="W207">
        <f>Table1[[#This Row],[Cumulative_Inventory_Value]]/$AP$3</f>
        <v>0.86298567534579729</v>
      </c>
      <c r="X207" t="str">
        <f>IF(Table1[[#This Row],[Cumulative_Value_%]]&lt;80%,"A", IF(Table1[[#This Row],[Cumulative_Value_%]]&lt;=95%,"B","C"))</f>
        <v>B</v>
      </c>
      <c r="Y207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207">
        <f>Table1[[#This Row],[Consumption]]/365</f>
        <v>0.31506849315068491</v>
      </c>
      <c r="AA207">
        <f>Table1[[#This Row],[Avg_Daily_Consumption]]*Table1[[#This Row],[Lead_Time_Days]]+Table1[[#This Row],[Safety_Stock]]</f>
        <v>17.452054794520549</v>
      </c>
      <c r="AB207">
        <f>IFERROR(Table1[[#This Row],[Closing_Stock]]/Table1[[#This Row],[Avg_Daily_Consumption]],9999)</f>
        <v>352.304347826087</v>
      </c>
      <c r="AC207">
        <f>MAX(1,ROUNDUP(Table1[[#This Row],[Avg_Daily_Consumption]]*Table1[[#This Row],[Lead_Time_Days]]*0.8,0))</f>
        <v>8</v>
      </c>
      <c r="AD207" t="str">
        <f>IF(Table1[[#This Row],[Closing_Stock]]&lt;Table1[[#This Row],[Reorder_Point]],"Stock-out Risk","Adequate")</f>
        <v>Adequate</v>
      </c>
      <c r="AE207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207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207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207" s="11">
        <f>MAX(0,Table1[[#This Row],[Closing_Stock]]-Table1[[#This Row],[Reorder_Point]])</f>
        <v>93.547945205479451</v>
      </c>
      <c r="AI207" s="11">
        <f>Table1[[#This Row],[Excess_Stock_Units]]*Table1[[#This Row],[Unit_Cost_INR]]</f>
        <v>79515.753424657538</v>
      </c>
      <c r="AJ207" s="11">
        <f>IF(Table1[[#This Row],[Criticality]]="Critical",0,Table1[[#This Row],[Excess_Inventory_Value_INR]])</f>
        <v>79515.753424657538</v>
      </c>
      <c r="AK207" s="11">
        <f>IF(AND(Table1[[#This Row],[Criticality]]&lt;&gt;"Critical",OR(Table1[[#This Row],[Movement_Class]]="Slow-Moving",Table1[[#This Row],[Movement_Class]]="Non-Moving")),Table1[[#This Row],[Excess_Inventory_Value_INR]],0)</f>
        <v>79515.753424657538</v>
      </c>
    </row>
    <row r="208" spans="1:37" x14ac:dyDescent="0.25">
      <c r="A208" t="s">
        <v>193</v>
      </c>
      <c r="B208" t="s">
        <v>93</v>
      </c>
      <c r="C208" t="s">
        <v>26</v>
      </c>
      <c r="D208" t="s">
        <v>66</v>
      </c>
      <c r="E208" t="s">
        <v>22</v>
      </c>
      <c r="F208">
        <v>29</v>
      </c>
      <c r="G208">
        <v>41</v>
      </c>
      <c r="H208">
        <v>31</v>
      </c>
      <c r="I208">
        <v>39</v>
      </c>
      <c r="J208">
        <v>2370</v>
      </c>
      <c r="K208">
        <v>18</v>
      </c>
      <c r="L208">
        <v>0</v>
      </c>
      <c r="M208">
        <v>179</v>
      </c>
      <c r="N208" t="s">
        <v>33</v>
      </c>
      <c r="O208">
        <v>0.20100000000000001</v>
      </c>
      <c r="P208">
        <v>18578.43</v>
      </c>
      <c r="Q208">
        <f>(Table1[[#This Row],[Closing_Stock]]*Table1[[#This Row],[Unit_Cost_INR]])</f>
        <v>92430</v>
      </c>
      <c r="R208">
        <f>(Table1[[#This Row],[Unit_Cost_INR]]*Table1[[#This Row],[Consumption]])</f>
        <v>73470</v>
      </c>
      <c r="S208">
        <f>IFERROR(Table1[[#This Row],[Annual_Consumption_Value_INR]]/Table1[[#This Row],[Inventory_Value_INR]],0)</f>
        <v>0.79487179487179482</v>
      </c>
      <c r="T208">
        <f>IFERROR(365/Table1[[#This Row],[Inventory_Turnover]],0)</f>
        <v>459.19354838709683</v>
      </c>
      <c r="U208" t="str">
        <f>IF(Table1[[#This Row],[Consumption]]=0,"Non-Moving", IF(Table1[[#This Row],[Days_Since_Last_Movement]]&gt;90,"Slow-Moving","Active"))</f>
        <v>Slow-Moving</v>
      </c>
      <c r="V208">
        <f>SUM($Q$2:Q208)</f>
        <v>65416450</v>
      </c>
      <c r="W208">
        <f>Table1[[#This Row],[Cumulative_Inventory_Value]]/$AP$3</f>
        <v>0.86420675399301172</v>
      </c>
      <c r="X208" t="str">
        <f>IF(Table1[[#This Row],[Cumulative_Value_%]]&lt;80%,"A", IF(Table1[[#This Row],[Cumulative_Value_%]]&lt;=95%,"B","C"))</f>
        <v>B</v>
      </c>
      <c r="Y208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208">
        <f>Table1[[#This Row],[Consumption]]/365</f>
        <v>8.4931506849315067E-2</v>
      </c>
      <c r="AA208">
        <f>Table1[[#This Row],[Avg_Daily_Consumption]]*Table1[[#This Row],[Lead_Time_Days]]+Table1[[#This Row],[Safety_Stock]]</f>
        <v>3.5287671232876709</v>
      </c>
      <c r="AB208">
        <f>IFERROR(Table1[[#This Row],[Closing_Stock]]/Table1[[#This Row],[Avg_Daily_Consumption]],9999)</f>
        <v>459.19354838709677</v>
      </c>
      <c r="AC208">
        <f>MAX(1,ROUNDUP(Table1[[#This Row],[Avg_Daily_Consumption]]*Table1[[#This Row],[Lead_Time_Days]]*0.8,0))</f>
        <v>2</v>
      </c>
      <c r="AD208" t="str">
        <f>IF(Table1[[#This Row],[Closing_Stock]]&lt;Table1[[#This Row],[Reorder_Point]],"Stock-out Risk","Adequate")</f>
        <v>Adequate</v>
      </c>
      <c r="AE208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208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208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208" s="11">
        <f>MAX(0,Table1[[#This Row],[Closing_Stock]]-Table1[[#This Row],[Reorder_Point]])</f>
        <v>35.471232876712328</v>
      </c>
      <c r="AI208" s="11">
        <f>Table1[[#This Row],[Excess_Stock_Units]]*Table1[[#This Row],[Unit_Cost_INR]]</f>
        <v>84066.821917808222</v>
      </c>
      <c r="AJ208" s="11">
        <f>IF(Table1[[#This Row],[Criticality]]="Critical",0,Table1[[#This Row],[Excess_Inventory_Value_INR]])</f>
        <v>84066.821917808222</v>
      </c>
      <c r="AK208" s="11">
        <f>IF(AND(Table1[[#This Row],[Criticality]]&lt;&gt;"Critical",OR(Table1[[#This Row],[Movement_Class]]="Slow-Moving",Table1[[#This Row],[Movement_Class]]="Non-Moving")),Table1[[#This Row],[Excess_Inventory_Value_INR]],0)</f>
        <v>84066.821917808222</v>
      </c>
    </row>
    <row r="209" spans="1:37" x14ac:dyDescent="0.25">
      <c r="A209" t="s">
        <v>191</v>
      </c>
      <c r="B209" t="s">
        <v>150</v>
      </c>
      <c r="C209" t="s">
        <v>36</v>
      </c>
      <c r="D209" t="s">
        <v>42</v>
      </c>
      <c r="E209" t="s">
        <v>46</v>
      </c>
      <c r="F209">
        <v>23</v>
      </c>
      <c r="G209">
        <v>26</v>
      </c>
      <c r="H209">
        <v>29</v>
      </c>
      <c r="I209">
        <v>20</v>
      </c>
      <c r="J209">
        <v>4570</v>
      </c>
      <c r="K209">
        <v>18</v>
      </c>
      <c r="L209">
        <v>0</v>
      </c>
      <c r="M209">
        <v>74</v>
      </c>
      <c r="N209" t="s">
        <v>58</v>
      </c>
      <c r="O209">
        <v>0.23</v>
      </c>
      <c r="P209">
        <v>21022</v>
      </c>
      <c r="Q209">
        <f>(Table1[[#This Row],[Closing_Stock]]*Table1[[#This Row],[Unit_Cost_INR]])</f>
        <v>91400</v>
      </c>
      <c r="R209">
        <f>(Table1[[#This Row],[Unit_Cost_INR]]*Table1[[#This Row],[Consumption]])</f>
        <v>132530</v>
      </c>
      <c r="S209">
        <f>IFERROR(Table1[[#This Row],[Annual_Consumption_Value_INR]]/Table1[[#This Row],[Inventory_Value_INR]],0)</f>
        <v>1.45</v>
      </c>
      <c r="T209">
        <f>IFERROR(365/Table1[[#This Row],[Inventory_Turnover]],0)</f>
        <v>251.72413793103448</v>
      </c>
      <c r="U209" t="str">
        <f>IF(Table1[[#This Row],[Consumption]]=0,"Non-Moving", IF(Table1[[#This Row],[Days_Since_Last_Movement]]&gt;90,"Slow-Moving","Active"))</f>
        <v>Active</v>
      </c>
      <c r="V209">
        <f>SUM($Q$2:Q209)</f>
        <v>65507850</v>
      </c>
      <c r="W209">
        <f>Table1[[#This Row],[Cumulative_Inventory_Value]]/$AP$3</f>
        <v>0.86541422546715874</v>
      </c>
      <c r="X209" t="str">
        <f>IF(Table1[[#This Row],[Cumulative_Value_%]]&lt;80%,"A", IF(Table1[[#This Row],[Cumulative_Value_%]]&lt;=95%,"B","C"))</f>
        <v>B</v>
      </c>
      <c r="Y209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209">
        <f>Table1[[#This Row],[Consumption]]/365</f>
        <v>7.9452054794520555E-2</v>
      </c>
      <c r="AA209">
        <f>Table1[[#This Row],[Avg_Daily_Consumption]]*Table1[[#This Row],[Lead_Time_Days]]+Table1[[#This Row],[Safety_Stock]]</f>
        <v>3.43013698630137</v>
      </c>
      <c r="AB209">
        <f>IFERROR(Table1[[#This Row],[Closing_Stock]]/Table1[[#This Row],[Avg_Daily_Consumption]],9999)</f>
        <v>251.72413793103445</v>
      </c>
      <c r="AC209">
        <f>MAX(1,ROUNDUP(Table1[[#This Row],[Avg_Daily_Consumption]]*Table1[[#This Row],[Lead_Time_Days]]*0.8,0))</f>
        <v>2</v>
      </c>
      <c r="AD209" t="str">
        <f>IF(Table1[[#This Row],[Closing_Stock]]&lt;Table1[[#This Row],[Reorder_Point]],"Stock-out Risk","Adequate")</f>
        <v>Adequate</v>
      </c>
      <c r="AE209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209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209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209" s="11">
        <f>MAX(0,Table1[[#This Row],[Closing_Stock]]-Table1[[#This Row],[Reorder_Point]])</f>
        <v>16.56986301369863</v>
      </c>
      <c r="AI209" s="11">
        <f>Table1[[#This Row],[Excess_Stock_Units]]*Table1[[#This Row],[Unit_Cost_INR]]</f>
        <v>75724.273972602736</v>
      </c>
      <c r="AJ209" s="11">
        <f>IF(Table1[[#This Row],[Criticality]]="Critical",0,Table1[[#This Row],[Excess_Inventory_Value_INR]])</f>
        <v>75724.273972602736</v>
      </c>
      <c r="AK209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210" spans="1:37" x14ac:dyDescent="0.25">
      <c r="A210" t="s">
        <v>336</v>
      </c>
      <c r="B210" t="s">
        <v>80</v>
      </c>
      <c r="C210" t="s">
        <v>20</v>
      </c>
      <c r="D210" t="s">
        <v>27</v>
      </c>
      <c r="E210" t="s">
        <v>28</v>
      </c>
      <c r="F210">
        <v>50</v>
      </c>
      <c r="G210">
        <v>82</v>
      </c>
      <c r="H210">
        <v>67</v>
      </c>
      <c r="I210">
        <v>65</v>
      </c>
      <c r="J210">
        <v>1380</v>
      </c>
      <c r="K210">
        <v>27</v>
      </c>
      <c r="L210">
        <v>0</v>
      </c>
      <c r="M210">
        <v>7</v>
      </c>
      <c r="N210" t="s">
        <v>23</v>
      </c>
      <c r="O210">
        <v>0.24099999999999999</v>
      </c>
      <c r="P210">
        <v>21617.7</v>
      </c>
      <c r="Q210">
        <f>(Table1[[#This Row],[Closing_Stock]]*Table1[[#This Row],[Unit_Cost_INR]])</f>
        <v>89700</v>
      </c>
      <c r="R210">
        <f>(Table1[[#This Row],[Unit_Cost_INR]]*Table1[[#This Row],[Consumption]])</f>
        <v>92460</v>
      </c>
      <c r="S210">
        <f>IFERROR(Table1[[#This Row],[Annual_Consumption_Value_INR]]/Table1[[#This Row],[Inventory_Value_INR]],0)</f>
        <v>1.0307692307692307</v>
      </c>
      <c r="T210">
        <f>IFERROR(365/Table1[[#This Row],[Inventory_Turnover]],0)</f>
        <v>354.10447761194035</v>
      </c>
      <c r="U210" t="str">
        <f>IF(Table1[[#This Row],[Consumption]]=0,"Non-Moving", IF(Table1[[#This Row],[Days_Since_Last_Movement]]&gt;90,"Slow-Moving","Active"))</f>
        <v>Active</v>
      </c>
      <c r="V210">
        <f>SUM($Q$2:Q210)</f>
        <v>65597550</v>
      </c>
      <c r="W210">
        <f>Table1[[#This Row],[Cumulative_Inventory_Value]]/$AP$3</f>
        <v>0.86659923850032039</v>
      </c>
      <c r="X210" t="str">
        <f>IF(Table1[[#This Row],[Cumulative_Value_%]]&lt;80%,"A", IF(Table1[[#This Row],[Cumulative_Value_%]]&lt;=95%,"B","C"))</f>
        <v>B</v>
      </c>
      <c r="Y210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210">
        <f>Table1[[#This Row],[Consumption]]/365</f>
        <v>0.18356164383561643</v>
      </c>
      <c r="AA210">
        <f>Table1[[#This Row],[Avg_Daily_Consumption]]*Table1[[#This Row],[Lead_Time_Days]]+Table1[[#This Row],[Safety_Stock]]</f>
        <v>8.956164383561644</v>
      </c>
      <c r="AB210">
        <f>IFERROR(Table1[[#This Row],[Closing_Stock]]/Table1[[#This Row],[Avg_Daily_Consumption]],9999)</f>
        <v>354.1044776119403</v>
      </c>
      <c r="AC210">
        <f>MAX(1,ROUNDUP(Table1[[#This Row],[Avg_Daily_Consumption]]*Table1[[#This Row],[Lead_Time_Days]]*0.8,0))</f>
        <v>4</v>
      </c>
      <c r="AD210" t="str">
        <f>IF(Table1[[#This Row],[Closing_Stock]]&lt;Table1[[#This Row],[Reorder_Point]],"Stock-out Risk","Adequate")</f>
        <v>Adequate</v>
      </c>
      <c r="AE210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210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210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210" s="11">
        <f>MAX(0,Table1[[#This Row],[Closing_Stock]]-Table1[[#This Row],[Reorder_Point]])</f>
        <v>56.043835616438358</v>
      </c>
      <c r="AI210" s="11">
        <f>Table1[[#This Row],[Excess_Stock_Units]]*Table1[[#This Row],[Unit_Cost_INR]]</f>
        <v>77340.493150684939</v>
      </c>
      <c r="AJ210" s="11">
        <f>IF(Table1[[#This Row],[Criticality]]="Critical",0,Table1[[#This Row],[Excess_Inventory_Value_INR]])</f>
        <v>77340.493150684939</v>
      </c>
      <c r="AK210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211" spans="1:37" x14ac:dyDescent="0.25">
      <c r="A211" t="s">
        <v>192</v>
      </c>
      <c r="B211" t="s">
        <v>97</v>
      </c>
      <c r="C211" t="s">
        <v>52</v>
      </c>
      <c r="D211" t="s">
        <v>45</v>
      </c>
      <c r="E211" t="s">
        <v>46</v>
      </c>
      <c r="F211">
        <v>17</v>
      </c>
      <c r="G211">
        <v>39</v>
      </c>
      <c r="H211">
        <v>32</v>
      </c>
      <c r="I211">
        <v>46</v>
      </c>
      <c r="J211">
        <v>1910</v>
      </c>
      <c r="K211">
        <v>16</v>
      </c>
      <c r="L211">
        <v>0</v>
      </c>
      <c r="M211">
        <v>5</v>
      </c>
      <c r="N211" t="s">
        <v>23</v>
      </c>
      <c r="O211">
        <v>0.25600000000000001</v>
      </c>
      <c r="P211">
        <v>22492.16</v>
      </c>
      <c r="Q211">
        <f>(Table1[[#This Row],[Closing_Stock]]*Table1[[#This Row],[Unit_Cost_INR]])</f>
        <v>87860</v>
      </c>
      <c r="R211">
        <f>(Table1[[#This Row],[Unit_Cost_INR]]*Table1[[#This Row],[Consumption]])</f>
        <v>61120</v>
      </c>
      <c r="S211">
        <f>IFERROR(Table1[[#This Row],[Annual_Consumption_Value_INR]]/Table1[[#This Row],[Inventory_Value_INR]],0)</f>
        <v>0.69565217391304346</v>
      </c>
      <c r="T211">
        <f>IFERROR(365/Table1[[#This Row],[Inventory_Turnover]],0)</f>
        <v>524.6875</v>
      </c>
      <c r="U211" t="str">
        <f>IF(Table1[[#This Row],[Consumption]]=0,"Non-Moving", IF(Table1[[#This Row],[Days_Since_Last_Movement]]&gt;90,"Slow-Moving","Active"))</f>
        <v>Active</v>
      </c>
      <c r="V211">
        <f>SUM($Q$2:Q211)</f>
        <v>65685410</v>
      </c>
      <c r="W211">
        <f>Table1[[#This Row],[Cumulative_Inventory_Value]]/$AP$3</f>
        <v>0.86775994357382757</v>
      </c>
      <c r="X211" t="str">
        <f>IF(Table1[[#This Row],[Cumulative_Value_%]]&lt;80%,"A", IF(Table1[[#This Row],[Cumulative_Value_%]]&lt;=95%,"B","C"))</f>
        <v>B</v>
      </c>
      <c r="Y211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211">
        <f>Table1[[#This Row],[Consumption]]/365</f>
        <v>8.7671232876712329E-2</v>
      </c>
      <c r="AA211">
        <f>Table1[[#This Row],[Avg_Daily_Consumption]]*Table1[[#This Row],[Lead_Time_Days]]+Table1[[#This Row],[Safety_Stock]]</f>
        <v>3.4027397260273973</v>
      </c>
      <c r="AB211">
        <f>IFERROR(Table1[[#This Row],[Closing_Stock]]/Table1[[#This Row],[Avg_Daily_Consumption]],9999)</f>
        <v>524.6875</v>
      </c>
      <c r="AC211">
        <f>MAX(1,ROUNDUP(Table1[[#This Row],[Avg_Daily_Consumption]]*Table1[[#This Row],[Lead_Time_Days]]*0.8,0))</f>
        <v>2</v>
      </c>
      <c r="AD211" t="str">
        <f>IF(Table1[[#This Row],[Closing_Stock]]&lt;Table1[[#This Row],[Reorder_Point]],"Stock-out Risk","Adequate")</f>
        <v>Adequate</v>
      </c>
      <c r="AE211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211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211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211" s="11">
        <f>MAX(0,Table1[[#This Row],[Closing_Stock]]-Table1[[#This Row],[Reorder_Point]])</f>
        <v>42.597260273972601</v>
      </c>
      <c r="AI211" s="11">
        <f>Table1[[#This Row],[Excess_Stock_Units]]*Table1[[#This Row],[Unit_Cost_INR]]</f>
        <v>81360.767123287675</v>
      </c>
      <c r="AJ211" s="11">
        <f>IF(Table1[[#This Row],[Criticality]]="Critical",0,Table1[[#This Row],[Excess_Inventory_Value_INR]])</f>
        <v>81360.767123287675</v>
      </c>
      <c r="AK211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212" spans="1:37" x14ac:dyDescent="0.25">
      <c r="A212" t="s">
        <v>224</v>
      </c>
      <c r="B212" t="s">
        <v>48</v>
      </c>
      <c r="C212" t="s">
        <v>41</v>
      </c>
      <c r="D212" t="s">
        <v>60</v>
      </c>
      <c r="E212" t="s">
        <v>28</v>
      </c>
      <c r="F212">
        <v>25</v>
      </c>
      <c r="G212">
        <v>15</v>
      </c>
      <c r="H212">
        <v>13</v>
      </c>
      <c r="I212">
        <v>27</v>
      </c>
      <c r="J212">
        <v>3250</v>
      </c>
      <c r="K212">
        <v>25</v>
      </c>
      <c r="L212">
        <v>1</v>
      </c>
      <c r="M212">
        <v>46</v>
      </c>
      <c r="N212" t="s">
        <v>33</v>
      </c>
      <c r="O212">
        <v>0.192</v>
      </c>
      <c r="P212">
        <v>16848</v>
      </c>
      <c r="Q212">
        <f>(Table1[[#This Row],[Closing_Stock]]*Table1[[#This Row],[Unit_Cost_INR]])</f>
        <v>87750</v>
      </c>
      <c r="R212">
        <f>(Table1[[#This Row],[Unit_Cost_INR]]*Table1[[#This Row],[Consumption]])</f>
        <v>42250</v>
      </c>
      <c r="S212">
        <f>IFERROR(Table1[[#This Row],[Annual_Consumption_Value_INR]]/Table1[[#This Row],[Inventory_Value_INR]],0)</f>
        <v>0.48148148148148145</v>
      </c>
      <c r="T212">
        <f>IFERROR(365/Table1[[#This Row],[Inventory_Turnover]],0)</f>
        <v>758.07692307692309</v>
      </c>
      <c r="U212" t="str">
        <f>IF(Table1[[#This Row],[Consumption]]=0,"Non-Moving", IF(Table1[[#This Row],[Days_Since_Last_Movement]]&gt;90,"Slow-Moving","Active"))</f>
        <v>Active</v>
      </c>
      <c r="V212">
        <f>SUM($Q$2:Q212)</f>
        <v>65773160</v>
      </c>
      <c r="W212">
        <f>Table1[[#This Row],[Cumulative_Inventory_Value]]/$AP$3</f>
        <v>0.86891919545409446</v>
      </c>
      <c r="X212" t="str">
        <f>IF(Table1[[#This Row],[Cumulative_Value_%]]&lt;80%,"A", IF(Table1[[#This Row],[Cumulative_Value_%]]&lt;=95%,"B","C"))</f>
        <v>B</v>
      </c>
      <c r="Y212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212">
        <f>Table1[[#This Row],[Consumption]]/365</f>
        <v>3.5616438356164383E-2</v>
      </c>
      <c r="AA212">
        <f>Table1[[#This Row],[Avg_Daily_Consumption]]*Table1[[#This Row],[Lead_Time_Days]]+Table1[[#This Row],[Safety_Stock]]</f>
        <v>1.8904109589041096</v>
      </c>
      <c r="AB212">
        <f>IFERROR(Table1[[#This Row],[Closing_Stock]]/Table1[[#This Row],[Avg_Daily_Consumption]],9999)</f>
        <v>758.07692307692309</v>
      </c>
      <c r="AC212">
        <f>MAX(1,ROUNDUP(Table1[[#This Row],[Avg_Daily_Consumption]]*Table1[[#This Row],[Lead_Time_Days]]*0.8,0))</f>
        <v>1</v>
      </c>
      <c r="AD212" t="str">
        <f>IF(Table1[[#This Row],[Closing_Stock]]&lt;Table1[[#This Row],[Reorder_Point]],"Stock-out Risk","Adequate")</f>
        <v>Adequate</v>
      </c>
      <c r="AE212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212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212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212" s="11">
        <f>MAX(0,Table1[[#This Row],[Closing_Stock]]-Table1[[#This Row],[Reorder_Point]])</f>
        <v>25.109589041095891</v>
      </c>
      <c r="AI212" s="11">
        <f>Table1[[#This Row],[Excess_Stock_Units]]*Table1[[#This Row],[Unit_Cost_INR]]</f>
        <v>81606.164383561641</v>
      </c>
      <c r="AJ212" s="11">
        <f>IF(Table1[[#This Row],[Criticality]]="Critical",0,Table1[[#This Row],[Excess_Inventory_Value_INR]])</f>
        <v>81606.164383561641</v>
      </c>
      <c r="AK212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213" spans="1:37" x14ac:dyDescent="0.25">
      <c r="A213" t="s">
        <v>494</v>
      </c>
      <c r="B213" t="s">
        <v>165</v>
      </c>
      <c r="C213" t="s">
        <v>32</v>
      </c>
      <c r="D213" t="s">
        <v>45</v>
      </c>
      <c r="E213" t="s">
        <v>28</v>
      </c>
      <c r="F213">
        <v>36</v>
      </c>
      <c r="G213">
        <v>66</v>
      </c>
      <c r="H213">
        <v>63</v>
      </c>
      <c r="I213">
        <v>39</v>
      </c>
      <c r="J213">
        <v>2190</v>
      </c>
      <c r="K213">
        <v>24</v>
      </c>
      <c r="L213">
        <v>0</v>
      </c>
      <c r="M213">
        <v>43</v>
      </c>
      <c r="N213" t="s">
        <v>81</v>
      </c>
      <c r="O213">
        <v>0.25800000000000001</v>
      </c>
      <c r="P213">
        <v>22035.78</v>
      </c>
      <c r="Q213">
        <f>(Table1[[#This Row],[Closing_Stock]]*Table1[[#This Row],[Unit_Cost_INR]])</f>
        <v>85410</v>
      </c>
      <c r="R213">
        <f>(Table1[[#This Row],[Unit_Cost_INR]]*Table1[[#This Row],[Consumption]])</f>
        <v>137970</v>
      </c>
      <c r="S213">
        <f>IFERROR(Table1[[#This Row],[Annual_Consumption_Value_INR]]/Table1[[#This Row],[Inventory_Value_INR]],0)</f>
        <v>1.6153846153846154</v>
      </c>
      <c r="T213">
        <f>IFERROR(365/Table1[[#This Row],[Inventory_Turnover]],0)</f>
        <v>225.95238095238093</v>
      </c>
      <c r="U213" t="str">
        <f>IF(Table1[[#This Row],[Consumption]]=0,"Non-Moving", IF(Table1[[#This Row],[Days_Since_Last_Movement]]&gt;90,"Slow-Moving","Active"))</f>
        <v>Active</v>
      </c>
      <c r="V213">
        <f>SUM($Q$2:Q213)</f>
        <v>65858570</v>
      </c>
      <c r="W213">
        <f>Table1[[#This Row],[Cumulative_Inventory_Value]]/$AP$3</f>
        <v>0.87004753395088763</v>
      </c>
      <c r="X213" t="str">
        <f>IF(Table1[[#This Row],[Cumulative_Value_%]]&lt;80%,"A", IF(Table1[[#This Row],[Cumulative_Value_%]]&lt;=95%,"B","C"))</f>
        <v>B</v>
      </c>
      <c r="Y213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213">
        <f>Table1[[#This Row],[Consumption]]/365</f>
        <v>0.17260273972602741</v>
      </c>
      <c r="AA213">
        <f>Table1[[#This Row],[Avg_Daily_Consumption]]*Table1[[#This Row],[Lead_Time_Days]]+Table1[[#This Row],[Safety_Stock]]</f>
        <v>8.1424657534246574</v>
      </c>
      <c r="AB213">
        <f>IFERROR(Table1[[#This Row],[Closing_Stock]]/Table1[[#This Row],[Avg_Daily_Consumption]],9999)</f>
        <v>225.95238095238093</v>
      </c>
      <c r="AC213">
        <f>MAX(1,ROUNDUP(Table1[[#This Row],[Avg_Daily_Consumption]]*Table1[[#This Row],[Lead_Time_Days]]*0.8,0))</f>
        <v>4</v>
      </c>
      <c r="AD213" t="str">
        <f>IF(Table1[[#This Row],[Closing_Stock]]&lt;Table1[[#This Row],[Reorder_Point]],"Stock-out Risk","Adequate")</f>
        <v>Adequate</v>
      </c>
      <c r="AE213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213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213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213" s="11">
        <f>MAX(0,Table1[[#This Row],[Closing_Stock]]-Table1[[#This Row],[Reorder_Point]])</f>
        <v>30.857534246575341</v>
      </c>
      <c r="AI213" s="11">
        <f>Table1[[#This Row],[Excess_Stock_Units]]*Table1[[#This Row],[Unit_Cost_INR]]</f>
        <v>67578</v>
      </c>
      <c r="AJ213" s="11">
        <f>IF(Table1[[#This Row],[Criticality]]="Critical",0,Table1[[#This Row],[Excess_Inventory_Value_INR]])</f>
        <v>67578</v>
      </c>
      <c r="AK213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214" spans="1:37" x14ac:dyDescent="0.25">
      <c r="A214" t="s">
        <v>318</v>
      </c>
      <c r="B214" t="s">
        <v>95</v>
      </c>
      <c r="C214" t="s">
        <v>26</v>
      </c>
      <c r="D214" t="s">
        <v>60</v>
      </c>
      <c r="E214" t="s">
        <v>46</v>
      </c>
      <c r="F214">
        <v>9</v>
      </c>
      <c r="G214">
        <v>3</v>
      </c>
      <c r="H214">
        <v>4</v>
      </c>
      <c r="I214">
        <v>8</v>
      </c>
      <c r="J214">
        <v>10640</v>
      </c>
      <c r="K214">
        <v>20</v>
      </c>
      <c r="L214">
        <v>1</v>
      </c>
      <c r="M214">
        <v>37</v>
      </c>
      <c r="N214" t="s">
        <v>29</v>
      </c>
      <c r="O214">
        <v>0.19900000000000001</v>
      </c>
      <c r="P214">
        <v>16938.88</v>
      </c>
      <c r="Q214">
        <f>(Table1[[#This Row],[Closing_Stock]]*Table1[[#This Row],[Unit_Cost_INR]])</f>
        <v>85120</v>
      </c>
      <c r="R214">
        <f>(Table1[[#This Row],[Unit_Cost_INR]]*Table1[[#This Row],[Consumption]])</f>
        <v>42560</v>
      </c>
      <c r="S214">
        <f>IFERROR(Table1[[#This Row],[Annual_Consumption_Value_INR]]/Table1[[#This Row],[Inventory_Value_INR]],0)</f>
        <v>0.5</v>
      </c>
      <c r="T214">
        <f>IFERROR(365/Table1[[#This Row],[Inventory_Turnover]],0)</f>
        <v>730</v>
      </c>
      <c r="U214" t="str">
        <f>IF(Table1[[#This Row],[Consumption]]=0,"Non-Moving", IF(Table1[[#This Row],[Days_Since_Last_Movement]]&gt;90,"Slow-Moving","Active"))</f>
        <v>Active</v>
      </c>
      <c r="V214">
        <f>SUM($Q$2:Q214)</f>
        <v>65943690</v>
      </c>
      <c r="W214">
        <f>Table1[[#This Row],[Cumulative_Inventory_Value]]/$AP$3</f>
        <v>0.87117204130186565</v>
      </c>
      <c r="X214" t="str">
        <f>IF(Table1[[#This Row],[Cumulative_Value_%]]&lt;80%,"A", IF(Table1[[#This Row],[Cumulative_Value_%]]&lt;=95%,"B","C"))</f>
        <v>B</v>
      </c>
      <c r="Y214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214">
        <f>Table1[[#This Row],[Consumption]]/365</f>
        <v>1.0958904109589041E-2</v>
      </c>
      <c r="AA214">
        <f>Table1[[#This Row],[Avg_Daily_Consumption]]*Table1[[#This Row],[Lead_Time_Days]]+Table1[[#This Row],[Safety_Stock]]</f>
        <v>1.2191780821917808</v>
      </c>
      <c r="AB214">
        <f>IFERROR(Table1[[#This Row],[Closing_Stock]]/Table1[[#This Row],[Avg_Daily_Consumption]],9999)</f>
        <v>730</v>
      </c>
      <c r="AC214">
        <f>MAX(1,ROUNDUP(Table1[[#This Row],[Avg_Daily_Consumption]]*Table1[[#This Row],[Lead_Time_Days]]*0.8,0))</f>
        <v>1</v>
      </c>
      <c r="AD214" t="str">
        <f>IF(Table1[[#This Row],[Closing_Stock]]&lt;Table1[[#This Row],[Reorder_Point]],"Stock-out Risk","Adequate")</f>
        <v>Adequate</v>
      </c>
      <c r="AE214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214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214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214" s="11">
        <f>MAX(0,Table1[[#This Row],[Closing_Stock]]-Table1[[#This Row],[Reorder_Point]])</f>
        <v>6.7808219178082192</v>
      </c>
      <c r="AI214" s="11">
        <f>Table1[[#This Row],[Excess_Stock_Units]]*Table1[[#This Row],[Unit_Cost_INR]]</f>
        <v>72147.945205479453</v>
      </c>
      <c r="AJ214" s="11">
        <f>IF(Table1[[#This Row],[Criticality]]="Critical",0,Table1[[#This Row],[Excess_Inventory_Value_INR]])</f>
        <v>72147.945205479453</v>
      </c>
      <c r="AK214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215" spans="1:37" x14ac:dyDescent="0.25">
      <c r="A215" t="s">
        <v>406</v>
      </c>
      <c r="B215" t="s">
        <v>73</v>
      </c>
      <c r="C215" t="s">
        <v>41</v>
      </c>
      <c r="D215" t="s">
        <v>45</v>
      </c>
      <c r="E215" t="s">
        <v>37</v>
      </c>
      <c r="F215">
        <v>18</v>
      </c>
      <c r="G215">
        <v>13</v>
      </c>
      <c r="H215">
        <v>11</v>
      </c>
      <c r="I215">
        <v>20</v>
      </c>
      <c r="J215">
        <v>4240</v>
      </c>
      <c r="K215">
        <v>34</v>
      </c>
      <c r="L215">
        <v>1</v>
      </c>
      <c r="M215">
        <v>4</v>
      </c>
      <c r="N215" t="s">
        <v>33</v>
      </c>
      <c r="O215">
        <v>0.253</v>
      </c>
      <c r="P215">
        <v>21454.400000000001</v>
      </c>
      <c r="Q215">
        <f>(Table1[[#This Row],[Closing_Stock]]*Table1[[#This Row],[Unit_Cost_INR]])</f>
        <v>84800</v>
      </c>
      <c r="R215">
        <f>(Table1[[#This Row],[Unit_Cost_INR]]*Table1[[#This Row],[Consumption]])</f>
        <v>46640</v>
      </c>
      <c r="S215">
        <f>IFERROR(Table1[[#This Row],[Annual_Consumption_Value_INR]]/Table1[[#This Row],[Inventory_Value_INR]],0)</f>
        <v>0.55000000000000004</v>
      </c>
      <c r="T215">
        <f>IFERROR(365/Table1[[#This Row],[Inventory_Turnover]],0)</f>
        <v>663.63636363636363</v>
      </c>
      <c r="U215" t="str">
        <f>IF(Table1[[#This Row],[Consumption]]=0,"Non-Moving", IF(Table1[[#This Row],[Days_Since_Last_Movement]]&gt;90,"Slow-Moving","Active"))</f>
        <v>Active</v>
      </c>
      <c r="V215">
        <f>SUM($Q$2:Q215)</f>
        <v>66028490</v>
      </c>
      <c r="W215">
        <f>Table1[[#This Row],[Cumulative_Inventory_Value]]/$AP$3</f>
        <v>0.87229232118159938</v>
      </c>
      <c r="X215" t="str">
        <f>IF(Table1[[#This Row],[Cumulative_Value_%]]&lt;80%,"A", IF(Table1[[#This Row],[Cumulative_Value_%]]&lt;=95%,"B","C"))</f>
        <v>B</v>
      </c>
      <c r="Y215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215">
        <f>Table1[[#This Row],[Consumption]]/365</f>
        <v>3.0136986301369864E-2</v>
      </c>
      <c r="AA215">
        <f>Table1[[#This Row],[Avg_Daily_Consumption]]*Table1[[#This Row],[Lead_Time_Days]]+Table1[[#This Row],[Safety_Stock]]</f>
        <v>2.0246575342465754</v>
      </c>
      <c r="AB215">
        <f>IFERROR(Table1[[#This Row],[Closing_Stock]]/Table1[[#This Row],[Avg_Daily_Consumption]],9999)</f>
        <v>663.63636363636363</v>
      </c>
      <c r="AC215">
        <f>MAX(1,ROUNDUP(Table1[[#This Row],[Avg_Daily_Consumption]]*Table1[[#This Row],[Lead_Time_Days]]*0.8,0))</f>
        <v>1</v>
      </c>
      <c r="AD215" t="str">
        <f>IF(Table1[[#This Row],[Closing_Stock]]&lt;Table1[[#This Row],[Reorder_Point]],"Stock-out Risk","Adequate")</f>
        <v>Adequate</v>
      </c>
      <c r="AE215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215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215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215" s="11">
        <f>MAX(0,Table1[[#This Row],[Closing_Stock]]-Table1[[#This Row],[Reorder_Point]])</f>
        <v>17.975342465753425</v>
      </c>
      <c r="AI215" s="11">
        <f>Table1[[#This Row],[Excess_Stock_Units]]*Table1[[#This Row],[Unit_Cost_INR]]</f>
        <v>76215.452054794514</v>
      </c>
      <c r="AJ215" s="11">
        <f>IF(Table1[[#This Row],[Criticality]]="Critical",0,Table1[[#This Row],[Excess_Inventory_Value_INR]])</f>
        <v>0</v>
      </c>
      <c r="AK215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216" spans="1:37" x14ac:dyDescent="0.25">
      <c r="A216" t="s">
        <v>322</v>
      </c>
      <c r="B216" t="s">
        <v>51</v>
      </c>
      <c r="C216" t="s">
        <v>52</v>
      </c>
      <c r="D216" t="s">
        <v>42</v>
      </c>
      <c r="E216" t="s">
        <v>46</v>
      </c>
      <c r="F216">
        <v>21</v>
      </c>
      <c r="G216">
        <v>43</v>
      </c>
      <c r="H216">
        <v>35</v>
      </c>
      <c r="I216">
        <v>29</v>
      </c>
      <c r="J216">
        <v>2890</v>
      </c>
      <c r="K216">
        <v>38</v>
      </c>
      <c r="L216">
        <v>0</v>
      </c>
      <c r="M216">
        <v>19</v>
      </c>
      <c r="N216" t="s">
        <v>81</v>
      </c>
      <c r="O216">
        <v>0.20499999999999999</v>
      </c>
      <c r="P216">
        <v>17181.05</v>
      </c>
      <c r="Q216">
        <f>(Table1[[#This Row],[Closing_Stock]]*Table1[[#This Row],[Unit_Cost_INR]])</f>
        <v>83810</v>
      </c>
      <c r="R216">
        <f>(Table1[[#This Row],[Unit_Cost_INR]]*Table1[[#This Row],[Consumption]])</f>
        <v>101150</v>
      </c>
      <c r="S216">
        <f>IFERROR(Table1[[#This Row],[Annual_Consumption_Value_INR]]/Table1[[#This Row],[Inventory_Value_INR]],0)</f>
        <v>1.2068965517241379</v>
      </c>
      <c r="T216">
        <f>IFERROR(365/Table1[[#This Row],[Inventory_Turnover]],0)</f>
        <v>302.42857142857144</v>
      </c>
      <c r="U216" t="str">
        <f>IF(Table1[[#This Row],[Consumption]]=0,"Non-Moving", IF(Table1[[#This Row],[Days_Since_Last_Movement]]&gt;90,"Slow-Moving","Active"))</f>
        <v>Active</v>
      </c>
      <c r="V216">
        <f>SUM($Q$2:Q216)</f>
        <v>66112300</v>
      </c>
      <c r="W216">
        <f>Table1[[#This Row],[Cumulative_Inventory_Value]]/$AP$3</f>
        <v>0.87339952232217111</v>
      </c>
      <c r="X216" t="str">
        <f>IF(Table1[[#This Row],[Cumulative_Value_%]]&lt;80%,"A", IF(Table1[[#This Row],[Cumulative_Value_%]]&lt;=95%,"B","C"))</f>
        <v>B</v>
      </c>
      <c r="Y216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216">
        <f>Table1[[#This Row],[Consumption]]/365</f>
        <v>9.5890410958904104E-2</v>
      </c>
      <c r="AA216">
        <f>Table1[[#This Row],[Avg_Daily_Consumption]]*Table1[[#This Row],[Lead_Time_Days]]+Table1[[#This Row],[Safety_Stock]]</f>
        <v>6.6438356164383556</v>
      </c>
      <c r="AB216">
        <f>IFERROR(Table1[[#This Row],[Closing_Stock]]/Table1[[#This Row],[Avg_Daily_Consumption]],9999)</f>
        <v>302.42857142857144</v>
      </c>
      <c r="AC216">
        <f>MAX(1,ROUNDUP(Table1[[#This Row],[Avg_Daily_Consumption]]*Table1[[#This Row],[Lead_Time_Days]]*0.8,0))</f>
        <v>3</v>
      </c>
      <c r="AD216" t="str">
        <f>IF(Table1[[#This Row],[Closing_Stock]]&lt;Table1[[#This Row],[Reorder_Point]],"Stock-out Risk","Adequate")</f>
        <v>Adequate</v>
      </c>
      <c r="AE216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216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216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216" s="11">
        <f>MAX(0,Table1[[#This Row],[Closing_Stock]]-Table1[[#This Row],[Reorder_Point]])</f>
        <v>22.356164383561644</v>
      </c>
      <c r="AI216" s="11">
        <f>Table1[[#This Row],[Excess_Stock_Units]]*Table1[[#This Row],[Unit_Cost_INR]]</f>
        <v>64609.315068493153</v>
      </c>
      <c r="AJ216" s="11">
        <f>IF(Table1[[#This Row],[Criticality]]="Critical",0,Table1[[#This Row],[Excess_Inventory_Value_INR]])</f>
        <v>64609.315068493153</v>
      </c>
      <c r="AK216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217" spans="1:37" x14ac:dyDescent="0.25">
      <c r="A217" t="s">
        <v>177</v>
      </c>
      <c r="B217" t="s">
        <v>126</v>
      </c>
      <c r="C217" t="s">
        <v>20</v>
      </c>
      <c r="D217" t="s">
        <v>60</v>
      </c>
      <c r="E217" t="s">
        <v>28</v>
      </c>
      <c r="F217">
        <v>9</v>
      </c>
      <c r="G217">
        <v>13</v>
      </c>
      <c r="H217">
        <v>8</v>
      </c>
      <c r="I217">
        <v>14</v>
      </c>
      <c r="J217">
        <v>5920</v>
      </c>
      <c r="K217">
        <v>39</v>
      </c>
      <c r="L217">
        <v>0</v>
      </c>
      <c r="M217">
        <v>52</v>
      </c>
      <c r="N217" t="s">
        <v>81</v>
      </c>
      <c r="O217">
        <v>0.16700000000000001</v>
      </c>
      <c r="P217">
        <v>13840.96</v>
      </c>
      <c r="Q217">
        <f>(Table1[[#This Row],[Closing_Stock]]*Table1[[#This Row],[Unit_Cost_INR]])</f>
        <v>82880</v>
      </c>
      <c r="R217">
        <f>(Table1[[#This Row],[Unit_Cost_INR]]*Table1[[#This Row],[Consumption]])</f>
        <v>47360</v>
      </c>
      <c r="S217">
        <f>IFERROR(Table1[[#This Row],[Annual_Consumption_Value_INR]]/Table1[[#This Row],[Inventory_Value_INR]],0)</f>
        <v>0.5714285714285714</v>
      </c>
      <c r="T217">
        <f>IFERROR(365/Table1[[#This Row],[Inventory_Turnover]],0)</f>
        <v>638.75</v>
      </c>
      <c r="U217" t="str">
        <f>IF(Table1[[#This Row],[Consumption]]=0,"Non-Moving", IF(Table1[[#This Row],[Days_Since_Last_Movement]]&gt;90,"Slow-Moving","Active"))</f>
        <v>Active</v>
      </c>
      <c r="V217">
        <f>SUM($Q$2:Q217)</f>
        <v>66195180</v>
      </c>
      <c r="W217">
        <f>Table1[[#This Row],[Cumulative_Inventory_Value]]/$AP$3</f>
        <v>0.8744944373744391</v>
      </c>
      <c r="X217" t="str">
        <f>IF(Table1[[#This Row],[Cumulative_Value_%]]&lt;80%,"A", IF(Table1[[#This Row],[Cumulative_Value_%]]&lt;=95%,"B","C"))</f>
        <v>B</v>
      </c>
      <c r="Y217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217">
        <f>Table1[[#This Row],[Consumption]]/365</f>
        <v>2.1917808219178082E-2</v>
      </c>
      <c r="AA217">
        <f>Table1[[#This Row],[Avg_Daily_Consumption]]*Table1[[#This Row],[Lead_Time_Days]]+Table1[[#This Row],[Safety_Stock]]</f>
        <v>1.8547945205479452</v>
      </c>
      <c r="AB217">
        <f>IFERROR(Table1[[#This Row],[Closing_Stock]]/Table1[[#This Row],[Avg_Daily_Consumption]],9999)</f>
        <v>638.75</v>
      </c>
      <c r="AC217">
        <f>MAX(1,ROUNDUP(Table1[[#This Row],[Avg_Daily_Consumption]]*Table1[[#This Row],[Lead_Time_Days]]*0.8,0))</f>
        <v>1</v>
      </c>
      <c r="AD217" t="str">
        <f>IF(Table1[[#This Row],[Closing_Stock]]&lt;Table1[[#This Row],[Reorder_Point]],"Stock-out Risk","Adequate")</f>
        <v>Adequate</v>
      </c>
      <c r="AE217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217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217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217" s="11">
        <f>MAX(0,Table1[[#This Row],[Closing_Stock]]-Table1[[#This Row],[Reorder_Point]])</f>
        <v>12.145205479452056</v>
      </c>
      <c r="AI217" s="11">
        <f>Table1[[#This Row],[Excess_Stock_Units]]*Table1[[#This Row],[Unit_Cost_INR]]</f>
        <v>71899.61643835617</v>
      </c>
      <c r="AJ217" s="11">
        <f>IF(Table1[[#This Row],[Criticality]]="Critical",0,Table1[[#This Row],[Excess_Inventory_Value_INR]])</f>
        <v>71899.61643835617</v>
      </c>
      <c r="AK217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218" spans="1:37" x14ac:dyDescent="0.25">
      <c r="A218" t="s">
        <v>539</v>
      </c>
      <c r="B218" t="s">
        <v>85</v>
      </c>
      <c r="C218" t="s">
        <v>41</v>
      </c>
      <c r="D218" t="s">
        <v>21</v>
      </c>
      <c r="E218" t="s">
        <v>22</v>
      </c>
      <c r="F218">
        <v>46</v>
      </c>
      <c r="G218">
        <v>56</v>
      </c>
      <c r="H218">
        <v>60</v>
      </c>
      <c r="I218">
        <v>42</v>
      </c>
      <c r="J218">
        <v>1950</v>
      </c>
      <c r="K218">
        <v>40</v>
      </c>
      <c r="L218">
        <v>0</v>
      </c>
      <c r="M218">
        <v>141</v>
      </c>
      <c r="N218" t="s">
        <v>58</v>
      </c>
      <c r="O218">
        <v>0.21</v>
      </c>
      <c r="P218">
        <v>17199</v>
      </c>
      <c r="Q218">
        <f>(Table1[[#This Row],[Closing_Stock]]*Table1[[#This Row],[Unit_Cost_INR]])</f>
        <v>81900</v>
      </c>
      <c r="R218">
        <f>(Table1[[#This Row],[Unit_Cost_INR]]*Table1[[#This Row],[Consumption]])</f>
        <v>117000</v>
      </c>
      <c r="S218">
        <f>IFERROR(Table1[[#This Row],[Annual_Consumption_Value_INR]]/Table1[[#This Row],[Inventory_Value_INR]],0)</f>
        <v>1.4285714285714286</v>
      </c>
      <c r="T218">
        <f>IFERROR(365/Table1[[#This Row],[Inventory_Turnover]],0)</f>
        <v>255.5</v>
      </c>
      <c r="U218" t="str">
        <f>IF(Table1[[#This Row],[Consumption]]=0,"Non-Moving", IF(Table1[[#This Row],[Days_Since_Last_Movement]]&gt;90,"Slow-Moving","Active"))</f>
        <v>Slow-Moving</v>
      </c>
      <c r="V218">
        <f>SUM($Q$2:Q218)</f>
        <v>66277080</v>
      </c>
      <c r="W218">
        <f>Table1[[#This Row],[Cumulative_Inventory_Value]]/$AP$3</f>
        <v>0.87557640579602158</v>
      </c>
      <c r="X218" t="str">
        <f>IF(Table1[[#This Row],[Cumulative_Value_%]]&lt;80%,"A", IF(Table1[[#This Row],[Cumulative_Value_%]]&lt;=95%,"B","C"))</f>
        <v>B</v>
      </c>
      <c r="Y218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218">
        <f>Table1[[#This Row],[Consumption]]/365</f>
        <v>0.16438356164383561</v>
      </c>
      <c r="AA218">
        <f>Table1[[#This Row],[Avg_Daily_Consumption]]*Table1[[#This Row],[Lead_Time_Days]]+Table1[[#This Row],[Safety_Stock]]</f>
        <v>12.575342465753424</v>
      </c>
      <c r="AB218">
        <f>IFERROR(Table1[[#This Row],[Closing_Stock]]/Table1[[#This Row],[Avg_Daily_Consumption]],9999)</f>
        <v>255.5</v>
      </c>
      <c r="AC218">
        <f>MAX(1,ROUNDUP(Table1[[#This Row],[Avg_Daily_Consumption]]*Table1[[#This Row],[Lead_Time_Days]]*0.8,0))</f>
        <v>6</v>
      </c>
      <c r="AD218" t="str">
        <f>IF(Table1[[#This Row],[Closing_Stock]]&lt;Table1[[#This Row],[Reorder_Point]],"Stock-out Risk","Adequate")</f>
        <v>Adequate</v>
      </c>
      <c r="AE218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218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218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218" s="11">
        <f>MAX(0,Table1[[#This Row],[Closing_Stock]]-Table1[[#This Row],[Reorder_Point]])</f>
        <v>29.424657534246577</v>
      </c>
      <c r="AI218" s="11">
        <f>Table1[[#This Row],[Excess_Stock_Units]]*Table1[[#This Row],[Unit_Cost_INR]]</f>
        <v>57378.082191780828</v>
      </c>
      <c r="AJ218" s="11">
        <f>IF(Table1[[#This Row],[Criticality]]="Critical",0,Table1[[#This Row],[Excess_Inventory_Value_INR]])</f>
        <v>57378.082191780828</v>
      </c>
      <c r="AK218" s="11">
        <f>IF(AND(Table1[[#This Row],[Criticality]]&lt;&gt;"Critical",OR(Table1[[#This Row],[Movement_Class]]="Slow-Moving",Table1[[#This Row],[Movement_Class]]="Non-Moving")),Table1[[#This Row],[Excess_Inventory_Value_INR]],0)</f>
        <v>57378.082191780828</v>
      </c>
    </row>
    <row r="219" spans="1:37" x14ac:dyDescent="0.25">
      <c r="A219" t="s">
        <v>257</v>
      </c>
      <c r="B219" t="s">
        <v>73</v>
      </c>
      <c r="C219" t="s">
        <v>41</v>
      </c>
      <c r="D219" t="s">
        <v>45</v>
      </c>
      <c r="E219" t="s">
        <v>37</v>
      </c>
      <c r="F219">
        <v>19</v>
      </c>
      <c r="G219">
        <v>12</v>
      </c>
      <c r="H219">
        <v>9</v>
      </c>
      <c r="I219">
        <v>22</v>
      </c>
      <c r="J219">
        <v>3720</v>
      </c>
      <c r="K219">
        <v>13</v>
      </c>
      <c r="L219">
        <v>0</v>
      </c>
      <c r="M219">
        <v>77</v>
      </c>
      <c r="N219" t="s">
        <v>81</v>
      </c>
      <c r="O219">
        <v>0.26800000000000002</v>
      </c>
      <c r="P219">
        <v>21933.119999999999</v>
      </c>
      <c r="Q219">
        <f>(Table1[[#This Row],[Closing_Stock]]*Table1[[#This Row],[Unit_Cost_INR]])</f>
        <v>81840</v>
      </c>
      <c r="R219">
        <f>(Table1[[#This Row],[Unit_Cost_INR]]*Table1[[#This Row],[Consumption]])</f>
        <v>33480</v>
      </c>
      <c r="S219">
        <f>IFERROR(Table1[[#This Row],[Annual_Consumption_Value_INR]]/Table1[[#This Row],[Inventory_Value_INR]],0)</f>
        <v>0.40909090909090912</v>
      </c>
      <c r="T219">
        <f>IFERROR(365/Table1[[#This Row],[Inventory_Turnover]],0)</f>
        <v>892.22222222222217</v>
      </c>
      <c r="U219" t="str">
        <f>IF(Table1[[#This Row],[Consumption]]=0,"Non-Moving", IF(Table1[[#This Row],[Days_Since_Last_Movement]]&gt;90,"Slow-Moving","Active"))</f>
        <v>Active</v>
      </c>
      <c r="V219">
        <f>SUM($Q$2:Q219)</f>
        <v>66358920</v>
      </c>
      <c r="W219">
        <f>Table1[[#This Row],[Cumulative_Inventory_Value]]/$AP$3</f>
        <v>0.87665758156674578</v>
      </c>
      <c r="X219" t="str">
        <f>IF(Table1[[#This Row],[Cumulative_Value_%]]&lt;80%,"A", IF(Table1[[#This Row],[Cumulative_Value_%]]&lt;=95%,"B","C"))</f>
        <v>B</v>
      </c>
      <c r="Y219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219">
        <f>Table1[[#This Row],[Consumption]]/365</f>
        <v>2.4657534246575342E-2</v>
      </c>
      <c r="AA219">
        <f>Table1[[#This Row],[Avg_Daily_Consumption]]*Table1[[#This Row],[Lead_Time_Days]]+Table1[[#This Row],[Safety_Stock]]</f>
        <v>1.3205479452054796</v>
      </c>
      <c r="AB219">
        <f>IFERROR(Table1[[#This Row],[Closing_Stock]]/Table1[[#This Row],[Avg_Daily_Consumption]],9999)</f>
        <v>892.22222222222229</v>
      </c>
      <c r="AC219">
        <f>MAX(1,ROUNDUP(Table1[[#This Row],[Avg_Daily_Consumption]]*Table1[[#This Row],[Lead_Time_Days]]*0.8,0))</f>
        <v>1</v>
      </c>
      <c r="AD219" t="str">
        <f>IF(Table1[[#This Row],[Closing_Stock]]&lt;Table1[[#This Row],[Reorder_Point]],"Stock-out Risk","Adequate")</f>
        <v>Adequate</v>
      </c>
      <c r="AE219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219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219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219" s="11">
        <f>MAX(0,Table1[[#This Row],[Closing_Stock]]-Table1[[#This Row],[Reorder_Point]])</f>
        <v>20.67945205479452</v>
      </c>
      <c r="AI219" s="11">
        <f>Table1[[#This Row],[Excess_Stock_Units]]*Table1[[#This Row],[Unit_Cost_INR]]</f>
        <v>76927.561643835623</v>
      </c>
      <c r="AJ219" s="11">
        <f>IF(Table1[[#This Row],[Criticality]]="Critical",0,Table1[[#This Row],[Excess_Inventory_Value_INR]])</f>
        <v>0</v>
      </c>
      <c r="AK219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220" spans="1:37" x14ac:dyDescent="0.25">
      <c r="A220" t="s">
        <v>149</v>
      </c>
      <c r="B220" t="s">
        <v>150</v>
      </c>
      <c r="C220" t="s">
        <v>36</v>
      </c>
      <c r="D220" t="s">
        <v>66</v>
      </c>
      <c r="E220" t="s">
        <v>28</v>
      </c>
      <c r="F220">
        <v>13</v>
      </c>
      <c r="G220">
        <v>6</v>
      </c>
      <c r="H220">
        <v>3</v>
      </c>
      <c r="I220">
        <v>16</v>
      </c>
      <c r="J220">
        <v>5110</v>
      </c>
      <c r="K220">
        <v>22</v>
      </c>
      <c r="L220">
        <v>0</v>
      </c>
      <c r="M220">
        <v>1</v>
      </c>
      <c r="N220" t="s">
        <v>33</v>
      </c>
      <c r="O220">
        <v>0.222</v>
      </c>
      <c r="P220">
        <v>18150.72</v>
      </c>
      <c r="Q220">
        <f>(Table1[[#This Row],[Closing_Stock]]*Table1[[#This Row],[Unit_Cost_INR]])</f>
        <v>81760</v>
      </c>
      <c r="R220">
        <f>(Table1[[#This Row],[Unit_Cost_INR]]*Table1[[#This Row],[Consumption]])</f>
        <v>15330</v>
      </c>
      <c r="S220">
        <f>IFERROR(Table1[[#This Row],[Annual_Consumption_Value_INR]]/Table1[[#This Row],[Inventory_Value_INR]],0)</f>
        <v>0.1875</v>
      </c>
      <c r="T220">
        <f>IFERROR(365/Table1[[#This Row],[Inventory_Turnover]],0)</f>
        <v>1946.6666666666667</v>
      </c>
      <c r="U220" t="str">
        <f>IF(Table1[[#This Row],[Consumption]]=0,"Non-Moving", IF(Table1[[#This Row],[Days_Since_Last_Movement]]&gt;90,"Slow-Moving","Active"))</f>
        <v>Active</v>
      </c>
      <c r="V220">
        <f>SUM($Q$2:Q220)</f>
        <v>66440680</v>
      </c>
      <c r="W220">
        <f>Table1[[#This Row],[Cumulative_Inventory_Value]]/$AP$3</f>
        <v>0.87773770046965882</v>
      </c>
      <c r="X220" t="str">
        <f>IF(Table1[[#This Row],[Cumulative_Value_%]]&lt;80%,"A", IF(Table1[[#This Row],[Cumulative_Value_%]]&lt;=95%,"B","C"))</f>
        <v>B</v>
      </c>
      <c r="Y220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220">
        <f>Table1[[#This Row],[Consumption]]/365</f>
        <v>8.21917808219178E-3</v>
      </c>
      <c r="AA220">
        <f>Table1[[#This Row],[Avg_Daily_Consumption]]*Table1[[#This Row],[Lead_Time_Days]]+Table1[[#This Row],[Safety_Stock]]</f>
        <v>1.1808219178082191</v>
      </c>
      <c r="AB220">
        <f>IFERROR(Table1[[#This Row],[Closing_Stock]]/Table1[[#This Row],[Avg_Daily_Consumption]],9999)</f>
        <v>1946.666666666667</v>
      </c>
      <c r="AC220">
        <f>MAX(1,ROUNDUP(Table1[[#This Row],[Avg_Daily_Consumption]]*Table1[[#This Row],[Lead_Time_Days]]*0.8,0))</f>
        <v>1</v>
      </c>
      <c r="AD220" t="str">
        <f>IF(Table1[[#This Row],[Closing_Stock]]&lt;Table1[[#This Row],[Reorder_Point]],"Stock-out Risk","Adequate")</f>
        <v>Adequate</v>
      </c>
      <c r="AE220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220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220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220" s="11">
        <f>MAX(0,Table1[[#This Row],[Closing_Stock]]-Table1[[#This Row],[Reorder_Point]])</f>
        <v>14.819178082191781</v>
      </c>
      <c r="AI220" s="11">
        <f>Table1[[#This Row],[Excess_Stock_Units]]*Table1[[#This Row],[Unit_Cost_INR]]</f>
        <v>75726</v>
      </c>
      <c r="AJ220" s="11">
        <f>IF(Table1[[#This Row],[Criticality]]="Critical",0,Table1[[#This Row],[Excess_Inventory_Value_INR]])</f>
        <v>75726</v>
      </c>
      <c r="AK220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221" spans="1:37" x14ac:dyDescent="0.25">
      <c r="A221" t="s">
        <v>531</v>
      </c>
      <c r="B221" t="s">
        <v>40</v>
      </c>
      <c r="C221" t="s">
        <v>41</v>
      </c>
      <c r="D221" t="s">
        <v>66</v>
      </c>
      <c r="E221" t="s">
        <v>22</v>
      </c>
      <c r="F221">
        <v>23</v>
      </c>
      <c r="G221">
        <v>21</v>
      </c>
      <c r="H221">
        <v>17</v>
      </c>
      <c r="I221">
        <v>27</v>
      </c>
      <c r="J221">
        <v>3010</v>
      </c>
      <c r="K221">
        <v>10</v>
      </c>
      <c r="L221">
        <v>2</v>
      </c>
      <c r="M221">
        <v>95</v>
      </c>
      <c r="N221" t="s">
        <v>23</v>
      </c>
      <c r="O221">
        <v>0.186</v>
      </c>
      <c r="P221">
        <v>15116.22</v>
      </c>
      <c r="Q221">
        <f>(Table1[[#This Row],[Closing_Stock]]*Table1[[#This Row],[Unit_Cost_INR]])</f>
        <v>81270</v>
      </c>
      <c r="R221">
        <f>(Table1[[#This Row],[Unit_Cost_INR]]*Table1[[#This Row],[Consumption]])</f>
        <v>51170</v>
      </c>
      <c r="S221">
        <f>IFERROR(Table1[[#This Row],[Annual_Consumption_Value_INR]]/Table1[[#This Row],[Inventory_Value_INR]],0)</f>
        <v>0.62962962962962965</v>
      </c>
      <c r="T221">
        <f>IFERROR(365/Table1[[#This Row],[Inventory_Turnover]],0)</f>
        <v>579.7058823529411</v>
      </c>
      <c r="U221" t="str">
        <f>IF(Table1[[#This Row],[Consumption]]=0,"Non-Moving", IF(Table1[[#This Row],[Days_Since_Last_Movement]]&gt;90,"Slow-Moving","Active"))</f>
        <v>Slow-Moving</v>
      </c>
      <c r="V221">
        <f>SUM($Q$2:Q221)</f>
        <v>66521950</v>
      </c>
      <c r="W221">
        <f>Table1[[#This Row],[Cumulative_Inventory_Value]]/$AP$3</f>
        <v>0.8788113460572291</v>
      </c>
      <c r="X221" t="str">
        <f>IF(Table1[[#This Row],[Cumulative_Value_%]]&lt;80%,"A", IF(Table1[[#This Row],[Cumulative_Value_%]]&lt;=95%,"B","C"))</f>
        <v>B</v>
      </c>
      <c r="Y221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221">
        <f>Table1[[#This Row],[Consumption]]/365</f>
        <v>4.6575342465753428E-2</v>
      </c>
      <c r="AA221">
        <f>Table1[[#This Row],[Avg_Daily_Consumption]]*Table1[[#This Row],[Lead_Time_Days]]+Table1[[#This Row],[Safety_Stock]]</f>
        <v>1.4657534246575343</v>
      </c>
      <c r="AB221">
        <f>IFERROR(Table1[[#This Row],[Closing_Stock]]/Table1[[#This Row],[Avg_Daily_Consumption]],9999)</f>
        <v>579.7058823529411</v>
      </c>
      <c r="AC221">
        <f>MAX(1,ROUNDUP(Table1[[#This Row],[Avg_Daily_Consumption]]*Table1[[#This Row],[Lead_Time_Days]]*0.8,0))</f>
        <v>1</v>
      </c>
      <c r="AD221" t="str">
        <f>IF(Table1[[#This Row],[Closing_Stock]]&lt;Table1[[#This Row],[Reorder_Point]],"Stock-out Risk","Adequate")</f>
        <v>Adequate</v>
      </c>
      <c r="AE221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221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221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221" s="11">
        <f>MAX(0,Table1[[#This Row],[Closing_Stock]]-Table1[[#This Row],[Reorder_Point]])</f>
        <v>25.534246575342465</v>
      </c>
      <c r="AI221" s="11">
        <f>Table1[[#This Row],[Excess_Stock_Units]]*Table1[[#This Row],[Unit_Cost_INR]]</f>
        <v>76858.082191780821</v>
      </c>
      <c r="AJ221" s="11">
        <f>IF(Table1[[#This Row],[Criticality]]="Critical",0,Table1[[#This Row],[Excess_Inventory_Value_INR]])</f>
        <v>76858.082191780821</v>
      </c>
      <c r="AK221" s="11">
        <f>IF(AND(Table1[[#This Row],[Criticality]]&lt;&gt;"Critical",OR(Table1[[#This Row],[Movement_Class]]="Slow-Moving",Table1[[#This Row],[Movement_Class]]="Non-Moving")),Table1[[#This Row],[Excess_Inventory_Value_INR]],0)</f>
        <v>76858.082191780821</v>
      </c>
    </row>
    <row r="222" spans="1:37" x14ac:dyDescent="0.25">
      <c r="A222" t="s">
        <v>437</v>
      </c>
      <c r="B222" t="s">
        <v>25</v>
      </c>
      <c r="C222" t="s">
        <v>26</v>
      </c>
      <c r="D222" t="s">
        <v>27</v>
      </c>
      <c r="E222" t="s">
        <v>22</v>
      </c>
      <c r="F222">
        <v>11</v>
      </c>
      <c r="G222">
        <v>5</v>
      </c>
      <c r="H222">
        <v>4</v>
      </c>
      <c r="I222">
        <v>12</v>
      </c>
      <c r="J222">
        <v>6750</v>
      </c>
      <c r="K222">
        <v>12</v>
      </c>
      <c r="L222">
        <v>0</v>
      </c>
      <c r="M222">
        <v>27</v>
      </c>
      <c r="N222" t="s">
        <v>49</v>
      </c>
      <c r="O222">
        <v>0.19400000000000001</v>
      </c>
      <c r="P222">
        <v>15714</v>
      </c>
      <c r="Q222">
        <f>(Table1[[#This Row],[Closing_Stock]]*Table1[[#This Row],[Unit_Cost_INR]])</f>
        <v>81000</v>
      </c>
      <c r="R222">
        <f>(Table1[[#This Row],[Unit_Cost_INR]]*Table1[[#This Row],[Consumption]])</f>
        <v>27000</v>
      </c>
      <c r="S222">
        <f>IFERROR(Table1[[#This Row],[Annual_Consumption_Value_INR]]/Table1[[#This Row],[Inventory_Value_INR]],0)</f>
        <v>0.33333333333333331</v>
      </c>
      <c r="T222">
        <f>IFERROR(365/Table1[[#This Row],[Inventory_Turnover]],0)</f>
        <v>1095</v>
      </c>
      <c r="U222" t="str">
        <f>IF(Table1[[#This Row],[Consumption]]=0,"Non-Moving", IF(Table1[[#This Row],[Days_Since_Last_Movement]]&gt;90,"Slow-Moving","Active"))</f>
        <v>Active</v>
      </c>
      <c r="V222">
        <f>SUM($Q$2:Q222)</f>
        <v>66602950</v>
      </c>
      <c r="W222">
        <f>Table1[[#This Row],[Cumulative_Inventory_Value]]/$AP$3</f>
        <v>0.879881424715937</v>
      </c>
      <c r="X222" t="str">
        <f>IF(Table1[[#This Row],[Cumulative_Value_%]]&lt;80%,"A", IF(Table1[[#This Row],[Cumulative_Value_%]]&lt;=95%,"B","C"))</f>
        <v>B</v>
      </c>
      <c r="Y222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222">
        <f>Table1[[#This Row],[Consumption]]/365</f>
        <v>1.0958904109589041E-2</v>
      </c>
      <c r="AA222">
        <f>Table1[[#This Row],[Avg_Daily_Consumption]]*Table1[[#This Row],[Lead_Time_Days]]+Table1[[#This Row],[Safety_Stock]]</f>
        <v>1.1315068493150684</v>
      </c>
      <c r="AB222">
        <f>IFERROR(Table1[[#This Row],[Closing_Stock]]/Table1[[#This Row],[Avg_Daily_Consumption]],9999)</f>
        <v>1095</v>
      </c>
      <c r="AC222">
        <f>MAX(1,ROUNDUP(Table1[[#This Row],[Avg_Daily_Consumption]]*Table1[[#This Row],[Lead_Time_Days]]*0.8,0))</f>
        <v>1</v>
      </c>
      <c r="AD222" t="str">
        <f>IF(Table1[[#This Row],[Closing_Stock]]&lt;Table1[[#This Row],[Reorder_Point]],"Stock-out Risk","Adequate")</f>
        <v>Adequate</v>
      </c>
      <c r="AE222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222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222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222" s="11">
        <f>MAX(0,Table1[[#This Row],[Closing_Stock]]-Table1[[#This Row],[Reorder_Point]])</f>
        <v>10.868493150684932</v>
      </c>
      <c r="AI222" s="11">
        <f>Table1[[#This Row],[Excess_Stock_Units]]*Table1[[#This Row],[Unit_Cost_INR]]</f>
        <v>73362.328767123297</v>
      </c>
      <c r="AJ222" s="11">
        <f>IF(Table1[[#This Row],[Criticality]]="Critical",0,Table1[[#This Row],[Excess_Inventory_Value_INR]])</f>
        <v>73362.328767123297</v>
      </c>
      <c r="AK222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223" spans="1:37" x14ac:dyDescent="0.25">
      <c r="A223" t="s">
        <v>495</v>
      </c>
      <c r="B223" t="s">
        <v>48</v>
      </c>
      <c r="C223" t="s">
        <v>41</v>
      </c>
      <c r="D223" t="s">
        <v>45</v>
      </c>
      <c r="E223" t="s">
        <v>46</v>
      </c>
      <c r="F223">
        <v>19</v>
      </c>
      <c r="G223">
        <v>12</v>
      </c>
      <c r="H223">
        <v>9</v>
      </c>
      <c r="I223">
        <v>22</v>
      </c>
      <c r="J223">
        <v>3680</v>
      </c>
      <c r="K223">
        <v>50</v>
      </c>
      <c r="L223">
        <v>0</v>
      </c>
      <c r="M223">
        <v>157</v>
      </c>
      <c r="N223" t="s">
        <v>33</v>
      </c>
      <c r="O223">
        <v>0.22800000000000001</v>
      </c>
      <c r="P223">
        <v>18458.88</v>
      </c>
      <c r="Q223">
        <f>(Table1[[#This Row],[Closing_Stock]]*Table1[[#This Row],[Unit_Cost_INR]])</f>
        <v>80960</v>
      </c>
      <c r="R223">
        <f>(Table1[[#This Row],[Unit_Cost_INR]]*Table1[[#This Row],[Consumption]])</f>
        <v>33120</v>
      </c>
      <c r="S223">
        <f>IFERROR(Table1[[#This Row],[Annual_Consumption_Value_INR]]/Table1[[#This Row],[Inventory_Value_INR]],0)</f>
        <v>0.40909090909090912</v>
      </c>
      <c r="T223">
        <f>IFERROR(365/Table1[[#This Row],[Inventory_Turnover]],0)</f>
        <v>892.22222222222217</v>
      </c>
      <c r="U223" t="str">
        <f>IF(Table1[[#This Row],[Consumption]]=0,"Non-Moving", IF(Table1[[#This Row],[Days_Since_Last_Movement]]&gt;90,"Slow-Moving","Active"))</f>
        <v>Slow-Moving</v>
      </c>
      <c r="V223">
        <f>SUM($Q$2:Q223)</f>
        <v>66683910</v>
      </c>
      <c r="W223">
        <f>Table1[[#This Row],[Cumulative_Inventory_Value]]/$AP$3</f>
        <v>0.88095097494073948</v>
      </c>
      <c r="X223" t="str">
        <f>IF(Table1[[#This Row],[Cumulative_Value_%]]&lt;80%,"A", IF(Table1[[#This Row],[Cumulative_Value_%]]&lt;=95%,"B","C"))</f>
        <v>B</v>
      </c>
      <c r="Y223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223">
        <f>Table1[[#This Row],[Consumption]]/365</f>
        <v>2.4657534246575342E-2</v>
      </c>
      <c r="AA223">
        <f>Table1[[#This Row],[Avg_Daily_Consumption]]*Table1[[#This Row],[Lead_Time_Days]]+Table1[[#This Row],[Safety_Stock]]</f>
        <v>2.2328767123287672</v>
      </c>
      <c r="AB223">
        <f>IFERROR(Table1[[#This Row],[Closing_Stock]]/Table1[[#This Row],[Avg_Daily_Consumption]],9999)</f>
        <v>892.22222222222229</v>
      </c>
      <c r="AC223">
        <f>MAX(1,ROUNDUP(Table1[[#This Row],[Avg_Daily_Consumption]]*Table1[[#This Row],[Lead_Time_Days]]*0.8,0))</f>
        <v>1</v>
      </c>
      <c r="AD223" t="str">
        <f>IF(Table1[[#This Row],[Closing_Stock]]&lt;Table1[[#This Row],[Reorder_Point]],"Stock-out Risk","Adequate")</f>
        <v>Adequate</v>
      </c>
      <c r="AE223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223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223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223" s="11">
        <f>MAX(0,Table1[[#This Row],[Closing_Stock]]-Table1[[#This Row],[Reorder_Point]])</f>
        <v>19.767123287671232</v>
      </c>
      <c r="AI223" s="11">
        <f>Table1[[#This Row],[Excess_Stock_Units]]*Table1[[#This Row],[Unit_Cost_INR]]</f>
        <v>72743.013698630137</v>
      </c>
      <c r="AJ223" s="11">
        <f>IF(Table1[[#This Row],[Criticality]]="Critical",0,Table1[[#This Row],[Excess_Inventory_Value_INR]])</f>
        <v>72743.013698630137</v>
      </c>
      <c r="AK223" s="11">
        <f>IF(AND(Table1[[#This Row],[Criticality]]&lt;&gt;"Critical",OR(Table1[[#This Row],[Movement_Class]]="Slow-Moving",Table1[[#This Row],[Movement_Class]]="Non-Moving")),Table1[[#This Row],[Excess_Inventory_Value_INR]],0)</f>
        <v>72743.013698630137</v>
      </c>
    </row>
    <row r="224" spans="1:37" x14ac:dyDescent="0.25">
      <c r="A224" t="s">
        <v>373</v>
      </c>
      <c r="B224" t="s">
        <v>40</v>
      </c>
      <c r="C224" t="s">
        <v>41</v>
      </c>
      <c r="D224" t="s">
        <v>66</v>
      </c>
      <c r="E224" t="s">
        <v>46</v>
      </c>
      <c r="F224">
        <v>22</v>
      </c>
      <c r="G224">
        <v>10</v>
      </c>
      <c r="H224">
        <v>8</v>
      </c>
      <c r="I224">
        <v>24</v>
      </c>
      <c r="J224">
        <v>3360</v>
      </c>
      <c r="K224">
        <v>33</v>
      </c>
      <c r="L224">
        <v>0</v>
      </c>
      <c r="M224">
        <v>37</v>
      </c>
      <c r="N224" t="s">
        <v>49</v>
      </c>
      <c r="O224">
        <v>0.28100000000000003</v>
      </c>
      <c r="P224">
        <v>22659.84</v>
      </c>
      <c r="Q224">
        <f>(Table1[[#This Row],[Closing_Stock]]*Table1[[#This Row],[Unit_Cost_INR]])</f>
        <v>80640</v>
      </c>
      <c r="R224">
        <f>(Table1[[#This Row],[Unit_Cost_INR]]*Table1[[#This Row],[Consumption]])</f>
        <v>26880</v>
      </c>
      <c r="S224">
        <f>IFERROR(Table1[[#This Row],[Annual_Consumption_Value_INR]]/Table1[[#This Row],[Inventory_Value_INR]],0)</f>
        <v>0.33333333333333331</v>
      </c>
      <c r="T224">
        <f>IFERROR(365/Table1[[#This Row],[Inventory_Turnover]],0)</f>
        <v>1095</v>
      </c>
      <c r="U224" t="str">
        <f>IF(Table1[[#This Row],[Consumption]]=0,"Non-Moving", IF(Table1[[#This Row],[Days_Since_Last_Movement]]&gt;90,"Slow-Moving","Active"))</f>
        <v>Active</v>
      </c>
      <c r="V224">
        <f>SUM($Q$2:Q224)</f>
        <v>66764550</v>
      </c>
      <c r="W224">
        <f>Table1[[#This Row],[Cumulative_Inventory_Value]]/$AP$3</f>
        <v>0.88201629769429757</v>
      </c>
      <c r="X224" t="str">
        <f>IF(Table1[[#This Row],[Cumulative_Value_%]]&lt;80%,"A", IF(Table1[[#This Row],[Cumulative_Value_%]]&lt;=95%,"B","C"))</f>
        <v>B</v>
      </c>
      <c r="Y224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224">
        <f>Table1[[#This Row],[Consumption]]/365</f>
        <v>2.1917808219178082E-2</v>
      </c>
      <c r="AA224">
        <f>Table1[[#This Row],[Avg_Daily_Consumption]]*Table1[[#This Row],[Lead_Time_Days]]+Table1[[#This Row],[Safety_Stock]]</f>
        <v>1.7232876712328768</v>
      </c>
      <c r="AB224">
        <f>IFERROR(Table1[[#This Row],[Closing_Stock]]/Table1[[#This Row],[Avg_Daily_Consumption]],9999)</f>
        <v>1095</v>
      </c>
      <c r="AC224">
        <f>MAX(1,ROUNDUP(Table1[[#This Row],[Avg_Daily_Consumption]]*Table1[[#This Row],[Lead_Time_Days]]*0.8,0))</f>
        <v>1</v>
      </c>
      <c r="AD224" t="str">
        <f>IF(Table1[[#This Row],[Closing_Stock]]&lt;Table1[[#This Row],[Reorder_Point]],"Stock-out Risk","Adequate")</f>
        <v>Adequate</v>
      </c>
      <c r="AE224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224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224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224" s="11">
        <f>MAX(0,Table1[[#This Row],[Closing_Stock]]-Table1[[#This Row],[Reorder_Point]])</f>
        <v>22.276712328767122</v>
      </c>
      <c r="AI224" s="11">
        <f>Table1[[#This Row],[Excess_Stock_Units]]*Table1[[#This Row],[Unit_Cost_INR]]</f>
        <v>74849.753424657523</v>
      </c>
      <c r="AJ224" s="11">
        <f>IF(Table1[[#This Row],[Criticality]]="Critical",0,Table1[[#This Row],[Excess_Inventory_Value_INR]])</f>
        <v>74849.753424657523</v>
      </c>
      <c r="AK224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225" spans="1:37" x14ac:dyDescent="0.25">
      <c r="A225" t="s">
        <v>229</v>
      </c>
      <c r="B225" t="s">
        <v>165</v>
      </c>
      <c r="C225" t="s">
        <v>32</v>
      </c>
      <c r="D225" t="s">
        <v>45</v>
      </c>
      <c r="E225" t="s">
        <v>46</v>
      </c>
      <c r="F225">
        <v>26</v>
      </c>
      <c r="G225">
        <v>27</v>
      </c>
      <c r="H225">
        <v>18</v>
      </c>
      <c r="I225">
        <v>35</v>
      </c>
      <c r="J225">
        <v>2300</v>
      </c>
      <c r="K225">
        <v>14</v>
      </c>
      <c r="L225">
        <v>0</v>
      </c>
      <c r="M225">
        <v>146</v>
      </c>
      <c r="N225" t="s">
        <v>81</v>
      </c>
      <c r="O225">
        <v>0.24099999999999999</v>
      </c>
      <c r="P225">
        <v>19400.5</v>
      </c>
      <c r="Q225">
        <f>(Table1[[#This Row],[Closing_Stock]]*Table1[[#This Row],[Unit_Cost_INR]])</f>
        <v>80500</v>
      </c>
      <c r="R225">
        <f>(Table1[[#This Row],[Unit_Cost_INR]]*Table1[[#This Row],[Consumption]])</f>
        <v>41400</v>
      </c>
      <c r="S225">
        <f>IFERROR(Table1[[#This Row],[Annual_Consumption_Value_INR]]/Table1[[#This Row],[Inventory_Value_INR]],0)</f>
        <v>0.51428571428571423</v>
      </c>
      <c r="T225">
        <f>IFERROR(365/Table1[[#This Row],[Inventory_Turnover]],0)</f>
        <v>709.72222222222229</v>
      </c>
      <c r="U225" t="str">
        <f>IF(Table1[[#This Row],[Consumption]]=0,"Non-Moving", IF(Table1[[#This Row],[Days_Since_Last_Movement]]&gt;90,"Slow-Moving","Active"))</f>
        <v>Slow-Moving</v>
      </c>
      <c r="V225">
        <f>SUM($Q$2:Q225)</f>
        <v>66845050</v>
      </c>
      <c r="W225">
        <f>Table1[[#This Row],[Cumulative_Inventory_Value]]/$AP$3</f>
        <v>0.88307977092918633</v>
      </c>
      <c r="X225" t="str">
        <f>IF(Table1[[#This Row],[Cumulative_Value_%]]&lt;80%,"A", IF(Table1[[#This Row],[Cumulative_Value_%]]&lt;=95%,"B","C"))</f>
        <v>B</v>
      </c>
      <c r="Y225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225">
        <f>Table1[[#This Row],[Consumption]]/365</f>
        <v>4.9315068493150684E-2</v>
      </c>
      <c r="AA225">
        <f>Table1[[#This Row],[Avg_Daily_Consumption]]*Table1[[#This Row],[Lead_Time_Days]]+Table1[[#This Row],[Safety_Stock]]</f>
        <v>1.6904109589041094</v>
      </c>
      <c r="AB225">
        <f>IFERROR(Table1[[#This Row],[Closing_Stock]]/Table1[[#This Row],[Avg_Daily_Consumption]],9999)</f>
        <v>709.72222222222229</v>
      </c>
      <c r="AC225">
        <f>MAX(1,ROUNDUP(Table1[[#This Row],[Avg_Daily_Consumption]]*Table1[[#This Row],[Lead_Time_Days]]*0.8,0))</f>
        <v>1</v>
      </c>
      <c r="AD225" t="str">
        <f>IF(Table1[[#This Row],[Closing_Stock]]&lt;Table1[[#This Row],[Reorder_Point]],"Stock-out Risk","Adequate")</f>
        <v>Adequate</v>
      </c>
      <c r="AE225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225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225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225" s="11">
        <f>MAX(0,Table1[[#This Row],[Closing_Stock]]-Table1[[#This Row],[Reorder_Point]])</f>
        <v>33.30958904109589</v>
      </c>
      <c r="AI225" s="11">
        <f>Table1[[#This Row],[Excess_Stock_Units]]*Table1[[#This Row],[Unit_Cost_INR]]</f>
        <v>76612.054794520547</v>
      </c>
      <c r="AJ225" s="11">
        <f>IF(Table1[[#This Row],[Criticality]]="Critical",0,Table1[[#This Row],[Excess_Inventory_Value_INR]])</f>
        <v>76612.054794520547</v>
      </c>
      <c r="AK225" s="11">
        <f>IF(AND(Table1[[#This Row],[Criticality]]&lt;&gt;"Critical",OR(Table1[[#This Row],[Movement_Class]]="Slow-Moving",Table1[[#This Row],[Movement_Class]]="Non-Moving")),Table1[[#This Row],[Excess_Inventory_Value_INR]],0)</f>
        <v>76612.054794520547</v>
      </c>
    </row>
    <row r="226" spans="1:37" x14ac:dyDescent="0.25">
      <c r="A226" t="s">
        <v>471</v>
      </c>
      <c r="B226" t="s">
        <v>56</v>
      </c>
      <c r="C226" t="s">
        <v>32</v>
      </c>
      <c r="D226" t="s">
        <v>27</v>
      </c>
      <c r="E226" t="s">
        <v>28</v>
      </c>
      <c r="F226">
        <v>34</v>
      </c>
      <c r="G226">
        <v>32</v>
      </c>
      <c r="H226">
        <v>27</v>
      </c>
      <c r="I226">
        <v>39</v>
      </c>
      <c r="J226">
        <v>2050</v>
      </c>
      <c r="K226">
        <v>27</v>
      </c>
      <c r="L226">
        <v>0</v>
      </c>
      <c r="M226">
        <v>48</v>
      </c>
      <c r="N226" t="s">
        <v>81</v>
      </c>
      <c r="O226">
        <v>0.27600000000000002</v>
      </c>
      <c r="P226">
        <v>22066.2</v>
      </c>
      <c r="Q226">
        <f>(Table1[[#This Row],[Closing_Stock]]*Table1[[#This Row],[Unit_Cost_INR]])</f>
        <v>79950</v>
      </c>
      <c r="R226">
        <f>(Table1[[#This Row],[Unit_Cost_INR]]*Table1[[#This Row],[Consumption]])</f>
        <v>55350</v>
      </c>
      <c r="S226">
        <f>IFERROR(Table1[[#This Row],[Annual_Consumption_Value_INR]]/Table1[[#This Row],[Inventory_Value_INR]],0)</f>
        <v>0.69230769230769229</v>
      </c>
      <c r="T226">
        <f>IFERROR(365/Table1[[#This Row],[Inventory_Turnover]],0)</f>
        <v>527.22222222222229</v>
      </c>
      <c r="U226" t="str">
        <f>IF(Table1[[#This Row],[Consumption]]=0,"Non-Moving", IF(Table1[[#This Row],[Days_Since_Last_Movement]]&gt;90,"Slow-Moving","Active"))</f>
        <v>Active</v>
      </c>
      <c r="V226">
        <f>SUM($Q$2:Q226)</f>
        <v>66925000</v>
      </c>
      <c r="W226">
        <f>Table1[[#This Row],[Cumulative_Inventory_Value]]/$AP$3</f>
        <v>0.88413597819787393</v>
      </c>
      <c r="X226" t="str">
        <f>IF(Table1[[#This Row],[Cumulative_Value_%]]&lt;80%,"A", IF(Table1[[#This Row],[Cumulative_Value_%]]&lt;=95%,"B","C"))</f>
        <v>B</v>
      </c>
      <c r="Y226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226">
        <f>Table1[[#This Row],[Consumption]]/365</f>
        <v>7.3972602739726029E-2</v>
      </c>
      <c r="AA226">
        <f>Table1[[#This Row],[Avg_Daily_Consumption]]*Table1[[#This Row],[Lead_Time_Days]]+Table1[[#This Row],[Safety_Stock]]</f>
        <v>3.9972602739726026</v>
      </c>
      <c r="AB226">
        <f>IFERROR(Table1[[#This Row],[Closing_Stock]]/Table1[[#This Row],[Avg_Daily_Consumption]],9999)</f>
        <v>527.22222222222217</v>
      </c>
      <c r="AC226">
        <f>MAX(1,ROUNDUP(Table1[[#This Row],[Avg_Daily_Consumption]]*Table1[[#This Row],[Lead_Time_Days]]*0.8,0))</f>
        <v>2</v>
      </c>
      <c r="AD226" t="str">
        <f>IF(Table1[[#This Row],[Closing_Stock]]&lt;Table1[[#This Row],[Reorder_Point]],"Stock-out Risk","Adequate")</f>
        <v>Adequate</v>
      </c>
      <c r="AE226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226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226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226" s="11">
        <f>MAX(0,Table1[[#This Row],[Closing_Stock]]-Table1[[#This Row],[Reorder_Point]])</f>
        <v>35.0027397260274</v>
      </c>
      <c r="AI226" s="11">
        <f>Table1[[#This Row],[Excess_Stock_Units]]*Table1[[#This Row],[Unit_Cost_INR]]</f>
        <v>71755.61643835617</v>
      </c>
      <c r="AJ226" s="11">
        <f>IF(Table1[[#This Row],[Criticality]]="Critical",0,Table1[[#This Row],[Excess_Inventory_Value_INR]])</f>
        <v>71755.61643835617</v>
      </c>
      <c r="AK226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227" spans="1:37" x14ac:dyDescent="0.25">
      <c r="A227" t="s">
        <v>79</v>
      </c>
      <c r="B227" t="s">
        <v>80</v>
      </c>
      <c r="C227" t="s">
        <v>20</v>
      </c>
      <c r="D227" t="s">
        <v>42</v>
      </c>
      <c r="E227" t="s">
        <v>46</v>
      </c>
      <c r="F227">
        <v>36</v>
      </c>
      <c r="G227">
        <v>41</v>
      </c>
      <c r="H227">
        <v>36</v>
      </c>
      <c r="I227">
        <v>41</v>
      </c>
      <c r="J227">
        <v>1910</v>
      </c>
      <c r="K227">
        <v>23</v>
      </c>
      <c r="L227">
        <v>0</v>
      </c>
      <c r="M227">
        <v>21</v>
      </c>
      <c r="N227" t="s">
        <v>81</v>
      </c>
      <c r="O227">
        <v>0.21</v>
      </c>
      <c r="P227">
        <v>16445.099999999999</v>
      </c>
      <c r="Q227">
        <f>(Table1[[#This Row],[Closing_Stock]]*Table1[[#This Row],[Unit_Cost_INR]])</f>
        <v>78310</v>
      </c>
      <c r="R227">
        <f>(Table1[[#This Row],[Unit_Cost_INR]]*Table1[[#This Row],[Consumption]])</f>
        <v>68760</v>
      </c>
      <c r="S227">
        <f>IFERROR(Table1[[#This Row],[Annual_Consumption_Value_INR]]/Table1[[#This Row],[Inventory_Value_INR]],0)</f>
        <v>0.87804878048780488</v>
      </c>
      <c r="T227">
        <f>IFERROR(365/Table1[[#This Row],[Inventory_Turnover]],0)</f>
        <v>415.69444444444446</v>
      </c>
      <c r="U227" t="str">
        <f>IF(Table1[[#This Row],[Consumption]]=0,"Non-Moving", IF(Table1[[#This Row],[Days_Since_Last_Movement]]&gt;90,"Slow-Moving","Active"))</f>
        <v>Active</v>
      </c>
      <c r="V227">
        <f>SUM($Q$2:Q227)</f>
        <v>67003310</v>
      </c>
      <c r="W227">
        <f>Table1[[#This Row],[Cumulative_Inventory_Value]]/$AP$3</f>
        <v>0.88517051967643468</v>
      </c>
      <c r="X227" t="str">
        <f>IF(Table1[[#This Row],[Cumulative_Value_%]]&lt;80%,"A", IF(Table1[[#This Row],[Cumulative_Value_%]]&lt;=95%,"B","C"))</f>
        <v>B</v>
      </c>
      <c r="Y227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227">
        <f>Table1[[#This Row],[Consumption]]/365</f>
        <v>9.8630136986301367E-2</v>
      </c>
      <c r="AA227">
        <f>Table1[[#This Row],[Avg_Daily_Consumption]]*Table1[[#This Row],[Lead_Time_Days]]+Table1[[#This Row],[Safety_Stock]]</f>
        <v>4.2684931506849315</v>
      </c>
      <c r="AB227">
        <f>IFERROR(Table1[[#This Row],[Closing_Stock]]/Table1[[#This Row],[Avg_Daily_Consumption]],9999)</f>
        <v>415.69444444444446</v>
      </c>
      <c r="AC227">
        <f>MAX(1,ROUNDUP(Table1[[#This Row],[Avg_Daily_Consumption]]*Table1[[#This Row],[Lead_Time_Days]]*0.8,0))</f>
        <v>2</v>
      </c>
      <c r="AD227" t="str">
        <f>IF(Table1[[#This Row],[Closing_Stock]]&lt;Table1[[#This Row],[Reorder_Point]],"Stock-out Risk","Adequate")</f>
        <v>Adequate</v>
      </c>
      <c r="AE227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227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227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227" s="11">
        <f>MAX(0,Table1[[#This Row],[Closing_Stock]]-Table1[[#This Row],[Reorder_Point]])</f>
        <v>36.731506849315068</v>
      </c>
      <c r="AI227" s="11">
        <f>Table1[[#This Row],[Excess_Stock_Units]]*Table1[[#This Row],[Unit_Cost_INR]]</f>
        <v>70157.178082191778</v>
      </c>
      <c r="AJ227" s="11">
        <f>IF(Table1[[#This Row],[Criticality]]="Critical",0,Table1[[#This Row],[Excess_Inventory_Value_INR]])</f>
        <v>70157.178082191778</v>
      </c>
      <c r="AK227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228" spans="1:37" x14ac:dyDescent="0.25">
      <c r="A228" t="s">
        <v>505</v>
      </c>
      <c r="B228" t="s">
        <v>75</v>
      </c>
      <c r="C228" t="s">
        <v>36</v>
      </c>
      <c r="D228" t="s">
        <v>60</v>
      </c>
      <c r="E228" t="s">
        <v>46</v>
      </c>
      <c r="F228">
        <v>27</v>
      </c>
      <c r="G228">
        <v>11</v>
      </c>
      <c r="H228">
        <v>8</v>
      </c>
      <c r="I228">
        <v>30</v>
      </c>
      <c r="J228">
        <v>2610</v>
      </c>
      <c r="K228">
        <v>3</v>
      </c>
      <c r="L228">
        <v>0</v>
      </c>
      <c r="M228">
        <v>1</v>
      </c>
      <c r="N228" t="s">
        <v>29</v>
      </c>
      <c r="O228">
        <v>0.27800000000000002</v>
      </c>
      <c r="P228">
        <v>21767.4</v>
      </c>
      <c r="Q228">
        <f>(Table1[[#This Row],[Closing_Stock]]*Table1[[#This Row],[Unit_Cost_INR]])</f>
        <v>78300</v>
      </c>
      <c r="R228">
        <f>(Table1[[#This Row],[Unit_Cost_INR]]*Table1[[#This Row],[Consumption]])</f>
        <v>20880</v>
      </c>
      <c r="S228">
        <f>IFERROR(Table1[[#This Row],[Annual_Consumption_Value_INR]]/Table1[[#This Row],[Inventory_Value_INR]],0)</f>
        <v>0.26666666666666666</v>
      </c>
      <c r="T228">
        <f>IFERROR(365/Table1[[#This Row],[Inventory_Turnover]],0)</f>
        <v>1368.75</v>
      </c>
      <c r="U228" t="str">
        <f>IF(Table1[[#This Row],[Consumption]]=0,"Non-Moving", IF(Table1[[#This Row],[Days_Since_Last_Movement]]&gt;90,"Slow-Moving","Active"))</f>
        <v>Active</v>
      </c>
      <c r="V228">
        <f>SUM($Q$2:Q228)</f>
        <v>67081610</v>
      </c>
      <c r="W228">
        <f>Table1[[#This Row],[Cumulative_Inventory_Value]]/$AP$3</f>
        <v>0.88620492904651893</v>
      </c>
      <c r="X228" t="str">
        <f>IF(Table1[[#This Row],[Cumulative_Value_%]]&lt;80%,"A", IF(Table1[[#This Row],[Cumulative_Value_%]]&lt;=95%,"B","C"))</f>
        <v>B</v>
      </c>
      <c r="Y228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228">
        <f>Table1[[#This Row],[Consumption]]/365</f>
        <v>2.1917808219178082E-2</v>
      </c>
      <c r="AA228">
        <f>Table1[[#This Row],[Avg_Daily_Consumption]]*Table1[[#This Row],[Lead_Time_Days]]+Table1[[#This Row],[Safety_Stock]]</f>
        <v>1.0657534246575342</v>
      </c>
      <c r="AB228">
        <f>IFERROR(Table1[[#This Row],[Closing_Stock]]/Table1[[#This Row],[Avg_Daily_Consumption]],9999)</f>
        <v>1368.75</v>
      </c>
      <c r="AC228">
        <f>MAX(1,ROUNDUP(Table1[[#This Row],[Avg_Daily_Consumption]]*Table1[[#This Row],[Lead_Time_Days]]*0.8,0))</f>
        <v>1</v>
      </c>
      <c r="AD228" t="str">
        <f>IF(Table1[[#This Row],[Closing_Stock]]&lt;Table1[[#This Row],[Reorder_Point]],"Stock-out Risk","Adequate")</f>
        <v>Adequate</v>
      </c>
      <c r="AE228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228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228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228" s="11">
        <f>MAX(0,Table1[[#This Row],[Closing_Stock]]-Table1[[#This Row],[Reorder_Point]])</f>
        <v>28.934246575342467</v>
      </c>
      <c r="AI228" s="11">
        <f>Table1[[#This Row],[Excess_Stock_Units]]*Table1[[#This Row],[Unit_Cost_INR]]</f>
        <v>75518.383561643845</v>
      </c>
      <c r="AJ228" s="11">
        <f>IF(Table1[[#This Row],[Criticality]]="Critical",0,Table1[[#This Row],[Excess_Inventory_Value_INR]])</f>
        <v>75518.383561643845</v>
      </c>
      <c r="AK228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229" spans="1:37" x14ac:dyDescent="0.25">
      <c r="A229" t="s">
        <v>466</v>
      </c>
      <c r="B229" t="s">
        <v>83</v>
      </c>
      <c r="C229" t="s">
        <v>32</v>
      </c>
      <c r="D229" t="s">
        <v>60</v>
      </c>
      <c r="E229" t="s">
        <v>28</v>
      </c>
      <c r="F229">
        <v>50</v>
      </c>
      <c r="G229">
        <v>43</v>
      </c>
      <c r="H229">
        <v>38</v>
      </c>
      <c r="I229">
        <v>55</v>
      </c>
      <c r="J229">
        <v>1400</v>
      </c>
      <c r="K229">
        <v>32</v>
      </c>
      <c r="L229">
        <v>1</v>
      </c>
      <c r="M229">
        <v>36</v>
      </c>
      <c r="N229" t="s">
        <v>38</v>
      </c>
      <c r="O229">
        <v>0.215</v>
      </c>
      <c r="P229">
        <v>16555</v>
      </c>
      <c r="Q229">
        <f>(Table1[[#This Row],[Closing_Stock]]*Table1[[#This Row],[Unit_Cost_INR]])</f>
        <v>77000</v>
      </c>
      <c r="R229">
        <f>(Table1[[#This Row],[Unit_Cost_INR]]*Table1[[#This Row],[Consumption]])</f>
        <v>53200</v>
      </c>
      <c r="S229">
        <f>IFERROR(Table1[[#This Row],[Annual_Consumption_Value_INR]]/Table1[[#This Row],[Inventory_Value_INR]],0)</f>
        <v>0.69090909090909092</v>
      </c>
      <c r="T229">
        <f>IFERROR(365/Table1[[#This Row],[Inventory_Turnover]],0)</f>
        <v>528.28947368421052</v>
      </c>
      <c r="U229" t="str">
        <f>IF(Table1[[#This Row],[Consumption]]=0,"Non-Moving", IF(Table1[[#This Row],[Days_Since_Last_Movement]]&gt;90,"Slow-Moving","Active"))</f>
        <v>Active</v>
      </c>
      <c r="V229">
        <f>SUM($Q$2:Q229)</f>
        <v>67158610</v>
      </c>
      <c r="W229">
        <f>Table1[[#This Row],[Cumulative_Inventory_Value]]/$AP$3</f>
        <v>0.88722216431467338</v>
      </c>
      <c r="X229" t="str">
        <f>IF(Table1[[#This Row],[Cumulative_Value_%]]&lt;80%,"A", IF(Table1[[#This Row],[Cumulative_Value_%]]&lt;=95%,"B","C"))</f>
        <v>B</v>
      </c>
      <c r="Y229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229">
        <f>Table1[[#This Row],[Consumption]]/365</f>
        <v>0.10410958904109589</v>
      </c>
      <c r="AA229">
        <f>Table1[[#This Row],[Avg_Daily_Consumption]]*Table1[[#This Row],[Lead_Time_Days]]+Table1[[#This Row],[Safety_Stock]]</f>
        <v>6.331506849315069</v>
      </c>
      <c r="AB229">
        <f>IFERROR(Table1[[#This Row],[Closing_Stock]]/Table1[[#This Row],[Avg_Daily_Consumption]],9999)</f>
        <v>528.28947368421052</v>
      </c>
      <c r="AC229">
        <f>MAX(1,ROUNDUP(Table1[[#This Row],[Avg_Daily_Consumption]]*Table1[[#This Row],[Lead_Time_Days]]*0.8,0))</f>
        <v>3</v>
      </c>
      <c r="AD229" t="str">
        <f>IF(Table1[[#This Row],[Closing_Stock]]&lt;Table1[[#This Row],[Reorder_Point]],"Stock-out Risk","Adequate")</f>
        <v>Adequate</v>
      </c>
      <c r="AE229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229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229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229" s="11">
        <f>MAX(0,Table1[[#This Row],[Closing_Stock]]-Table1[[#This Row],[Reorder_Point]])</f>
        <v>48.668493150684931</v>
      </c>
      <c r="AI229" s="11">
        <f>Table1[[#This Row],[Excess_Stock_Units]]*Table1[[#This Row],[Unit_Cost_INR]]</f>
        <v>68135.890410958906</v>
      </c>
      <c r="AJ229" s="11">
        <f>IF(Table1[[#This Row],[Criticality]]="Critical",0,Table1[[#This Row],[Excess_Inventory_Value_INR]])</f>
        <v>68135.890410958906</v>
      </c>
      <c r="AK229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230" spans="1:37" x14ac:dyDescent="0.25">
      <c r="A230" t="s">
        <v>431</v>
      </c>
      <c r="B230" t="s">
        <v>95</v>
      </c>
      <c r="C230" t="s">
        <v>26</v>
      </c>
      <c r="D230" t="s">
        <v>60</v>
      </c>
      <c r="E230" t="s">
        <v>37</v>
      </c>
      <c r="F230">
        <v>25</v>
      </c>
      <c r="G230">
        <v>13</v>
      </c>
      <c r="H230">
        <v>8</v>
      </c>
      <c r="I230">
        <v>30</v>
      </c>
      <c r="J230">
        <v>2540</v>
      </c>
      <c r="K230">
        <v>10</v>
      </c>
      <c r="L230">
        <v>0</v>
      </c>
      <c r="M230">
        <v>40</v>
      </c>
      <c r="N230" t="s">
        <v>38</v>
      </c>
      <c r="O230">
        <v>0.249</v>
      </c>
      <c r="P230">
        <v>18973.8</v>
      </c>
      <c r="Q230">
        <f>(Table1[[#This Row],[Closing_Stock]]*Table1[[#This Row],[Unit_Cost_INR]])</f>
        <v>76200</v>
      </c>
      <c r="R230">
        <f>(Table1[[#This Row],[Unit_Cost_INR]]*Table1[[#This Row],[Consumption]])</f>
        <v>20320</v>
      </c>
      <c r="S230">
        <f>IFERROR(Table1[[#This Row],[Annual_Consumption_Value_INR]]/Table1[[#This Row],[Inventory_Value_INR]],0)</f>
        <v>0.26666666666666666</v>
      </c>
      <c r="T230">
        <f>IFERROR(365/Table1[[#This Row],[Inventory_Turnover]],0)</f>
        <v>1368.75</v>
      </c>
      <c r="U230" t="str">
        <f>IF(Table1[[#This Row],[Consumption]]=0,"Non-Moving", IF(Table1[[#This Row],[Days_Since_Last_Movement]]&gt;90,"Slow-Moving","Active"))</f>
        <v>Active</v>
      </c>
      <c r="V230">
        <f>SUM($Q$2:Q230)</f>
        <v>67234810</v>
      </c>
      <c r="W230">
        <f>Table1[[#This Row],[Cumulative_Inventory_Value]]/$AP$3</f>
        <v>0.88822883090471716</v>
      </c>
      <c r="X230" t="str">
        <f>IF(Table1[[#This Row],[Cumulative_Value_%]]&lt;80%,"A", IF(Table1[[#This Row],[Cumulative_Value_%]]&lt;=95%,"B","C"))</f>
        <v>B</v>
      </c>
      <c r="Y230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230">
        <f>Table1[[#This Row],[Consumption]]/365</f>
        <v>2.1917808219178082E-2</v>
      </c>
      <c r="AA230">
        <f>Table1[[#This Row],[Avg_Daily_Consumption]]*Table1[[#This Row],[Lead_Time_Days]]+Table1[[#This Row],[Safety_Stock]]</f>
        <v>1.2191780821917808</v>
      </c>
      <c r="AB230">
        <f>IFERROR(Table1[[#This Row],[Closing_Stock]]/Table1[[#This Row],[Avg_Daily_Consumption]],9999)</f>
        <v>1368.75</v>
      </c>
      <c r="AC230">
        <f>MAX(1,ROUNDUP(Table1[[#This Row],[Avg_Daily_Consumption]]*Table1[[#This Row],[Lead_Time_Days]]*0.8,0))</f>
        <v>1</v>
      </c>
      <c r="AD230" t="str">
        <f>IF(Table1[[#This Row],[Closing_Stock]]&lt;Table1[[#This Row],[Reorder_Point]],"Stock-out Risk","Adequate")</f>
        <v>Adequate</v>
      </c>
      <c r="AE230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230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230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230" s="11">
        <f>MAX(0,Table1[[#This Row],[Closing_Stock]]-Table1[[#This Row],[Reorder_Point]])</f>
        <v>28.780821917808218</v>
      </c>
      <c r="AI230" s="11">
        <f>Table1[[#This Row],[Excess_Stock_Units]]*Table1[[#This Row],[Unit_Cost_INR]]</f>
        <v>73103.287671232873</v>
      </c>
      <c r="AJ230" s="11">
        <f>IF(Table1[[#This Row],[Criticality]]="Critical",0,Table1[[#This Row],[Excess_Inventory_Value_INR]])</f>
        <v>0</v>
      </c>
      <c r="AK230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231" spans="1:37" x14ac:dyDescent="0.25">
      <c r="A231" t="s">
        <v>239</v>
      </c>
      <c r="B231" t="s">
        <v>80</v>
      </c>
      <c r="C231" t="s">
        <v>20</v>
      </c>
      <c r="D231" t="s">
        <v>66</v>
      </c>
      <c r="E231" t="s">
        <v>37</v>
      </c>
      <c r="F231">
        <v>48</v>
      </c>
      <c r="G231">
        <v>41</v>
      </c>
      <c r="H231">
        <v>38</v>
      </c>
      <c r="I231">
        <v>51</v>
      </c>
      <c r="J231">
        <v>1470</v>
      </c>
      <c r="K231">
        <v>31</v>
      </c>
      <c r="L231">
        <v>0</v>
      </c>
      <c r="M231">
        <v>9</v>
      </c>
      <c r="N231" t="s">
        <v>61</v>
      </c>
      <c r="O231">
        <v>0.24399999999999999</v>
      </c>
      <c r="P231">
        <v>18292.68</v>
      </c>
      <c r="Q231">
        <f>(Table1[[#This Row],[Closing_Stock]]*Table1[[#This Row],[Unit_Cost_INR]])</f>
        <v>74970</v>
      </c>
      <c r="R231">
        <f>(Table1[[#This Row],[Unit_Cost_INR]]*Table1[[#This Row],[Consumption]])</f>
        <v>55860</v>
      </c>
      <c r="S231">
        <f>IFERROR(Table1[[#This Row],[Annual_Consumption_Value_INR]]/Table1[[#This Row],[Inventory_Value_INR]],0)</f>
        <v>0.74509803921568629</v>
      </c>
      <c r="T231">
        <f>IFERROR(365/Table1[[#This Row],[Inventory_Turnover]],0)</f>
        <v>489.86842105263156</v>
      </c>
      <c r="U231" t="str">
        <f>IF(Table1[[#This Row],[Consumption]]=0,"Non-Moving", IF(Table1[[#This Row],[Days_Since_Last_Movement]]&gt;90,"Slow-Moving","Active"))</f>
        <v>Active</v>
      </c>
      <c r="V231">
        <f>SUM($Q$2:Q231)</f>
        <v>67309780</v>
      </c>
      <c r="W231">
        <f>Table1[[#This Row],[Cumulative_Inventory_Value]]/$AP$3</f>
        <v>0.88921924815216569</v>
      </c>
      <c r="X231" t="str">
        <f>IF(Table1[[#This Row],[Cumulative_Value_%]]&lt;80%,"A", IF(Table1[[#This Row],[Cumulative_Value_%]]&lt;=95%,"B","C"))</f>
        <v>B</v>
      </c>
      <c r="Y231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231">
        <f>Table1[[#This Row],[Consumption]]/365</f>
        <v>0.10410958904109589</v>
      </c>
      <c r="AA231">
        <f>Table1[[#This Row],[Avg_Daily_Consumption]]*Table1[[#This Row],[Lead_Time_Days]]+Table1[[#This Row],[Safety_Stock]]</f>
        <v>6.2273972602739729</v>
      </c>
      <c r="AB231">
        <f>IFERROR(Table1[[#This Row],[Closing_Stock]]/Table1[[#This Row],[Avg_Daily_Consumption]],9999)</f>
        <v>489.86842105263156</v>
      </c>
      <c r="AC231">
        <f>MAX(1,ROUNDUP(Table1[[#This Row],[Avg_Daily_Consumption]]*Table1[[#This Row],[Lead_Time_Days]]*0.8,0))</f>
        <v>3</v>
      </c>
      <c r="AD231" t="str">
        <f>IF(Table1[[#This Row],[Closing_Stock]]&lt;Table1[[#This Row],[Reorder_Point]],"Stock-out Risk","Adequate")</f>
        <v>Adequate</v>
      </c>
      <c r="AE231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231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231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231" s="11">
        <f>MAX(0,Table1[[#This Row],[Closing_Stock]]-Table1[[#This Row],[Reorder_Point]])</f>
        <v>44.772602739726025</v>
      </c>
      <c r="AI231" s="11">
        <f>Table1[[#This Row],[Excess_Stock_Units]]*Table1[[#This Row],[Unit_Cost_INR]]</f>
        <v>65815.726027397264</v>
      </c>
      <c r="AJ231" s="11">
        <f>IF(Table1[[#This Row],[Criticality]]="Critical",0,Table1[[#This Row],[Excess_Inventory_Value_INR]])</f>
        <v>0</v>
      </c>
      <c r="AK231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232" spans="1:37" x14ac:dyDescent="0.25">
      <c r="A232" t="s">
        <v>112</v>
      </c>
      <c r="B232" t="s">
        <v>113</v>
      </c>
      <c r="C232" t="s">
        <v>36</v>
      </c>
      <c r="D232" t="s">
        <v>42</v>
      </c>
      <c r="E232" t="s">
        <v>28</v>
      </c>
      <c r="F232">
        <v>16</v>
      </c>
      <c r="G232">
        <v>1</v>
      </c>
      <c r="H232">
        <v>1</v>
      </c>
      <c r="I232">
        <v>16</v>
      </c>
      <c r="J232">
        <v>4670</v>
      </c>
      <c r="K232">
        <v>27</v>
      </c>
      <c r="L232">
        <v>1</v>
      </c>
      <c r="M232">
        <v>49</v>
      </c>
      <c r="N232" t="s">
        <v>81</v>
      </c>
      <c r="O232">
        <v>0.26800000000000002</v>
      </c>
      <c r="P232">
        <v>20024.96</v>
      </c>
      <c r="Q232">
        <f>(Table1[[#This Row],[Closing_Stock]]*Table1[[#This Row],[Unit_Cost_INR]])</f>
        <v>74720</v>
      </c>
      <c r="R232">
        <f>(Table1[[#This Row],[Unit_Cost_INR]]*Table1[[#This Row],[Consumption]])</f>
        <v>4670</v>
      </c>
      <c r="S232">
        <f>IFERROR(Table1[[#This Row],[Annual_Consumption_Value_INR]]/Table1[[#This Row],[Inventory_Value_INR]],0)</f>
        <v>6.25E-2</v>
      </c>
      <c r="T232">
        <f>IFERROR(365/Table1[[#This Row],[Inventory_Turnover]],0)</f>
        <v>5840</v>
      </c>
      <c r="U232" t="str">
        <f>IF(Table1[[#This Row],[Consumption]]=0,"Non-Moving", IF(Table1[[#This Row],[Days_Since_Last_Movement]]&gt;90,"Slow-Moving","Active"))</f>
        <v>Active</v>
      </c>
      <c r="V232">
        <f>SUM($Q$2:Q232)</f>
        <v>67384500</v>
      </c>
      <c r="W232">
        <f>Table1[[#This Row],[Cumulative_Inventory_Value]]/$AP$3</f>
        <v>0.8902063626877047</v>
      </c>
      <c r="X232" t="str">
        <f>IF(Table1[[#This Row],[Cumulative_Value_%]]&lt;80%,"A", IF(Table1[[#This Row],[Cumulative_Value_%]]&lt;=95%,"B","C"))</f>
        <v>B</v>
      </c>
      <c r="Y232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232">
        <f>Table1[[#This Row],[Consumption]]/365</f>
        <v>2.7397260273972603E-3</v>
      </c>
      <c r="AA232">
        <f>Table1[[#This Row],[Avg_Daily_Consumption]]*Table1[[#This Row],[Lead_Time_Days]]+Table1[[#This Row],[Safety_Stock]]</f>
        <v>1.0739726027397261</v>
      </c>
      <c r="AB232">
        <f>IFERROR(Table1[[#This Row],[Closing_Stock]]/Table1[[#This Row],[Avg_Daily_Consumption]],9999)</f>
        <v>5840</v>
      </c>
      <c r="AC232">
        <f>MAX(1,ROUNDUP(Table1[[#This Row],[Avg_Daily_Consumption]]*Table1[[#This Row],[Lead_Time_Days]]*0.8,0))</f>
        <v>1</v>
      </c>
      <c r="AD232" t="str">
        <f>IF(Table1[[#This Row],[Closing_Stock]]&lt;Table1[[#This Row],[Reorder_Point]],"Stock-out Risk","Adequate")</f>
        <v>Adequate</v>
      </c>
      <c r="AE232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232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232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232" s="11">
        <f>MAX(0,Table1[[#This Row],[Closing_Stock]]-Table1[[#This Row],[Reorder_Point]])</f>
        <v>14.926027397260274</v>
      </c>
      <c r="AI232" s="11">
        <f>Table1[[#This Row],[Excess_Stock_Units]]*Table1[[#This Row],[Unit_Cost_INR]]</f>
        <v>69704.547945205486</v>
      </c>
      <c r="AJ232" s="11">
        <f>IF(Table1[[#This Row],[Criticality]]="Critical",0,Table1[[#This Row],[Excess_Inventory_Value_INR]])</f>
        <v>69704.547945205486</v>
      </c>
      <c r="AK232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233" spans="1:37" x14ac:dyDescent="0.25">
      <c r="A233" t="s">
        <v>122</v>
      </c>
      <c r="B233" t="s">
        <v>73</v>
      </c>
      <c r="C233" t="s">
        <v>41</v>
      </c>
      <c r="D233" t="s">
        <v>66</v>
      </c>
      <c r="E233" t="s">
        <v>22</v>
      </c>
      <c r="F233">
        <v>19</v>
      </c>
      <c r="G233">
        <v>3</v>
      </c>
      <c r="H233">
        <v>3</v>
      </c>
      <c r="I233">
        <v>19</v>
      </c>
      <c r="J233">
        <v>3860</v>
      </c>
      <c r="K233">
        <v>36</v>
      </c>
      <c r="L233">
        <v>0</v>
      </c>
      <c r="M233">
        <v>13</v>
      </c>
      <c r="N233" t="s">
        <v>81</v>
      </c>
      <c r="O233">
        <v>0.25800000000000001</v>
      </c>
      <c r="P233">
        <v>18921.72</v>
      </c>
      <c r="Q233">
        <f>(Table1[[#This Row],[Closing_Stock]]*Table1[[#This Row],[Unit_Cost_INR]])</f>
        <v>73340</v>
      </c>
      <c r="R233">
        <f>(Table1[[#This Row],[Unit_Cost_INR]]*Table1[[#This Row],[Consumption]])</f>
        <v>11580</v>
      </c>
      <c r="S233">
        <f>IFERROR(Table1[[#This Row],[Annual_Consumption_Value_INR]]/Table1[[#This Row],[Inventory_Value_INR]],0)</f>
        <v>0.15789473684210525</v>
      </c>
      <c r="T233">
        <f>IFERROR(365/Table1[[#This Row],[Inventory_Turnover]],0)</f>
        <v>2311.666666666667</v>
      </c>
      <c r="U233" t="str">
        <f>IF(Table1[[#This Row],[Consumption]]=0,"Non-Moving", IF(Table1[[#This Row],[Days_Since_Last_Movement]]&gt;90,"Slow-Moving","Active"))</f>
        <v>Active</v>
      </c>
      <c r="V233">
        <f>SUM($Q$2:Q233)</f>
        <v>67457840</v>
      </c>
      <c r="W233">
        <f>Table1[[#This Row],[Cumulative_Inventory_Value]]/$AP$3</f>
        <v>0.89117524625350264</v>
      </c>
      <c r="X233" t="str">
        <f>IF(Table1[[#This Row],[Cumulative_Value_%]]&lt;80%,"A", IF(Table1[[#This Row],[Cumulative_Value_%]]&lt;=95%,"B","C"))</f>
        <v>B</v>
      </c>
      <c r="Y233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233">
        <f>Table1[[#This Row],[Consumption]]/365</f>
        <v>8.21917808219178E-3</v>
      </c>
      <c r="AA233">
        <f>Table1[[#This Row],[Avg_Daily_Consumption]]*Table1[[#This Row],[Lead_Time_Days]]+Table1[[#This Row],[Safety_Stock]]</f>
        <v>1.295890410958904</v>
      </c>
      <c r="AB233">
        <f>IFERROR(Table1[[#This Row],[Closing_Stock]]/Table1[[#This Row],[Avg_Daily_Consumption]],9999)</f>
        <v>2311.666666666667</v>
      </c>
      <c r="AC233">
        <f>MAX(1,ROUNDUP(Table1[[#This Row],[Avg_Daily_Consumption]]*Table1[[#This Row],[Lead_Time_Days]]*0.8,0))</f>
        <v>1</v>
      </c>
      <c r="AD233" t="str">
        <f>IF(Table1[[#This Row],[Closing_Stock]]&lt;Table1[[#This Row],[Reorder_Point]],"Stock-out Risk","Adequate")</f>
        <v>Adequate</v>
      </c>
      <c r="AE233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233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233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233" s="11">
        <f>MAX(0,Table1[[#This Row],[Closing_Stock]]-Table1[[#This Row],[Reorder_Point]])</f>
        <v>17.704109589041096</v>
      </c>
      <c r="AI233" s="11">
        <f>Table1[[#This Row],[Excess_Stock_Units]]*Table1[[#This Row],[Unit_Cost_INR]]</f>
        <v>68337.863013698632</v>
      </c>
      <c r="AJ233" s="11">
        <f>IF(Table1[[#This Row],[Criticality]]="Critical",0,Table1[[#This Row],[Excess_Inventory_Value_INR]])</f>
        <v>68337.863013698632</v>
      </c>
      <c r="AK233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234" spans="1:37" x14ac:dyDescent="0.25">
      <c r="A234" t="s">
        <v>70</v>
      </c>
      <c r="B234" t="s">
        <v>71</v>
      </c>
      <c r="C234" t="s">
        <v>20</v>
      </c>
      <c r="D234" t="s">
        <v>66</v>
      </c>
      <c r="E234" t="s">
        <v>28</v>
      </c>
      <c r="F234">
        <v>34</v>
      </c>
      <c r="G234">
        <v>54</v>
      </c>
      <c r="H234">
        <v>48</v>
      </c>
      <c r="I234">
        <v>40</v>
      </c>
      <c r="J234">
        <v>1830</v>
      </c>
      <c r="K234">
        <v>22</v>
      </c>
      <c r="L234">
        <v>0</v>
      </c>
      <c r="M234">
        <v>96</v>
      </c>
      <c r="N234" t="s">
        <v>58</v>
      </c>
      <c r="O234">
        <v>0.23200000000000001</v>
      </c>
      <c r="P234">
        <v>16982.400000000001</v>
      </c>
      <c r="Q234">
        <f>(Table1[[#This Row],[Closing_Stock]]*Table1[[#This Row],[Unit_Cost_INR]])</f>
        <v>73200</v>
      </c>
      <c r="R234">
        <f>(Table1[[#This Row],[Unit_Cost_INR]]*Table1[[#This Row],[Consumption]])</f>
        <v>87840</v>
      </c>
      <c r="S234">
        <f>IFERROR(Table1[[#This Row],[Annual_Consumption_Value_INR]]/Table1[[#This Row],[Inventory_Value_INR]],0)</f>
        <v>1.2</v>
      </c>
      <c r="T234">
        <f>IFERROR(365/Table1[[#This Row],[Inventory_Turnover]],0)</f>
        <v>304.16666666666669</v>
      </c>
      <c r="U234" t="str">
        <f>IF(Table1[[#This Row],[Consumption]]=0,"Non-Moving", IF(Table1[[#This Row],[Days_Since_Last_Movement]]&gt;90,"Slow-Moving","Active"))</f>
        <v>Slow-Moving</v>
      </c>
      <c r="V234">
        <f>SUM($Q$2:Q234)</f>
        <v>67531040</v>
      </c>
      <c r="W234">
        <f>Table1[[#This Row],[Cumulative_Inventory_Value]]/$AP$3</f>
        <v>0.89214228030063136</v>
      </c>
      <c r="X234" t="str">
        <f>IF(Table1[[#This Row],[Cumulative_Value_%]]&lt;80%,"A", IF(Table1[[#This Row],[Cumulative_Value_%]]&lt;=95%,"B","C"))</f>
        <v>B</v>
      </c>
      <c r="Y234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234">
        <f>Table1[[#This Row],[Consumption]]/365</f>
        <v>0.13150684931506848</v>
      </c>
      <c r="AA234">
        <f>Table1[[#This Row],[Avg_Daily_Consumption]]*Table1[[#This Row],[Lead_Time_Days]]+Table1[[#This Row],[Safety_Stock]]</f>
        <v>5.8931506849315065</v>
      </c>
      <c r="AB234">
        <f>IFERROR(Table1[[#This Row],[Closing_Stock]]/Table1[[#This Row],[Avg_Daily_Consumption]],9999)</f>
        <v>304.16666666666669</v>
      </c>
      <c r="AC234">
        <f>MAX(1,ROUNDUP(Table1[[#This Row],[Avg_Daily_Consumption]]*Table1[[#This Row],[Lead_Time_Days]]*0.8,0))</f>
        <v>3</v>
      </c>
      <c r="AD234" t="str">
        <f>IF(Table1[[#This Row],[Closing_Stock]]&lt;Table1[[#This Row],[Reorder_Point]],"Stock-out Risk","Adequate")</f>
        <v>Adequate</v>
      </c>
      <c r="AE234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234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234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234" s="11">
        <f>MAX(0,Table1[[#This Row],[Closing_Stock]]-Table1[[#This Row],[Reorder_Point]])</f>
        <v>34.106849315068494</v>
      </c>
      <c r="AI234" s="11">
        <f>Table1[[#This Row],[Excess_Stock_Units]]*Table1[[#This Row],[Unit_Cost_INR]]</f>
        <v>62415.534246575342</v>
      </c>
      <c r="AJ234" s="11">
        <f>IF(Table1[[#This Row],[Criticality]]="Critical",0,Table1[[#This Row],[Excess_Inventory_Value_INR]])</f>
        <v>62415.534246575342</v>
      </c>
      <c r="AK234" s="11">
        <f>IF(AND(Table1[[#This Row],[Criticality]]&lt;&gt;"Critical",OR(Table1[[#This Row],[Movement_Class]]="Slow-Moving",Table1[[#This Row],[Movement_Class]]="Non-Moving")),Table1[[#This Row],[Excess_Inventory_Value_INR]],0)</f>
        <v>62415.534246575342</v>
      </c>
    </row>
    <row r="235" spans="1:37" x14ac:dyDescent="0.25">
      <c r="A235" t="s">
        <v>507</v>
      </c>
      <c r="B235" t="s">
        <v>85</v>
      </c>
      <c r="C235" t="s">
        <v>41</v>
      </c>
      <c r="D235" t="s">
        <v>45</v>
      </c>
      <c r="E235" t="s">
        <v>46</v>
      </c>
      <c r="F235">
        <v>39</v>
      </c>
      <c r="G235">
        <v>110</v>
      </c>
      <c r="H235">
        <v>99</v>
      </c>
      <c r="I235">
        <v>50</v>
      </c>
      <c r="J235">
        <v>1450</v>
      </c>
      <c r="K235">
        <v>17</v>
      </c>
      <c r="L235">
        <v>0</v>
      </c>
      <c r="M235">
        <v>36</v>
      </c>
      <c r="N235" t="s">
        <v>29</v>
      </c>
      <c r="O235">
        <v>0.156</v>
      </c>
      <c r="P235">
        <v>11310</v>
      </c>
      <c r="Q235">
        <f>(Table1[[#This Row],[Closing_Stock]]*Table1[[#This Row],[Unit_Cost_INR]])</f>
        <v>72500</v>
      </c>
      <c r="R235">
        <f>(Table1[[#This Row],[Unit_Cost_INR]]*Table1[[#This Row],[Consumption]])</f>
        <v>143550</v>
      </c>
      <c r="S235">
        <f>IFERROR(Table1[[#This Row],[Annual_Consumption_Value_INR]]/Table1[[#This Row],[Inventory_Value_INR]],0)</f>
        <v>1.98</v>
      </c>
      <c r="T235">
        <f>IFERROR(365/Table1[[#This Row],[Inventory_Turnover]],0)</f>
        <v>184.34343434343435</v>
      </c>
      <c r="U235" t="str">
        <f>IF(Table1[[#This Row],[Consumption]]=0,"Non-Moving", IF(Table1[[#This Row],[Days_Since_Last_Movement]]&gt;90,"Slow-Moving","Active"))</f>
        <v>Active</v>
      </c>
      <c r="V235">
        <f>SUM($Q$2:Q235)</f>
        <v>67603540</v>
      </c>
      <c r="W235">
        <f>Table1[[#This Row],[Cumulative_Inventory_Value]]/$AP$3</f>
        <v>0.89310006675441311</v>
      </c>
      <c r="X235" t="str">
        <f>IF(Table1[[#This Row],[Cumulative_Value_%]]&lt;80%,"A", IF(Table1[[#This Row],[Cumulative_Value_%]]&lt;=95%,"B","C"))</f>
        <v>B</v>
      </c>
      <c r="Y235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235">
        <f>Table1[[#This Row],[Consumption]]/365</f>
        <v>0.27123287671232876</v>
      </c>
      <c r="AA235">
        <f>Table1[[#This Row],[Avg_Daily_Consumption]]*Table1[[#This Row],[Lead_Time_Days]]+Table1[[#This Row],[Safety_Stock]]</f>
        <v>8.6109589041095891</v>
      </c>
      <c r="AB235">
        <f>IFERROR(Table1[[#This Row],[Closing_Stock]]/Table1[[#This Row],[Avg_Daily_Consumption]],9999)</f>
        <v>184.34343434343435</v>
      </c>
      <c r="AC235">
        <f>MAX(1,ROUNDUP(Table1[[#This Row],[Avg_Daily_Consumption]]*Table1[[#This Row],[Lead_Time_Days]]*0.8,0))</f>
        <v>4</v>
      </c>
      <c r="AD235" t="str">
        <f>IF(Table1[[#This Row],[Closing_Stock]]&lt;Table1[[#This Row],[Reorder_Point]],"Stock-out Risk","Adequate")</f>
        <v>Adequate</v>
      </c>
      <c r="AE235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235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235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235" s="11">
        <f>MAX(0,Table1[[#This Row],[Closing_Stock]]-Table1[[#This Row],[Reorder_Point]])</f>
        <v>41.389041095890413</v>
      </c>
      <c r="AI235" s="11">
        <f>Table1[[#This Row],[Excess_Stock_Units]]*Table1[[#This Row],[Unit_Cost_INR]]</f>
        <v>60014.109589041102</v>
      </c>
      <c r="AJ235" s="11">
        <f>IF(Table1[[#This Row],[Criticality]]="Critical",0,Table1[[#This Row],[Excess_Inventory_Value_INR]])</f>
        <v>60014.109589041102</v>
      </c>
      <c r="AK235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236" spans="1:37" x14ac:dyDescent="0.25">
      <c r="A236" t="s">
        <v>525</v>
      </c>
      <c r="B236" t="s">
        <v>99</v>
      </c>
      <c r="C236" t="s">
        <v>20</v>
      </c>
      <c r="D236" t="s">
        <v>45</v>
      </c>
      <c r="E236" t="s">
        <v>22</v>
      </c>
      <c r="F236">
        <v>28</v>
      </c>
      <c r="G236">
        <v>38</v>
      </c>
      <c r="H236">
        <v>33</v>
      </c>
      <c r="I236">
        <v>33</v>
      </c>
      <c r="J236">
        <v>2190</v>
      </c>
      <c r="K236">
        <v>23</v>
      </c>
      <c r="L236">
        <v>1</v>
      </c>
      <c r="M236">
        <v>150</v>
      </c>
      <c r="N236" t="s">
        <v>49</v>
      </c>
      <c r="O236">
        <v>0.27</v>
      </c>
      <c r="P236">
        <v>19512.900000000001</v>
      </c>
      <c r="Q236">
        <f>(Table1[[#This Row],[Closing_Stock]]*Table1[[#This Row],[Unit_Cost_INR]])</f>
        <v>72270</v>
      </c>
      <c r="R236">
        <f>(Table1[[#This Row],[Unit_Cost_INR]]*Table1[[#This Row],[Consumption]])</f>
        <v>72270</v>
      </c>
      <c r="S236">
        <f>IFERROR(Table1[[#This Row],[Annual_Consumption_Value_INR]]/Table1[[#This Row],[Inventory_Value_INR]],0)</f>
        <v>1</v>
      </c>
      <c r="T236">
        <f>IFERROR(365/Table1[[#This Row],[Inventory_Turnover]],0)</f>
        <v>365</v>
      </c>
      <c r="U236" t="str">
        <f>IF(Table1[[#This Row],[Consumption]]=0,"Non-Moving", IF(Table1[[#This Row],[Days_Since_Last_Movement]]&gt;90,"Slow-Moving","Active"))</f>
        <v>Slow-Moving</v>
      </c>
      <c r="V236">
        <f>SUM($Q$2:Q236)</f>
        <v>67675810</v>
      </c>
      <c r="W236">
        <f>Table1[[#This Row],[Cumulative_Inventory_Value]]/$AP$3</f>
        <v>0.89405481471323811</v>
      </c>
      <c r="X236" t="str">
        <f>IF(Table1[[#This Row],[Cumulative_Value_%]]&lt;80%,"A", IF(Table1[[#This Row],[Cumulative_Value_%]]&lt;=95%,"B","C"))</f>
        <v>B</v>
      </c>
      <c r="Y236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236">
        <f>Table1[[#This Row],[Consumption]]/365</f>
        <v>9.0410958904109592E-2</v>
      </c>
      <c r="AA236">
        <f>Table1[[#This Row],[Avg_Daily_Consumption]]*Table1[[#This Row],[Lead_Time_Days]]+Table1[[#This Row],[Safety_Stock]]</f>
        <v>4.0794520547945208</v>
      </c>
      <c r="AB236">
        <f>IFERROR(Table1[[#This Row],[Closing_Stock]]/Table1[[#This Row],[Avg_Daily_Consumption]],9999)</f>
        <v>365</v>
      </c>
      <c r="AC236">
        <f>MAX(1,ROUNDUP(Table1[[#This Row],[Avg_Daily_Consumption]]*Table1[[#This Row],[Lead_Time_Days]]*0.8,0))</f>
        <v>2</v>
      </c>
      <c r="AD236" t="str">
        <f>IF(Table1[[#This Row],[Closing_Stock]]&lt;Table1[[#This Row],[Reorder_Point]],"Stock-out Risk","Adequate")</f>
        <v>Adequate</v>
      </c>
      <c r="AE236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236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236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236" s="11">
        <f>MAX(0,Table1[[#This Row],[Closing_Stock]]-Table1[[#This Row],[Reorder_Point]])</f>
        <v>28.920547945205477</v>
      </c>
      <c r="AI236" s="11">
        <f>Table1[[#This Row],[Excess_Stock_Units]]*Table1[[#This Row],[Unit_Cost_INR]]</f>
        <v>63335.999999999993</v>
      </c>
      <c r="AJ236" s="11">
        <f>IF(Table1[[#This Row],[Criticality]]="Critical",0,Table1[[#This Row],[Excess_Inventory_Value_INR]])</f>
        <v>63335.999999999993</v>
      </c>
      <c r="AK236" s="11">
        <f>IF(AND(Table1[[#This Row],[Criticality]]&lt;&gt;"Critical",OR(Table1[[#This Row],[Movement_Class]]="Slow-Moving",Table1[[#This Row],[Movement_Class]]="Non-Moving")),Table1[[#This Row],[Excess_Inventory_Value_INR]],0)</f>
        <v>63335.999999999993</v>
      </c>
    </row>
    <row r="237" spans="1:37" x14ac:dyDescent="0.25">
      <c r="A237" t="s">
        <v>57</v>
      </c>
      <c r="B237" t="s">
        <v>48</v>
      </c>
      <c r="C237" t="s">
        <v>41</v>
      </c>
      <c r="D237" t="s">
        <v>21</v>
      </c>
      <c r="E237" t="s">
        <v>22</v>
      </c>
      <c r="F237">
        <v>24</v>
      </c>
      <c r="G237">
        <v>52</v>
      </c>
      <c r="H237">
        <v>38</v>
      </c>
      <c r="I237">
        <v>38</v>
      </c>
      <c r="J237">
        <v>1860</v>
      </c>
      <c r="K237">
        <v>28</v>
      </c>
      <c r="L237">
        <v>2</v>
      </c>
      <c r="M237">
        <v>50</v>
      </c>
      <c r="N237" t="s">
        <v>58</v>
      </c>
      <c r="O237">
        <v>0.29399999999999998</v>
      </c>
      <c r="P237">
        <v>20779.919999999998</v>
      </c>
      <c r="Q237">
        <f>(Table1[[#This Row],[Closing_Stock]]*Table1[[#This Row],[Unit_Cost_INR]])</f>
        <v>70680</v>
      </c>
      <c r="R237">
        <f>(Table1[[#This Row],[Unit_Cost_INR]]*Table1[[#This Row],[Consumption]])</f>
        <v>70680</v>
      </c>
      <c r="S237">
        <f>IFERROR(Table1[[#This Row],[Annual_Consumption_Value_INR]]/Table1[[#This Row],[Inventory_Value_INR]],0)</f>
        <v>1</v>
      </c>
      <c r="T237">
        <f>IFERROR(365/Table1[[#This Row],[Inventory_Turnover]],0)</f>
        <v>365</v>
      </c>
      <c r="U237" t="str">
        <f>IF(Table1[[#This Row],[Consumption]]=0,"Non-Moving", IF(Table1[[#This Row],[Days_Since_Last_Movement]]&gt;90,"Slow-Moving","Active"))</f>
        <v>Active</v>
      </c>
      <c r="V237">
        <f>SUM($Q$2:Q237)</f>
        <v>67746490</v>
      </c>
      <c r="W237">
        <f>Table1[[#This Row],[Cumulative_Inventory_Value]]/$AP$3</f>
        <v>0.89498855742431804</v>
      </c>
      <c r="X237" t="str">
        <f>IF(Table1[[#This Row],[Cumulative_Value_%]]&lt;80%,"A", IF(Table1[[#This Row],[Cumulative_Value_%]]&lt;=95%,"B","C"))</f>
        <v>B</v>
      </c>
      <c r="Y237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237">
        <f>Table1[[#This Row],[Consumption]]/365</f>
        <v>0.10410958904109589</v>
      </c>
      <c r="AA237">
        <f>Table1[[#This Row],[Avg_Daily_Consumption]]*Table1[[#This Row],[Lead_Time_Days]]+Table1[[#This Row],[Safety_Stock]]</f>
        <v>5.9150684931506845</v>
      </c>
      <c r="AB237">
        <f>IFERROR(Table1[[#This Row],[Closing_Stock]]/Table1[[#This Row],[Avg_Daily_Consumption]],9999)</f>
        <v>365</v>
      </c>
      <c r="AC237">
        <f>MAX(1,ROUNDUP(Table1[[#This Row],[Avg_Daily_Consumption]]*Table1[[#This Row],[Lead_Time_Days]]*0.8,0))</f>
        <v>3</v>
      </c>
      <c r="AD237" t="str">
        <f>IF(Table1[[#This Row],[Closing_Stock]]&lt;Table1[[#This Row],[Reorder_Point]],"Stock-out Risk","Adequate")</f>
        <v>Adequate</v>
      </c>
      <c r="AE237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237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237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237" s="11">
        <f>MAX(0,Table1[[#This Row],[Closing_Stock]]-Table1[[#This Row],[Reorder_Point]])</f>
        <v>32.084931506849315</v>
      </c>
      <c r="AI237" s="11">
        <f>Table1[[#This Row],[Excess_Stock_Units]]*Table1[[#This Row],[Unit_Cost_INR]]</f>
        <v>59677.972602739726</v>
      </c>
      <c r="AJ237" s="11">
        <f>IF(Table1[[#This Row],[Criticality]]="Critical",0,Table1[[#This Row],[Excess_Inventory_Value_INR]])</f>
        <v>59677.972602739726</v>
      </c>
      <c r="AK237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238" spans="1:37" x14ac:dyDescent="0.25">
      <c r="A238" t="s">
        <v>256</v>
      </c>
      <c r="B238" t="s">
        <v>51</v>
      </c>
      <c r="C238" t="s">
        <v>52</v>
      </c>
      <c r="D238" t="s">
        <v>66</v>
      </c>
      <c r="E238" t="s">
        <v>22</v>
      </c>
      <c r="F238">
        <v>49</v>
      </c>
      <c r="G238">
        <v>54</v>
      </c>
      <c r="H238">
        <v>44</v>
      </c>
      <c r="I238">
        <v>60</v>
      </c>
      <c r="J238">
        <v>1170</v>
      </c>
      <c r="K238">
        <v>30</v>
      </c>
      <c r="L238">
        <v>0</v>
      </c>
      <c r="M238">
        <v>51</v>
      </c>
      <c r="N238" t="s">
        <v>29</v>
      </c>
      <c r="O238">
        <v>0.27</v>
      </c>
      <c r="P238">
        <v>18954</v>
      </c>
      <c r="Q238">
        <f>(Table1[[#This Row],[Closing_Stock]]*Table1[[#This Row],[Unit_Cost_INR]])</f>
        <v>70200</v>
      </c>
      <c r="R238">
        <f>(Table1[[#This Row],[Unit_Cost_INR]]*Table1[[#This Row],[Consumption]])</f>
        <v>51480</v>
      </c>
      <c r="S238">
        <f>IFERROR(Table1[[#This Row],[Annual_Consumption_Value_INR]]/Table1[[#This Row],[Inventory_Value_INR]],0)</f>
        <v>0.73333333333333328</v>
      </c>
      <c r="T238">
        <f>IFERROR(365/Table1[[#This Row],[Inventory_Turnover]],0)</f>
        <v>497.72727272727275</v>
      </c>
      <c r="U238" t="str">
        <f>IF(Table1[[#This Row],[Consumption]]=0,"Non-Moving", IF(Table1[[#This Row],[Days_Since_Last_Movement]]&gt;90,"Slow-Moving","Active"))</f>
        <v>Active</v>
      </c>
      <c r="V238">
        <f>SUM($Q$2:Q238)</f>
        <v>67816690</v>
      </c>
      <c r="W238">
        <f>Table1[[#This Row],[Cumulative_Inventory_Value]]/$AP$3</f>
        <v>0.8959159589285316</v>
      </c>
      <c r="X238" t="str">
        <f>IF(Table1[[#This Row],[Cumulative_Value_%]]&lt;80%,"A", IF(Table1[[#This Row],[Cumulative_Value_%]]&lt;=95%,"B","C"))</f>
        <v>B</v>
      </c>
      <c r="Y238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238">
        <f>Table1[[#This Row],[Consumption]]/365</f>
        <v>0.12054794520547946</v>
      </c>
      <c r="AA238">
        <f>Table1[[#This Row],[Avg_Daily_Consumption]]*Table1[[#This Row],[Lead_Time_Days]]+Table1[[#This Row],[Safety_Stock]]</f>
        <v>6.6164383561643838</v>
      </c>
      <c r="AB238">
        <f>IFERROR(Table1[[#This Row],[Closing_Stock]]/Table1[[#This Row],[Avg_Daily_Consumption]],9999)</f>
        <v>497.72727272727269</v>
      </c>
      <c r="AC238">
        <f>MAX(1,ROUNDUP(Table1[[#This Row],[Avg_Daily_Consumption]]*Table1[[#This Row],[Lead_Time_Days]]*0.8,0))</f>
        <v>3</v>
      </c>
      <c r="AD238" t="str">
        <f>IF(Table1[[#This Row],[Closing_Stock]]&lt;Table1[[#This Row],[Reorder_Point]],"Stock-out Risk","Adequate")</f>
        <v>Adequate</v>
      </c>
      <c r="AE238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238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238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238" s="11">
        <f>MAX(0,Table1[[#This Row],[Closing_Stock]]-Table1[[#This Row],[Reorder_Point]])</f>
        <v>53.38356164383562</v>
      </c>
      <c r="AI238" s="11">
        <f>Table1[[#This Row],[Excess_Stock_Units]]*Table1[[#This Row],[Unit_Cost_INR]]</f>
        <v>62458.767123287675</v>
      </c>
      <c r="AJ238" s="11">
        <f>IF(Table1[[#This Row],[Criticality]]="Critical",0,Table1[[#This Row],[Excess_Inventory_Value_INR]])</f>
        <v>62458.767123287675</v>
      </c>
      <c r="AK238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239" spans="1:37" x14ac:dyDescent="0.25">
      <c r="A239" t="s">
        <v>244</v>
      </c>
      <c r="B239" t="s">
        <v>73</v>
      </c>
      <c r="C239" t="s">
        <v>41</v>
      </c>
      <c r="D239" t="s">
        <v>66</v>
      </c>
      <c r="E239" t="s">
        <v>22</v>
      </c>
      <c r="F239">
        <v>25</v>
      </c>
      <c r="G239">
        <v>18</v>
      </c>
      <c r="H239">
        <v>17</v>
      </c>
      <c r="I239">
        <v>26</v>
      </c>
      <c r="J239">
        <v>2680</v>
      </c>
      <c r="K239">
        <v>23</v>
      </c>
      <c r="L239">
        <v>0</v>
      </c>
      <c r="M239">
        <v>67</v>
      </c>
      <c r="N239" t="s">
        <v>29</v>
      </c>
      <c r="O239">
        <v>0.21299999999999999</v>
      </c>
      <c r="P239">
        <v>14841.84</v>
      </c>
      <c r="Q239">
        <f>(Table1[[#This Row],[Closing_Stock]]*Table1[[#This Row],[Unit_Cost_INR]])</f>
        <v>69680</v>
      </c>
      <c r="R239">
        <f>(Table1[[#This Row],[Unit_Cost_INR]]*Table1[[#This Row],[Consumption]])</f>
        <v>45560</v>
      </c>
      <c r="S239">
        <f>IFERROR(Table1[[#This Row],[Annual_Consumption_Value_INR]]/Table1[[#This Row],[Inventory_Value_INR]],0)</f>
        <v>0.65384615384615385</v>
      </c>
      <c r="T239">
        <f>IFERROR(365/Table1[[#This Row],[Inventory_Turnover]],0)</f>
        <v>558.23529411764707</v>
      </c>
      <c r="U239" t="str">
        <f>IF(Table1[[#This Row],[Consumption]]=0,"Non-Moving", IF(Table1[[#This Row],[Days_Since_Last_Movement]]&gt;90,"Slow-Moving","Active"))</f>
        <v>Active</v>
      </c>
      <c r="V239">
        <f>SUM($Q$2:Q239)</f>
        <v>67886370</v>
      </c>
      <c r="W239">
        <f>Table1[[#This Row],[Cumulative_Inventory_Value]]/$AP$3</f>
        <v>0.89683649079197314</v>
      </c>
      <c r="X239" t="str">
        <f>IF(Table1[[#This Row],[Cumulative_Value_%]]&lt;80%,"A", IF(Table1[[#This Row],[Cumulative_Value_%]]&lt;=95%,"B","C"))</f>
        <v>B</v>
      </c>
      <c r="Y239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239">
        <f>Table1[[#This Row],[Consumption]]/365</f>
        <v>4.6575342465753428E-2</v>
      </c>
      <c r="AA239">
        <f>Table1[[#This Row],[Avg_Daily_Consumption]]*Table1[[#This Row],[Lead_Time_Days]]+Table1[[#This Row],[Safety_Stock]]</f>
        <v>2.0712328767123287</v>
      </c>
      <c r="AB239">
        <f>IFERROR(Table1[[#This Row],[Closing_Stock]]/Table1[[#This Row],[Avg_Daily_Consumption]],9999)</f>
        <v>558.23529411764707</v>
      </c>
      <c r="AC239">
        <f>MAX(1,ROUNDUP(Table1[[#This Row],[Avg_Daily_Consumption]]*Table1[[#This Row],[Lead_Time_Days]]*0.8,0))</f>
        <v>1</v>
      </c>
      <c r="AD239" t="str">
        <f>IF(Table1[[#This Row],[Closing_Stock]]&lt;Table1[[#This Row],[Reorder_Point]],"Stock-out Risk","Adequate")</f>
        <v>Adequate</v>
      </c>
      <c r="AE239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239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239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239" s="11">
        <f>MAX(0,Table1[[#This Row],[Closing_Stock]]-Table1[[#This Row],[Reorder_Point]])</f>
        <v>23.92876712328767</v>
      </c>
      <c r="AI239" s="11">
        <f>Table1[[#This Row],[Excess_Stock_Units]]*Table1[[#This Row],[Unit_Cost_INR]]</f>
        <v>64129.095890410958</v>
      </c>
      <c r="AJ239" s="11">
        <f>IF(Table1[[#This Row],[Criticality]]="Critical",0,Table1[[#This Row],[Excess_Inventory_Value_INR]])</f>
        <v>64129.095890410958</v>
      </c>
      <c r="AK239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240" spans="1:37" x14ac:dyDescent="0.25">
      <c r="A240" t="s">
        <v>469</v>
      </c>
      <c r="B240" t="s">
        <v>63</v>
      </c>
      <c r="C240" t="s">
        <v>52</v>
      </c>
      <c r="D240" t="s">
        <v>21</v>
      </c>
      <c r="E240" t="s">
        <v>28</v>
      </c>
      <c r="F240">
        <v>19</v>
      </c>
      <c r="G240">
        <v>16</v>
      </c>
      <c r="H240">
        <v>19</v>
      </c>
      <c r="I240">
        <v>16</v>
      </c>
      <c r="J240">
        <v>4320</v>
      </c>
      <c r="K240">
        <v>49</v>
      </c>
      <c r="L240">
        <v>1</v>
      </c>
      <c r="M240">
        <v>60</v>
      </c>
      <c r="N240" t="s">
        <v>33</v>
      </c>
      <c r="O240">
        <v>0.19600000000000001</v>
      </c>
      <c r="P240">
        <v>13547.52</v>
      </c>
      <c r="Q240">
        <f>(Table1[[#This Row],[Closing_Stock]]*Table1[[#This Row],[Unit_Cost_INR]])</f>
        <v>69120</v>
      </c>
      <c r="R240">
        <f>(Table1[[#This Row],[Unit_Cost_INR]]*Table1[[#This Row],[Consumption]])</f>
        <v>82080</v>
      </c>
      <c r="S240">
        <f>IFERROR(Table1[[#This Row],[Annual_Consumption_Value_INR]]/Table1[[#This Row],[Inventory_Value_INR]],0)</f>
        <v>1.1875</v>
      </c>
      <c r="T240">
        <f>IFERROR(365/Table1[[#This Row],[Inventory_Turnover]],0)</f>
        <v>307.36842105263156</v>
      </c>
      <c r="U240" t="str">
        <f>IF(Table1[[#This Row],[Consumption]]=0,"Non-Moving", IF(Table1[[#This Row],[Days_Since_Last_Movement]]&gt;90,"Slow-Moving","Active"))</f>
        <v>Active</v>
      </c>
      <c r="V240">
        <f>SUM($Q$2:Q240)</f>
        <v>67955490</v>
      </c>
      <c r="W240">
        <f>Table1[[#This Row],[Cumulative_Inventory_Value]]/$AP$3</f>
        <v>0.89774962458073726</v>
      </c>
      <c r="X240" t="str">
        <f>IF(Table1[[#This Row],[Cumulative_Value_%]]&lt;80%,"A", IF(Table1[[#This Row],[Cumulative_Value_%]]&lt;=95%,"B","C"))</f>
        <v>B</v>
      </c>
      <c r="Y240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240">
        <f>Table1[[#This Row],[Consumption]]/365</f>
        <v>5.2054794520547946E-2</v>
      </c>
      <c r="AA240">
        <f>Table1[[#This Row],[Avg_Daily_Consumption]]*Table1[[#This Row],[Lead_Time_Days]]+Table1[[#This Row],[Safety_Stock]]</f>
        <v>5.5506849315068489</v>
      </c>
      <c r="AB240">
        <f>IFERROR(Table1[[#This Row],[Closing_Stock]]/Table1[[#This Row],[Avg_Daily_Consumption]],9999)</f>
        <v>307.36842105263156</v>
      </c>
      <c r="AC240">
        <f>MAX(1,ROUNDUP(Table1[[#This Row],[Avg_Daily_Consumption]]*Table1[[#This Row],[Lead_Time_Days]]*0.8,0))</f>
        <v>3</v>
      </c>
      <c r="AD240" t="str">
        <f>IF(Table1[[#This Row],[Closing_Stock]]&lt;Table1[[#This Row],[Reorder_Point]],"Stock-out Risk","Adequate")</f>
        <v>Adequate</v>
      </c>
      <c r="AE240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240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240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240" s="11">
        <f>MAX(0,Table1[[#This Row],[Closing_Stock]]-Table1[[#This Row],[Reorder_Point]])</f>
        <v>10.449315068493151</v>
      </c>
      <c r="AI240" s="11">
        <f>Table1[[#This Row],[Excess_Stock_Units]]*Table1[[#This Row],[Unit_Cost_INR]]</f>
        <v>45141.04109589041</v>
      </c>
      <c r="AJ240" s="11">
        <f>IF(Table1[[#This Row],[Criticality]]="Critical",0,Table1[[#This Row],[Excess_Inventory_Value_INR]])</f>
        <v>45141.04109589041</v>
      </c>
      <c r="AK240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241" spans="1:37" x14ac:dyDescent="0.25">
      <c r="A241" t="s">
        <v>225</v>
      </c>
      <c r="B241" t="s">
        <v>48</v>
      </c>
      <c r="C241" t="s">
        <v>41</v>
      </c>
      <c r="D241" t="s">
        <v>60</v>
      </c>
      <c r="E241" t="s">
        <v>37</v>
      </c>
      <c r="F241">
        <v>10</v>
      </c>
      <c r="G241">
        <v>7</v>
      </c>
      <c r="H241">
        <v>6</v>
      </c>
      <c r="I241">
        <v>11</v>
      </c>
      <c r="J241">
        <v>6240</v>
      </c>
      <c r="K241">
        <v>39</v>
      </c>
      <c r="L241">
        <v>0</v>
      </c>
      <c r="M241">
        <v>122</v>
      </c>
      <c r="N241" t="s">
        <v>23</v>
      </c>
      <c r="O241">
        <v>0.183</v>
      </c>
      <c r="P241">
        <v>12561.12</v>
      </c>
      <c r="Q241">
        <f>(Table1[[#This Row],[Closing_Stock]]*Table1[[#This Row],[Unit_Cost_INR]])</f>
        <v>68640</v>
      </c>
      <c r="R241">
        <f>(Table1[[#This Row],[Unit_Cost_INR]]*Table1[[#This Row],[Consumption]])</f>
        <v>37440</v>
      </c>
      <c r="S241">
        <f>IFERROR(Table1[[#This Row],[Annual_Consumption_Value_INR]]/Table1[[#This Row],[Inventory_Value_INR]],0)</f>
        <v>0.54545454545454541</v>
      </c>
      <c r="T241">
        <f>IFERROR(365/Table1[[#This Row],[Inventory_Turnover]],0)</f>
        <v>669.16666666666674</v>
      </c>
      <c r="U241" t="str">
        <f>IF(Table1[[#This Row],[Consumption]]=0,"Non-Moving", IF(Table1[[#This Row],[Days_Since_Last_Movement]]&gt;90,"Slow-Moving","Active"))</f>
        <v>Slow-Moving</v>
      </c>
      <c r="V241">
        <f>SUM($Q$2:Q241)</f>
        <v>68024130</v>
      </c>
      <c r="W241">
        <f>Table1[[#This Row],[Cumulative_Inventory_Value]]/$AP$3</f>
        <v>0.89865641716263489</v>
      </c>
      <c r="X241" t="str">
        <f>IF(Table1[[#This Row],[Cumulative_Value_%]]&lt;80%,"A", IF(Table1[[#This Row],[Cumulative_Value_%]]&lt;=95%,"B","C"))</f>
        <v>B</v>
      </c>
      <c r="Y241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241">
        <f>Table1[[#This Row],[Consumption]]/365</f>
        <v>1.643835616438356E-2</v>
      </c>
      <c r="AA241">
        <f>Table1[[#This Row],[Avg_Daily_Consumption]]*Table1[[#This Row],[Lead_Time_Days]]+Table1[[#This Row],[Safety_Stock]]</f>
        <v>1.6410958904109587</v>
      </c>
      <c r="AB241">
        <f>IFERROR(Table1[[#This Row],[Closing_Stock]]/Table1[[#This Row],[Avg_Daily_Consumption]],9999)</f>
        <v>669.16666666666674</v>
      </c>
      <c r="AC241">
        <f>MAX(1,ROUNDUP(Table1[[#This Row],[Avg_Daily_Consumption]]*Table1[[#This Row],[Lead_Time_Days]]*0.8,0))</f>
        <v>1</v>
      </c>
      <c r="AD241" t="str">
        <f>IF(Table1[[#This Row],[Closing_Stock]]&lt;Table1[[#This Row],[Reorder_Point]],"Stock-out Risk","Adequate")</f>
        <v>Adequate</v>
      </c>
      <c r="AE241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241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241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241" s="11">
        <f>MAX(0,Table1[[#This Row],[Closing_Stock]]-Table1[[#This Row],[Reorder_Point]])</f>
        <v>9.3589041095890408</v>
      </c>
      <c r="AI241" s="11">
        <f>Table1[[#This Row],[Excess_Stock_Units]]*Table1[[#This Row],[Unit_Cost_INR]]</f>
        <v>58399.561643835616</v>
      </c>
      <c r="AJ241" s="11">
        <f>IF(Table1[[#This Row],[Criticality]]="Critical",0,Table1[[#This Row],[Excess_Inventory_Value_INR]])</f>
        <v>0</v>
      </c>
      <c r="AK241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242" spans="1:37" x14ac:dyDescent="0.25">
      <c r="A242" t="s">
        <v>517</v>
      </c>
      <c r="B242" t="s">
        <v>97</v>
      </c>
      <c r="C242" t="s">
        <v>52</v>
      </c>
      <c r="D242" t="s">
        <v>66</v>
      </c>
      <c r="E242" t="s">
        <v>28</v>
      </c>
      <c r="F242">
        <v>33</v>
      </c>
      <c r="G242">
        <v>41</v>
      </c>
      <c r="H242">
        <v>32</v>
      </c>
      <c r="I242">
        <v>42</v>
      </c>
      <c r="J242">
        <v>1630</v>
      </c>
      <c r="K242">
        <v>26</v>
      </c>
      <c r="L242">
        <v>0</v>
      </c>
      <c r="M242">
        <v>44</v>
      </c>
      <c r="N242" t="s">
        <v>61</v>
      </c>
      <c r="O242">
        <v>0.22800000000000001</v>
      </c>
      <c r="P242">
        <v>15608.88</v>
      </c>
      <c r="Q242">
        <f>(Table1[[#This Row],[Closing_Stock]]*Table1[[#This Row],[Unit_Cost_INR]])</f>
        <v>68460</v>
      </c>
      <c r="R242">
        <f>(Table1[[#This Row],[Unit_Cost_INR]]*Table1[[#This Row],[Consumption]])</f>
        <v>52160</v>
      </c>
      <c r="S242">
        <f>IFERROR(Table1[[#This Row],[Annual_Consumption_Value_INR]]/Table1[[#This Row],[Inventory_Value_INR]],0)</f>
        <v>0.76190476190476186</v>
      </c>
      <c r="T242">
        <f>IFERROR(365/Table1[[#This Row],[Inventory_Turnover]],0)</f>
        <v>479.0625</v>
      </c>
      <c r="U242" t="str">
        <f>IF(Table1[[#This Row],[Consumption]]=0,"Non-Moving", IF(Table1[[#This Row],[Days_Since_Last_Movement]]&gt;90,"Slow-Moving","Active"))</f>
        <v>Active</v>
      </c>
      <c r="V242">
        <f>SUM($Q$2:Q242)</f>
        <v>68092590</v>
      </c>
      <c r="W242">
        <f>Table1[[#This Row],[Cumulative_Inventory_Value]]/$AP$3</f>
        <v>0.89956083179195767</v>
      </c>
      <c r="X242" t="str">
        <f>IF(Table1[[#This Row],[Cumulative_Value_%]]&lt;80%,"A", IF(Table1[[#This Row],[Cumulative_Value_%]]&lt;=95%,"B","C"))</f>
        <v>B</v>
      </c>
      <c r="Y242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242">
        <f>Table1[[#This Row],[Consumption]]/365</f>
        <v>8.7671232876712329E-2</v>
      </c>
      <c r="AA242">
        <f>Table1[[#This Row],[Avg_Daily_Consumption]]*Table1[[#This Row],[Lead_Time_Days]]+Table1[[#This Row],[Safety_Stock]]</f>
        <v>4.2794520547945201</v>
      </c>
      <c r="AB242">
        <f>IFERROR(Table1[[#This Row],[Closing_Stock]]/Table1[[#This Row],[Avg_Daily_Consumption]],9999)</f>
        <v>479.0625</v>
      </c>
      <c r="AC242">
        <f>MAX(1,ROUNDUP(Table1[[#This Row],[Avg_Daily_Consumption]]*Table1[[#This Row],[Lead_Time_Days]]*0.8,0))</f>
        <v>2</v>
      </c>
      <c r="AD242" t="str">
        <f>IF(Table1[[#This Row],[Closing_Stock]]&lt;Table1[[#This Row],[Reorder_Point]],"Stock-out Risk","Adequate")</f>
        <v>Adequate</v>
      </c>
      <c r="AE242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242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242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242" s="11">
        <f>MAX(0,Table1[[#This Row],[Closing_Stock]]-Table1[[#This Row],[Reorder_Point]])</f>
        <v>37.720547945205482</v>
      </c>
      <c r="AI242" s="11">
        <f>Table1[[#This Row],[Excess_Stock_Units]]*Table1[[#This Row],[Unit_Cost_INR]]</f>
        <v>61484.493150684932</v>
      </c>
      <c r="AJ242" s="11">
        <f>IF(Table1[[#This Row],[Criticality]]="Critical",0,Table1[[#This Row],[Excess_Inventory_Value_INR]])</f>
        <v>61484.493150684932</v>
      </c>
      <c r="AK242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243" spans="1:37" x14ac:dyDescent="0.25">
      <c r="A243" t="s">
        <v>391</v>
      </c>
      <c r="B243" t="s">
        <v>85</v>
      </c>
      <c r="C243" t="s">
        <v>41</v>
      </c>
      <c r="D243" t="s">
        <v>42</v>
      </c>
      <c r="E243" t="s">
        <v>22</v>
      </c>
      <c r="F243">
        <v>27</v>
      </c>
      <c r="G243">
        <v>54</v>
      </c>
      <c r="H243">
        <v>44</v>
      </c>
      <c r="I243">
        <v>45</v>
      </c>
      <c r="J243">
        <v>1510</v>
      </c>
      <c r="K243">
        <v>34</v>
      </c>
      <c r="L243">
        <v>1</v>
      </c>
      <c r="M243">
        <v>139</v>
      </c>
      <c r="N243" t="s">
        <v>29</v>
      </c>
      <c r="O243">
        <v>0.20899999999999999</v>
      </c>
      <c r="P243">
        <v>14201.55</v>
      </c>
      <c r="Q243">
        <f>(Table1[[#This Row],[Closing_Stock]]*Table1[[#This Row],[Unit_Cost_INR]])</f>
        <v>67950</v>
      </c>
      <c r="R243">
        <f>(Table1[[#This Row],[Unit_Cost_INR]]*Table1[[#This Row],[Consumption]])</f>
        <v>66440</v>
      </c>
      <c r="S243">
        <f>IFERROR(Table1[[#This Row],[Annual_Consumption_Value_INR]]/Table1[[#This Row],[Inventory_Value_INR]],0)</f>
        <v>0.97777777777777775</v>
      </c>
      <c r="T243">
        <f>IFERROR(365/Table1[[#This Row],[Inventory_Turnover]],0)</f>
        <v>373.29545454545456</v>
      </c>
      <c r="U243" t="str">
        <f>IF(Table1[[#This Row],[Consumption]]=0,"Non-Moving", IF(Table1[[#This Row],[Days_Since_Last_Movement]]&gt;90,"Slow-Moving","Active"))</f>
        <v>Slow-Moving</v>
      </c>
      <c r="V243">
        <f>SUM($Q$2:Q243)</f>
        <v>68160540</v>
      </c>
      <c r="W243">
        <f>Table1[[#This Row],[Cumulative_Inventory_Value]]/$AP$3</f>
        <v>0.90045850888898493</v>
      </c>
      <c r="X243" t="str">
        <f>IF(Table1[[#This Row],[Cumulative_Value_%]]&lt;80%,"A", IF(Table1[[#This Row],[Cumulative_Value_%]]&lt;=95%,"B","C"))</f>
        <v>B</v>
      </c>
      <c r="Y243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243">
        <f>Table1[[#This Row],[Consumption]]/365</f>
        <v>0.12054794520547946</v>
      </c>
      <c r="AA243">
        <f>Table1[[#This Row],[Avg_Daily_Consumption]]*Table1[[#This Row],[Lead_Time_Days]]+Table1[[#This Row],[Safety_Stock]]</f>
        <v>8.0986301369863014</v>
      </c>
      <c r="AB243">
        <f>IFERROR(Table1[[#This Row],[Closing_Stock]]/Table1[[#This Row],[Avg_Daily_Consumption]],9999)</f>
        <v>373.2954545454545</v>
      </c>
      <c r="AC243">
        <f>MAX(1,ROUNDUP(Table1[[#This Row],[Avg_Daily_Consumption]]*Table1[[#This Row],[Lead_Time_Days]]*0.8,0))</f>
        <v>4</v>
      </c>
      <c r="AD243" t="str">
        <f>IF(Table1[[#This Row],[Closing_Stock]]&lt;Table1[[#This Row],[Reorder_Point]],"Stock-out Risk","Adequate")</f>
        <v>Adequate</v>
      </c>
      <c r="AE243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243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243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243" s="11">
        <f>MAX(0,Table1[[#This Row],[Closing_Stock]]-Table1[[#This Row],[Reorder_Point]])</f>
        <v>36.901369863013699</v>
      </c>
      <c r="AI243" s="11">
        <f>Table1[[#This Row],[Excess_Stock_Units]]*Table1[[#This Row],[Unit_Cost_INR]]</f>
        <v>55721.068493150684</v>
      </c>
      <c r="AJ243" s="11">
        <f>IF(Table1[[#This Row],[Criticality]]="Critical",0,Table1[[#This Row],[Excess_Inventory_Value_INR]])</f>
        <v>55721.068493150684</v>
      </c>
      <c r="AK243" s="11">
        <f>IF(AND(Table1[[#This Row],[Criticality]]&lt;&gt;"Critical",OR(Table1[[#This Row],[Movement_Class]]="Slow-Moving",Table1[[#This Row],[Movement_Class]]="Non-Moving")),Table1[[#This Row],[Excess_Inventory_Value_INR]],0)</f>
        <v>55721.068493150684</v>
      </c>
    </row>
    <row r="244" spans="1:37" x14ac:dyDescent="0.25">
      <c r="A244" t="s">
        <v>154</v>
      </c>
      <c r="B244" t="s">
        <v>80</v>
      </c>
      <c r="C244" t="s">
        <v>20</v>
      </c>
      <c r="D244" t="s">
        <v>21</v>
      </c>
      <c r="E244" t="s">
        <v>28</v>
      </c>
      <c r="F244">
        <v>19</v>
      </c>
      <c r="G244">
        <v>5</v>
      </c>
      <c r="H244">
        <v>5</v>
      </c>
      <c r="I244">
        <v>19</v>
      </c>
      <c r="J244">
        <v>3560</v>
      </c>
      <c r="K244">
        <v>37</v>
      </c>
      <c r="L244">
        <v>0</v>
      </c>
      <c r="M244">
        <v>10</v>
      </c>
      <c r="N244" t="s">
        <v>33</v>
      </c>
      <c r="O244">
        <v>0.214</v>
      </c>
      <c r="P244">
        <v>14474.96</v>
      </c>
      <c r="Q244">
        <f>(Table1[[#This Row],[Closing_Stock]]*Table1[[#This Row],[Unit_Cost_INR]])</f>
        <v>67640</v>
      </c>
      <c r="R244">
        <f>(Table1[[#This Row],[Unit_Cost_INR]]*Table1[[#This Row],[Consumption]])</f>
        <v>17800</v>
      </c>
      <c r="S244">
        <f>IFERROR(Table1[[#This Row],[Annual_Consumption_Value_INR]]/Table1[[#This Row],[Inventory_Value_INR]],0)</f>
        <v>0.26315789473684209</v>
      </c>
      <c r="T244">
        <f>IFERROR(365/Table1[[#This Row],[Inventory_Turnover]],0)</f>
        <v>1387</v>
      </c>
      <c r="U244" t="str">
        <f>IF(Table1[[#This Row],[Consumption]]=0,"Non-Moving", IF(Table1[[#This Row],[Days_Since_Last_Movement]]&gt;90,"Slow-Moving","Active"))</f>
        <v>Active</v>
      </c>
      <c r="V244">
        <f>SUM($Q$2:Q244)</f>
        <v>68228180</v>
      </c>
      <c r="W244">
        <f>Table1[[#This Row],[Cumulative_Inventory_Value]]/$AP$3</f>
        <v>0.90135209062324417</v>
      </c>
      <c r="X244" t="str">
        <f>IF(Table1[[#This Row],[Cumulative_Value_%]]&lt;80%,"A", IF(Table1[[#This Row],[Cumulative_Value_%]]&lt;=95%,"B","C"))</f>
        <v>B</v>
      </c>
      <c r="Y244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244">
        <f>Table1[[#This Row],[Consumption]]/365</f>
        <v>1.3698630136986301E-2</v>
      </c>
      <c r="AA244">
        <f>Table1[[#This Row],[Avg_Daily_Consumption]]*Table1[[#This Row],[Lead_Time_Days]]+Table1[[#This Row],[Safety_Stock]]</f>
        <v>1.5068493150684932</v>
      </c>
      <c r="AB244">
        <f>IFERROR(Table1[[#This Row],[Closing_Stock]]/Table1[[#This Row],[Avg_Daily_Consumption]],9999)</f>
        <v>1387</v>
      </c>
      <c r="AC244">
        <f>MAX(1,ROUNDUP(Table1[[#This Row],[Avg_Daily_Consumption]]*Table1[[#This Row],[Lead_Time_Days]]*0.8,0))</f>
        <v>1</v>
      </c>
      <c r="AD244" t="str">
        <f>IF(Table1[[#This Row],[Closing_Stock]]&lt;Table1[[#This Row],[Reorder_Point]],"Stock-out Risk","Adequate")</f>
        <v>Adequate</v>
      </c>
      <c r="AE244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244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244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244" s="11">
        <f>MAX(0,Table1[[#This Row],[Closing_Stock]]-Table1[[#This Row],[Reorder_Point]])</f>
        <v>17.493150684931507</v>
      </c>
      <c r="AI244" s="11">
        <f>Table1[[#This Row],[Excess_Stock_Units]]*Table1[[#This Row],[Unit_Cost_INR]]</f>
        <v>62275.616438356163</v>
      </c>
      <c r="AJ244" s="11">
        <f>IF(Table1[[#This Row],[Criticality]]="Critical",0,Table1[[#This Row],[Excess_Inventory_Value_INR]])</f>
        <v>62275.616438356163</v>
      </c>
      <c r="AK244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245" spans="1:37" x14ac:dyDescent="0.25">
      <c r="A245" t="s">
        <v>271</v>
      </c>
      <c r="B245" t="s">
        <v>97</v>
      </c>
      <c r="C245" t="s">
        <v>52</v>
      </c>
      <c r="D245" t="s">
        <v>21</v>
      </c>
      <c r="E245" t="s">
        <v>22</v>
      </c>
      <c r="F245">
        <v>7</v>
      </c>
      <c r="G245">
        <v>5</v>
      </c>
      <c r="H245">
        <v>4</v>
      </c>
      <c r="I245">
        <v>8</v>
      </c>
      <c r="J245">
        <v>8450</v>
      </c>
      <c r="K245">
        <v>29</v>
      </c>
      <c r="L245">
        <v>0</v>
      </c>
      <c r="M245">
        <v>82</v>
      </c>
      <c r="N245" t="s">
        <v>33</v>
      </c>
      <c r="O245">
        <v>0.17199999999999999</v>
      </c>
      <c r="P245">
        <v>11627.2</v>
      </c>
      <c r="Q245">
        <f>(Table1[[#This Row],[Closing_Stock]]*Table1[[#This Row],[Unit_Cost_INR]])</f>
        <v>67600</v>
      </c>
      <c r="R245">
        <f>(Table1[[#This Row],[Unit_Cost_INR]]*Table1[[#This Row],[Consumption]])</f>
        <v>33800</v>
      </c>
      <c r="S245">
        <f>IFERROR(Table1[[#This Row],[Annual_Consumption_Value_INR]]/Table1[[#This Row],[Inventory_Value_INR]],0)</f>
        <v>0.5</v>
      </c>
      <c r="T245">
        <f>IFERROR(365/Table1[[#This Row],[Inventory_Turnover]],0)</f>
        <v>730</v>
      </c>
      <c r="U245" t="str">
        <f>IF(Table1[[#This Row],[Consumption]]=0,"Non-Moving", IF(Table1[[#This Row],[Days_Since_Last_Movement]]&gt;90,"Slow-Moving","Active"))</f>
        <v>Active</v>
      </c>
      <c r="V245">
        <f>SUM($Q$2:Q245)</f>
        <v>68295780</v>
      </c>
      <c r="W245">
        <f>Table1[[#This Row],[Cumulative_Inventory_Value]]/$AP$3</f>
        <v>0.902245143923598</v>
      </c>
      <c r="X245" t="str">
        <f>IF(Table1[[#This Row],[Cumulative_Value_%]]&lt;80%,"A", IF(Table1[[#This Row],[Cumulative_Value_%]]&lt;=95%,"B","C"))</f>
        <v>B</v>
      </c>
      <c r="Y245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245">
        <f>Table1[[#This Row],[Consumption]]/365</f>
        <v>1.0958904109589041E-2</v>
      </c>
      <c r="AA245">
        <f>Table1[[#This Row],[Avg_Daily_Consumption]]*Table1[[#This Row],[Lead_Time_Days]]+Table1[[#This Row],[Safety_Stock]]</f>
        <v>1.3178082191780822</v>
      </c>
      <c r="AB245">
        <f>IFERROR(Table1[[#This Row],[Closing_Stock]]/Table1[[#This Row],[Avg_Daily_Consumption]],9999)</f>
        <v>730</v>
      </c>
      <c r="AC245">
        <f>MAX(1,ROUNDUP(Table1[[#This Row],[Avg_Daily_Consumption]]*Table1[[#This Row],[Lead_Time_Days]]*0.8,0))</f>
        <v>1</v>
      </c>
      <c r="AD245" t="str">
        <f>IF(Table1[[#This Row],[Closing_Stock]]&lt;Table1[[#This Row],[Reorder_Point]],"Stock-out Risk","Adequate")</f>
        <v>Adequate</v>
      </c>
      <c r="AE245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245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245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245" s="11">
        <f>MAX(0,Table1[[#This Row],[Closing_Stock]]-Table1[[#This Row],[Reorder_Point]])</f>
        <v>6.6821917808219178</v>
      </c>
      <c r="AI245" s="11">
        <f>Table1[[#This Row],[Excess_Stock_Units]]*Table1[[#This Row],[Unit_Cost_INR]]</f>
        <v>56464.520547945205</v>
      </c>
      <c r="AJ245" s="11">
        <f>IF(Table1[[#This Row],[Criticality]]="Critical",0,Table1[[#This Row],[Excess_Inventory_Value_INR]])</f>
        <v>56464.520547945205</v>
      </c>
      <c r="AK245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246" spans="1:37" x14ac:dyDescent="0.25">
      <c r="A246" t="s">
        <v>544</v>
      </c>
      <c r="B246" t="s">
        <v>95</v>
      </c>
      <c r="C246" t="s">
        <v>26</v>
      </c>
      <c r="D246" t="s">
        <v>21</v>
      </c>
      <c r="E246" t="s">
        <v>37</v>
      </c>
      <c r="F246">
        <v>27</v>
      </c>
      <c r="G246">
        <v>45</v>
      </c>
      <c r="H246">
        <v>28</v>
      </c>
      <c r="I246">
        <v>44</v>
      </c>
      <c r="J246">
        <v>1520</v>
      </c>
      <c r="K246">
        <v>29</v>
      </c>
      <c r="L246">
        <v>1</v>
      </c>
      <c r="M246">
        <v>3</v>
      </c>
      <c r="N246" t="s">
        <v>58</v>
      </c>
      <c r="O246">
        <v>0.25800000000000001</v>
      </c>
      <c r="P246">
        <v>17255.04</v>
      </c>
      <c r="Q246">
        <f>(Table1[[#This Row],[Closing_Stock]]*Table1[[#This Row],[Unit_Cost_INR]])</f>
        <v>66880</v>
      </c>
      <c r="R246">
        <f>(Table1[[#This Row],[Unit_Cost_INR]]*Table1[[#This Row],[Consumption]])</f>
        <v>42560</v>
      </c>
      <c r="S246">
        <f>IFERROR(Table1[[#This Row],[Annual_Consumption_Value_INR]]/Table1[[#This Row],[Inventory_Value_INR]],0)</f>
        <v>0.63636363636363635</v>
      </c>
      <c r="T246">
        <f>IFERROR(365/Table1[[#This Row],[Inventory_Turnover]],0)</f>
        <v>573.57142857142856</v>
      </c>
      <c r="U246" t="str">
        <f>IF(Table1[[#This Row],[Consumption]]=0,"Non-Moving", IF(Table1[[#This Row],[Days_Since_Last_Movement]]&gt;90,"Slow-Moving","Active"))</f>
        <v>Active</v>
      </c>
      <c r="V246">
        <f>SUM($Q$2:Q246)</f>
        <v>68362660</v>
      </c>
      <c r="W246">
        <f>Table1[[#This Row],[Cumulative_Inventory_Value]]/$AP$3</f>
        <v>0.9031286854136521</v>
      </c>
      <c r="X246" t="str">
        <f>IF(Table1[[#This Row],[Cumulative_Value_%]]&lt;80%,"A", IF(Table1[[#This Row],[Cumulative_Value_%]]&lt;=95%,"B","C"))</f>
        <v>B</v>
      </c>
      <c r="Y246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246">
        <f>Table1[[#This Row],[Consumption]]/365</f>
        <v>7.6712328767123292E-2</v>
      </c>
      <c r="AA246">
        <f>Table1[[#This Row],[Avg_Daily_Consumption]]*Table1[[#This Row],[Lead_Time_Days]]+Table1[[#This Row],[Safety_Stock]]</f>
        <v>4.2246575342465755</v>
      </c>
      <c r="AB246">
        <f>IFERROR(Table1[[#This Row],[Closing_Stock]]/Table1[[#This Row],[Avg_Daily_Consumption]],9999)</f>
        <v>573.57142857142856</v>
      </c>
      <c r="AC246">
        <f>MAX(1,ROUNDUP(Table1[[#This Row],[Avg_Daily_Consumption]]*Table1[[#This Row],[Lead_Time_Days]]*0.8,0))</f>
        <v>2</v>
      </c>
      <c r="AD246" t="str">
        <f>IF(Table1[[#This Row],[Closing_Stock]]&lt;Table1[[#This Row],[Reorder_Point]],"Stock-out Risk","Adequate")</f>
        <v>Adequate</v>
      </c>
      <c r="AE246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246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246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246" s="11">
        <f>MAX(0,Table1[[#This Row],[Closing_Stock]]-Table1[[#This Row],[Reorder_Point]])</f>
        <v>39.775342465753425</v>
      </c>
      <c r="AI246" s="11">
        <f>Table1[[#This Row],[Excess_Stock_Units]]*Table1[[#This Row],[Unit_Cost_INR]]</f>
        <v>60458.520547945205</v>
      </c>
      <c r="AJ246" s="11">
        <f>IF(Table1[[#This Row],[Criticality]]="Critical",0,Table1[[#This Row],[Excess_Inventory_Value_INR]])</f>
        <v>0</v>
      </c>
      <c r="AK246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247" spans="1:37" x14ac:dyDescent="0.25">
      <c r="A247" t="s">
        <v>139</v>
      </c>
      <c r="B247" t="s">
        <v>40</v>
      </c>
      <c r="C247" t="s">
        <v>41</v>
      </c>
      <c r="D247" t="s">
        <v>27</v>
      </c>
      <c r="E247" t="s">
        <v>22</v>
      </c>
      <c r="F247">
        <v>18</v>
      </c>
      <c r="G247">
        <v>2</v>
      </c>
      <c r="H247">
        <v>4</v>
      </c>
      <c r="I247">
        <v>92</v>
      </c>
      <c r="J247">
        <v>710</v>
      </c>
      <c r="K247">
        <v>39</v>
      </c>
      <c r="L247">
        <v>0</v>
      </c>
      <c r="M247">
        <v>134</v>
      </c>
      <c r="N247" t="s">
        <v>33</v>
      </c>
      <c r="O247">
        <v>0.24399999999999999</v>
      </c>
      <c r="P247">
        <v>15938.08</v>
      </c>
      <c r="Q247">
        <f>(Table1[[#This Row],[Closing_Stock]]*Table1[[#This Row],[Unit_Cost_INR]])</f>
        <v>65320</v>
      </c>
      <c r="R247">
        <f>(Table1[[#This Row],[Unit_Cost_INR]]*Table1[[#This Row],[Consumption]])</f>
        <v>2840</v>
      </c>
      <c r="S247">
        <f>IFERROR(Table1[[#This Row],[Annual_Consumption_Value_INR]]/Table1[[#This Row],[Inventory_Value_INR]],0)</f>
        <v>4.3478260869565216E-2</v>
      </c>
      <c r="T247">
        <f>IFERROR(365/Table1[[#This Row],[Inventory_Turnover]],0)</f>
        <v>8395</v>
      </c>
      <c r="U247" t="str">
        <f>IF(Table1[[#This Row],[Consumption]]=0,"Non-Moving", IF(Table1[[#This Row],[Days_Since_Last_Movement]]&gt;90,"Slow-Moving","Active"))</f>
        <v>Slow-Moving</v>
      </c>
      <c r="V247">
        <f>SUM($Q$2:Q247)</f>
        <v>68427980</v>
      </c>
      <c r="W247">
        <f>Table1[[#This Row],[Cumulative_Inventory_Value]]/$AP$3</f>
        <v>0.90399161798139038</v>
      </c>
      <c r="X247" t="str">
        <f>IF(Table1[[#This Row],[Cumulative_Value_%]]&lt;80%,"A", IF(Table1[[#This Row],[Cumulative_Value_%]]&lt;=95%,"B","C"))</f>
        <v>B</v>
      </c>
      <c r="Y247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247">
        <f>Table1[[#This Row],[Consumption]]/365</f>
        <v>1.0958904109589041E-2</v>
      </c>
      <c r="AA247">
        <f>Table1[[#This Row],[Avg_Daily_Consumption]]*Table1[[#This Row],[Lead_Time_Days]]+Table1[[#This Row],[Safety_Stock]]</f>
        <v>1.4273972602739726</v>
      </c>
      <c r="AB247">
        <f>IFERROR(Table1[[#This Row],[Closing_Stock]]/Table1[[#This Row],[Avg_Daily_Consumption]],9999)</f>
        <v>8395</v>
      </c>
      <c r="AC247">
        <f>MAX(1,ROUNDUP(Table1[[#This Row],[Avg_Daily_Consumption]]*Table1[[#This Row],[Lead_Time_Days]]*0.8,0))</f>
        <v>1</v>
      </c>
      <c r="AD247" t="str">
        <f>IF(Table1[[#This Row],[Closing_Stock]]&lt;Table1[[#This Row],[Reorder_Point]],"Stock-out Risk","Adequate")</f>
        <v>Adequate</v>
      </c>
      <c r="AE247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247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247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247" s="11">
        <f>MAX(0,Table1[[#This Row],[Closing_Stock]]-Table1[[#This Row],[Reorder_Point]])</f>
        <v>90.572602739726022</v>
      </c>
      <c r="AI247" s="11">
        <f>Table1[[#This Row],[Excess_Stock_Units]]*Table1[[#This Row],[Unit_Cost_INR]]</f>
        <v>64306.547945205479</v>
      </c>
      <c r="AJ247" s="11">
        <f>IF(Table1[[#This Row],[Criticality]]="Critical",0,Table1[[#This Row],[Excess_Inventory_Value_INR]])</f>
        <v>64306.547945205479</v>
      </c>
      <c r="AK247" s="11">
        <f>IF(AND(Table1[[#This Row],[Criticality]]&lt;&gt;"Critical",OR(Table1[[#This Row],[Movement_Class]]="Slow-Moving",Table1[[#This Row],[Movement_Class]]="Non-Moving")),Table1[[#This Row],[Excess_Inventory_Value_INR]],0)</f>
        <v>64306.547945205479</v>
      </c>
    </row>
    <row r="248" spans="1:37" x14ac:dyDescent="0.25">
      <c r="A248" t="s">
        <v>221</v>
      </c>
      <c r="B248" t="s">
        <v>85</v>
      </c>
      <c r="C248" t="s">
        <v>41</v>
      </c>
      <c r="D248" t="s">
        <v>66</v>
      </c>
      <c r="E248" t="s">
        <v>37</v>
      </c>
      <c r="F248">
        <v>20</v>
      </c>
      <c r="G248">
        <v>13</v>
      </c>
      <c r="H248">
        <v>9</v>
      </c>
      <c r="I248">
        <v>24</v>
      </c>
      <c r="J248">
        <v>2700</v>
      </c>
      <c r="K248">
        <v>32</v>
      </c>
      <c r="L248">
        <v>0</v>
      </c>
      <c r="M248">
        <v>19</v>
      </c>
      <c r="N248" t="s">
        <v>38</v>
      </c>
      <c r="O248">
        <v>0.17199999999999999</v>
      </c>
      <c r="P248">
        <v>11145.6</v>
      </c>
      <c r="Q248">
        <f>(Table1[[#This Row],[Closing_Stock]]*Table1[[#This Row],[Unit_Cost_INR]])</f>
        <v>64800</v>
      </c>
      <c r="R248">
        <f>(Table1[[#This Row],[Unit_Cost_INR]]*Table1[[#This Row],[Consumption]])</f>
        <v>24300</v>
      </c>
      <c r="S248">
        <f>IFERROR(Table1[[#This Row],[Annual_Consumption_Value_INR]]/Table1[[#This Row],[Inventory_Value_INR]],0)</f>
        <v>0.375</v>
      </c>
      <c r="T248">
        <f>IFERROR(365/Table1[[#This Row],[Inventory_Turnover]],0)</f>
        <v>973.33333333333337</v>
      </c>
      <c r="U248" t="str">
        <f>IF(Table1[[#This Row],[Consumption]]=0,"Non-Moving", IF(Table1[[#This Row],[Days_Since_Last_Movement]]&gt;90,"Slow-Moving","Active"))</f>
        <v>Active</v>
      </c>
      <c r="V248">
        <f>SUM($Q$2:Q248)</f>
        <v>68492780</v>
      </c>
      <c r="W248">
        <f>Table1[[#This Row],[Cumulative_Inventory_Value]]/$AP$3</f>
        <v>0.90484768090835677</v>
      </c>
      <c r="X248" t="str">
        <f>IF(Table1[[#This Row],[Cumulative_Value_%]]&lt;80%,"A", IF(Table1[[#This Row],[Cumulative_Value_%]]&lt;=95%,"B","C"))</f>
        <v>B</v>
      </c>
      <c r="Y248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248">
        <f>Table1[[#This Row],[Consumption]]/365</f>
        <v>2.4657534246575342E-2</v>
      </c>
      <c r="AA248">
        <f>Table1[[#This Row],[Avg_Daily_Consumption]]*Table1[[#This Row],[Lead_Time_Days]]+Table1[[#This Row],[Safety_Stock]]</f>
        <v>1.7890410958904108</v>
      </c>
      <c r="AB248">
        <f>IFERROR(Table1[[#This Row],[Closing_Stock]]/Table1[[#This Row],[Avg_Daily_Consumption]],9999)</f>
        <v>973.33333333333337</v>
      </c>
      <c r="AC248">
        <f>MAX(1,ROUNDUP(Table1[[#This Row],[Avg_Daily_Consumption]]*Table1[[#This Row],[Lead_Time_Days]]*0.8,0))</f>
        <v>1</v>
      </c>
      <c r="AD248" t="str">
        <f>IF(Table1[[#This Row],[Closing_Stock]]&lt;Table1[[#This Row],[Reorder_Point]],"Stock-out Risk","Adequate")</f>
        <v>Adequate</v>
      </c>
      <c r="AE248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248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248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248" s="11">
        <f>MAX(0,Table1[[#This Row],[Closing_Stock]]-Table1[[#This Row],[Reorder_Point]])</f>
        <v>22.210958904109589</v>
      </c>
      <c r="AI248" s="11">
        <f>Table1[[#This Row],[Excess_Stock_Units]]*Table1[[#This Row],[Unit_Cost_INR]]</f>
        <v>59969.589041095889</v>
      </c>
      <c r="AJ248" s="11">
        <f>IF(Table1[[#This Row],[Criticality]]="Critical",0,Table1[[#This Row],[Excess_Inventory_Value_INR]])</f>
        <v>0</v>
      </c>
      <c r="AK248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249" spans="1:37" x14ac:dyDescent="0.25">
      <c r="A249" t="s">
        <v>538</v>
      </c>
      <c r="B249" t="s">
        <v>71</v>
      </c>
      <c r="C249" t="s">
        <v>20</v>
      </c>
      <c r="D249" t="s">
        <v>42</v>
      </c>
      <c r="E249" t="s">
        <v>46</v>
      </c>
      <c r="F249">
        <v>15</v>
      </c>
      <c r="G249">
        <v>9</v>
      </c>
      <c r="H249">
        <v>7</v>
      </c>
      <c r="I249">
        <v>17</v>
      </c>
      <c r="J249">
        <v>3800</v>
      </c>
      <c r="K249">
        <v>30</v>
      </c>
      <c r="L249">
        <v>0</v>
      </c>
      <c r="M249">
        <v>2</v>
      </c>
      <c r="N249" t="s">
        <v>49</v>
      </c>
      <c r="O249">
        <v>0.188</v>
      </c>
      <c r="P249">
        <v>12144.8</v>
      </c>
      <c r="Q249">
        <f>(Table1[[#This Row],[Closing_Stock]]*Table1[[#This Row],[Unit_Cost_INR]])</f>
        <v>64600</v>
      </c>
      <c r="R249">
        <f>(Table1[[#This Row],[Unit_Cost_INR]]*Table1[[#This Row],[Consumption]])</f>
        <v>26600</v>
      </c>
      <c r="S249">
        <f>IFERROR(Table1[[#This Row],[Annual_Consumption_Value_INR]]/Table1[[#This Row],[Inventory_Value_INR]],0)</f>
        <v>0.41176470588235292</v>
      </c>
      <c r="T249">
        <f>IFERROR(365/Table1[[#This Row],[Inventory_Turnover]],0)</f>
        <v>886.42857142857144</v>
      </c>
      <c r="U249" t="str">
        <f>IF(Table1[[#This Row],[Consumption]]=0,"Non-Moving", IF(Table1[[#This Row],[Days_Since_Last_Movement]]&gt;90,"Slow-Moving","Active"))</f>
        <v>Active</v>
      </c>
      <c r="V249">
        <f>SUM($Q$2:Q249)</f>
        <v>68557380</v>
      </c>
      <c r="W249">
        <f>Table1[[#This Row],[Cumulative_Inventory_Value]]/$AP$3</f>
        <v>0.90570110166579543</v>
      </c>
      <c r="X249" t="str">
        <f>IF(Table1[[#This Row],[Cumulative_Value_%]]&lt;80%,"A", IF(Table1[[#This Row],[Cumulative_Value_%]]&lt;=95%,"B","C"))</f>
        <v>B</v>
      </c>
      <c r="Y249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249">
        <f>Table1[[#This Row],[Consumption]]/365</f>
        <v>1.9178082191780823E-2</v>
      </c>
      <c r="AA249">
        <f>Table1[[#This Row],[Avg_Daily_Consumption]]*Table1[[#This Row],[Lead_Time_Days]]+Table1[[#This Row],[Safety_Stock]]</f>
        <v>1.5753424657534247</v>
      </c>
      <c r="AB249">
        <f>IFERROR(Table1[[#This Row],[Closing_Stock]]/Table1[[#This Row],[Avg_Daily_Consumption]],9999)</f>
        <v>886.42857142857133</v>
      </c>
      <c r="AC249">
        <f>MAX(1,ROUNDUP(Table1[[#This Row],[Avg_Daily_Consumption]]*Table1[[#This Row],[Lead_Time_Days]]*0.8,0))</f>
        <v>1</v>
      </c>
      <c r="AD249" t="str">
        <f>IF(Table1[[#This Row],[Closing_Stock]]&lt;Table1[[#This Row],[Reorder_Point]],"Stock-out Risk","Adequate")</f>
        <v>Adequate</v>
      </c>
      <c r="AE249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249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249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249" s="11">
        <f>MAX(0,Table1[[#This Row],[Closing_Stock]]-Table1[[#This Row],[Reorder_Point]])</f>
        <v>15.424657534246576</v>
      </c>
      <c r="AI249" s="11">
        <f>Table1[[#This Row],[Excess_Stock_Units]]*Table1[[#This Row],[Unit_Cost_INR]]</f>
        <v>58613.698630136991</v>
      </c>
      <c r="AJ249" s="11">
        <f>IF(Table1[[#This Row],[Criticality]]="Critical",0,Table1[[#This Row],[Excess_Inventory_Value_INR]])</f>
        <v>58613.698630136991</v>
      </c>
      <c r="AK249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250" spans="1:37" x14ac:dyDescent="0.25">
      <c r="A250" t="s">
        <v>141</v>
      </c>
      <c r="B250" t="s">
        <v>63</v>
      </c>
      <c r="C250" t="s">
        <v>52</v>
      </c>
      <c r="D250" t="s">
        <v>45</v>
      </c>
      <c r="E250" t="s">
        <v>28</v>
      </c>
      <c r="F250">
        <v>41</v>
      </c>
      <c r="G250">
        <v>145</v>
      </c>
      <c r="H250">
        <v>100</v>
      </c>
      <c r="I250">
        <v>86</v>
      </c>
      <c r="J250">
        <v>750</v>
      </c>
      <c r="K250">
        <v>20</v>
      </c>
      <c r="L250">
        <v>0</v>
      </c>
      <c r="M250">
        <v>11</v>
      </c>
      <c r="N250" t="s">
        <v>23</v>
      </c>
      <c r="O250">
        <v>0.182</v>
      </c>
      <c r="P250">
        <v>11739</v>
      </c>
      <c r="Q250">
        <f>(Table1[[#This Row],[Closing_Stock]]*Table1[[#This Row],[Unit_Cost_INR]])</f>
        <v>64500</v>
      </c>
      <c r="R250">
        <f>(Table1[[#This Row],[Unit_Cost_INR]]*Table1[[#This Row],[Consumption]])</f>
        <v>75000</v>
      </c>
      <c r="S250">
        <f>IFERROR(Table1[[#This Row],[Annual_Consumption_Value_INR]]/Table1[[#This Row],[Inventory_Value_INR]],0)</f>
        <v>1.1627906976744187</v>
      </c>
      <c r="T250">
        <f>IFERROR(365/Table1[[#This Row],[Inventory_Turnover]],0)</f>
        <v>313.89999999999998</v>
      </c>
      <c r="U250" t="str">
        <f>IF(Table1[[#This Row],[Consumption]]=0,"Non-Moving", IF(Table1[[#This Row],[Days_Since_Last_Movement]]&gt;90,"Slow-Moving","Active"))</f>
        <v>Active</v>
      </c>
      <c r="V250">
        <f>SUM($Q$2:Q250)</f>
        <v>68621880</v>
      </c>
      <c r="W250">
        <f>Table1[[#This Row],[Cumulative_Inventory_Value]]/$AP$3</f>
        <v>0.90655320133847028</v>
      </c>
      <c r="X250" t="str">
        <f>IF(Table1[[#This Row],[Cumulative_Value_%]]&lt;80%,"A", IF(Table1[[#This Row],[Cumulative_Value_%]]&lt;=95%,"B","C"))</f>
        <v>B</v>
      </c>
      <c r="Y250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250">
        <f>Table1[[#This Row],[Consumption]]/365</f>
        <v>0.27397260273972601</v>
      </c>
      <c r="AA250">
        <f>Table1[[#This Row],[Avg_Daily_Consumption]]*Table1[[#This Row],[Lead_Time_Days]]+Table1[[#This Row],[Safety_Stock]]</f>
        <v>10.479452054794521</v>
      </c>
      <c r="AB250">
        <f>IFERROR(Table1[[#This Row],[Closing_Stock]]/Table1[[#This Row],[Avg_Daily_Consumption]],9999)</f>
        <v>313.90000000000003</v>
      </c>
      <c r="AC250">
        <f>MAX(1,ROUNDUP(Table1[[#This Row],[Avg_Daily_Consumption]]*Table1[[#This Row],[Lead_Time_Days]]*0.8,0))</f>
        <v>5</v>
      </c>
      <c r="AD250" t="str">
        <f>IF(Table1[[#This Row],[Closing_Stock]]&lt;Table1[[#This Row],[Reorder_Point]],"Stock-out Risk","Adequate")</f>
        <v>Adequate</v>
      </c>
      <c r="AE250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250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250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250" s="11">
        <f>MAX(0,Table1[[#This Row],[Closing_Stock]]-Table1[[#This Row],[Reorder_Point]])</f>
        <v>75.520547945205479</v>
      </c>
      <c r="AI250" s="11">
        <f>Table1[[#This Row],[Excess_Stock_Units]]*Table1[[#This Row],[Unit_Cost_INR]]</f>
        <v>56640.410958904111</v>
      </c>
      <c r="AJ250" s="11">
        <f>IF(Table1[[#This Row],[Criticality]]="Critical",0,Table1[[#This Row],[Excess_Inventory_Value_INR]])</f>
        <v>56640.410958904111</v>
      </c>
      <c r="AK250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251" spans="1:37" x14ac:dyDescent="0.25">
      <c r="A251" t="s">
        <v>547</v>
      </c>
      <c r="B251" t="s">
        <v>150</v>
      </c>
      <c r="C251" t="s">
        <v>36</v>
      </c>
      <c r="D251" t="s">
        <v>66</v>
      </c>
      <c r="E251" t="s">
        <v>22</v>
      </c>
      <c r="F251">
        <v>30</v>
      </c>
      <c r="G251">
        <v>19</v>
      </c>
      <c r="H251">
        <v>15</v>
      </c>
      <c r="I251">
        <v>34</v>
      </c>
      <c r="J251">
        <v>1890</v>
      </c>
      <c r="K251">
        <v>29</v>
      </c>
      <c r="L251">
        <v>0</v>
      </c>
      <c r="M251">
        <v>33</v>
      </c>
      <c r="N251" t="s">
        <v>81</v>
      </c>
      <c r="O251">
        <v>0.29099999999999998</v>
      </c>
      <c r="P251">
        <v>18699.66</v>
      </c>
      <c r="Q251">
        <f>(Table1[[#This Row],[Closing_Stock]]*Table1[[#This Row],[Unit_Cost_INR]])</f>
        <v>64260</v>
      </c>
      <c r="R251">
        <f>(Table1[[#This Row],[Unit_Cost_INR]]*Table1[[#This Row],[Consumption]])</f>
        <v>28350</v>
      </c>
      <c r="S251">
        <f>IFERROR(Table1[[#This Row],[Annual_Consumption_Value_INR]]/Table1[[#This Row],[Inventory_Value_INR]],0)</f>
        <v>0.44117647058823528</v>
      </c>
      <c r="T251">
        <f>IFERROR(365/Table1[[#This Row],[Inventory_Turnover]],0)</f>
        <v>827.33333333333337</v>
      </c>
      <c r="U251" t="str">
        <f>IF(Table1[[#This Row],[Consumption]]=0,"Non-Moving", IF(Table1[[#This Row],[Days_Since_Last_Movement]]&gt;90,"Slow-Moving","Active"))</f>
        <v>Active</v>
      </c>
      <c r="V251">
        <f>SUM($Q$2:Q251)</f>
        <v>68686140</v>
      </c>
      <c r="W251">
        <f>Table1[[#This Row],[Cumulative_Inventory_Value]]/$AP$3</f>
        <v>0.90740213040771189</v>
      </c>
      <c r="X251" t="str">
        <f>IF(Table1[[#This Row],[Cumulative_Value_%]]&lt;80%,"A", IF(Table1[[#This Row],[Cumulative_Value_%]]&lt;=95%,"B","C"))</f>
        <v>B</v>
      </c>
      <c r="Y251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251">
        <f>Table1[[#This Row],[Consumption]]/365</f>
        <v>4.1095890410958902E-2</v>
      </c>
      <c r="AA251">
        <f>Table1[[#This Row],[Avg_Daily_Consumption]]*Table1[[#This Row],[Lead_Time_Days]]+Table1[[#This Row],[Safety_Stock]]</f>
        <v>2.1917808219178081</v>
      </c>
      <c r="AB251">
        <f>IFERROR(Table1[[#This Row],[Closing_Stock]]/Table1[[#This Row],[Avg_Daily_Consumption]],9999)</f>
        <v>827.33333333333337</v>
      </c>
      <c r="AC251">
        <f>MAX(1,ROUNDUP(Table1[[#This Row],[Avg_Daily_Consumption]]*Table1[[#This Row],[Lead_Time_Days]]*0.8,0))</f>
        <v>1</v>
      </c>
      <c r="AD251" t="str">
        <f>IF(Table1[[#This Row],[Closing_Stock]]&lt;Table1[[#This Row],[Reorder_Point]],"Stock-out Risk","Adequate")</f>
        <v>Adequate</v>
      </c>
      <c r="AE251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251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251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251" s="11">
        <f>MAX(0,Table1[[#This Row],[Closing_Stock]]-Table1[[#This Row],[Reorder_Point]])</f>
        <v>31.80821917808219</v>
      </c>
      <c r="AI251" s="11">
        <f>Table1[[#This Row],[Excess_Stock_Units]]*Table1[[#This Row],[Unit_Cost_INR]]</f>
        <v>60117.534246575342</v>
      </c>
      <c r="AJ251" s="11">
        <f>IF(Table1[[#This Row],[Criticality]]="Critical",0,Table1[[#This Row],[Excess_Inventory_Value_INR]])</f>
        <v>60117.534246575342</v>
      </c>
      <c r="AK251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252" spans="1:37" x14ac:dyDescent="0.25">
      <c r="A252" t="s">
        <v>549</v>
      </c>
      <c r="B252" t="s">
        <v>44</v>
      </c>
      <c r="C252" t="s">
        <v>41</v>
      </c>
      <c r="D252" t="s">
        <v>45</v>
      </c>
      <c r="E252" t="s">
        <v>46</v>
      </c>
      <c r="F252">
        <v>30</v>
      </c>
      <c r="G252">
        <v>19</v>
      </c>
      <c r="H252">
        <v>6</v>
      </c>
      <c r="I252">
        <v>66</v>
      </c>
      <c r="J252">
        <v>970</v>
      </c>
      <c r="K252">
        <v>17</v>
      </c>
      <c r="L252">
        <v>1</v>
      </c>
      <c r="M252">
        <v>331</v>
      </c>
      <c r="N252" t="s">
        <v>29</v>
      </c>
      <c r="O252">
        <v>0.23</v>
      </c>
      <c r="P252">
        <v>14724.6</v>
      </c>
      <c r="Q252">
        <f>(Table1[[#This Row],[Closing_Stock]]*Table1[[#This Row],[Unit_Cost_INR]])</f>
        <v>64020</v>
      </c>
      <c r="R252">
        <f>(Table1[[#This Row],[Unit_Cost_INR]]*Table1[[#This Row],[Consumption]])</f>
        <v>5820</v>
      </c>
      <c r="S252">
        <f>IFERROR(Table1[[#This Row],[Annual_Consumption_Value_INR]]/Table1[[#This Row],[Inventory_Value_INR]],0)</f>
        <v>9.0909090909090912E-2</v>
      </c>
      <c r="T252">
        <f>IFERROR(365/Table1[[#This Row],[Inventory_Turnover]],0)</f>
        <v>4015</v>
      </c>
      <c r="U252" t="str">
        <f>IF(Table1[[#This Row],[Consumption]]=0,"Non-Moving", IF(Table1[[#This Row],[Days_Since_Last_Movement]]&gt;90,"Slow-Moving","Active"))</f>
        <v>Slow-Moving</v>
      </c>
      <c r="V252">
        <f>SUM($Q$2:Q252)</f>
        <v>68750160</v>
      </c>
      <c r="W252">
        <f>Table1[[#This Row],[Cumulative_Inventory_Value]]/$AP$3</f>
        <v>0.90824788887352026</v>
      </c>
      <c r="X252" t="str">
        <f>IF(Table1[[#This Row],[Cumulative_Value_%]]&lt;80%,"A", IF(Table1[[#This Row],[Cumulative_Value_%]]&lt;=95%,"B","C"))</f>
        <v>B</v>
      </c>
      <c r="Y252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252">
        <f>Table1[[#This Row],[Consumption]]/365</f>
        <v>1.643835616438356E-2</v>
      </c>
      <c r="AA252">
        <f>Table1[[#This Row],[Avg_Daily_Consumption]]*Table1[[#This Row],[Lead_Time_Days]]+Table1[[#This Row],[Safety_Stock]]</f>
        <v>1.2794520547945205</v>
      </c>
      <c r="AB252">
        <f>IFERROR(Table1[[#This Row],[Closing_Stock]]/Table1[[#This Row],[Avg_Daily_Consumption]],9999)</f>
        <v>4015.0000000000005</v>
      </c>
      <c r="AC252">
        <f>MAX(1,ROUNDUP(Table1[[#This Row],[Avg_Daily_Consumption]]*Table1[[#This Row],[Lead_Time_Days]]*0.8,0))</f>
        <v>1</v>
      </c>
      <c r="AD252" t="str">
        <f>IF(Table1[[#This Row],[Closing_Stock]]&lt;Table1[[#This Row],[Reorder_Point]],"Stock-out Risk","Adequate")</f>
        <v>Adequate</v>
      </c>
      <c r="AE252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252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252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252" s="11">
        <f>MAX(0,Table1[[#This Row],[Closing_Stock]]-Table1[[#This Row],[Reorder_Point]])</f>
        <v>64.720547945205482</v>
      </c>
      <c r="AI252" s="11">
        <f>Table1[[#This Row],[Excess_Stock_Units]]*Table1[[#This Row],[Unit_Cost_INR]]</f>
        <v>62778.931506849316</v>
      </c>
      <c r="AJ252" s="11">
        <f>IF(Table1[[#This Row],[Criticality]]="Critical",0,Table1[[#This Row],[Excess_Inventory_Value_INR]])</f>
        <v>62778.931506849316</v>
      </c>
      <c r="AK252" s="11">
        <f>IF(AND(Table1[[#This Row],[Criticality]]&lt;&gt;"Critical",OR(Table1[[#This Row],[Movement_Class]]="Slow-Moving",Table1[[#This Row],[Movement_Class]]="Non-Moving")),Table1[[#This Row],[Excess_Inventory_Value_INR]],0)</f>
        <v>62778.931506849316</v>
      </c>
    </row>
    <row r="253" spans="1:37" x14ac:dyDescent="0.25">
      <c r="A253" t="s">
        <v>483</v>
      </c>
      <c r="B253" t="s">
        <v>80</v>
      </c>
      <c r="C253" t="s">
        <v>20</v>
      </c>
      <c r="D253" t="s">
        <v>66</v>
      </c>
      <c r="E253" t="s">
        <v>22</v>
      </c>
      <c r="F253">
        <v>6</v>
      </c>
      <c r="G253">
        <v>36</v>
      </c>
      <c r="H253">
        <v>24</v>
      </c>
      <c r="I253">
        <v>18</v>
      </c>
      <c r="J253">
        <v>3540</v>
      </c>
      <c r="K253">
        <v>43</v>
      </c>
      <c r="L253">
        <v>0</v>
      </c>
      <c r="M253">
        <v>42</v>
      </c>
      <c r="N253" t="s">
        <v>61</v>
      </c>
      <c r="O253">
        <v>0.17699999999999999</v>
      </c>
      <c r="P253">
        <v>11278.44</v>
      </c>
      <c r="Q253">
        <f>(Table1[[#This Row],[Closing_Stock]]*Table1[[#This Row],[Unit_Cost_INR]])</f>
        <v>63720</v>
      </c>
      <c r="R253">
        <f>(Table1[[#This Row],[Unit_Cost_INR]]*Table1[[#This Row],[Consumption]])</f>
        <v>84960</v>
      </c>
      <c r="S253">
        <f>IFERROR(Table1[[#This Row],[Annual_Consumption_Value_INR]]/Table1[[#This Row],[Inventory_Value_INR]],0)</f>
        <v>1.3333333333333333</v>
      </c>
      <c r="T253">
        <f>IFERROR(365/Table1[[#This Row],[Inventory_Turnover]],0)</f>
        <v>273.75</v>
      </c>
      <c r="U253" t="str">
        <f>IF(Table1[[#This Row],[Consumption]]=0,"Non-Moving", IF(Table1[[#This Row],[Days_Since_Last_Movement]]&gt;90,"Slow-Moving","Active"))</f>
        <v>Active</v>
      </c>
      <c r="V253">
        <f>SUM($Q$2:Q253)</f>
        <v>68813880</v>
      </c>
      <c r="W253">
        <f>Table1[[#This Row],[Cumulative_Inventory_Value]]/$AP$3</f>
        <v>0.90908968408503721</v>
      </c>
      <c r="X253" t="str">
        <f>IF(Table1[[#This Row],[Cumulative_Value_%]]&lt;80%,"A", IF(Table1[[#This Row],[Cumulative_Value_%]]&lt;=95%,"B","C"))</f>
        <v>B</v>
      </c>
      <c r="Y253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253">
        <f>Table1[[#This Row],[Consumption]]/365</f>
        <v>6.575342465753424E-2</v>
      </c>
      <c r="AA253">
        <f>Table1[[#This Row],[Avg_Daily_Consumption]]*Table1[[#This Row],[Lead_Time_Days]]+Table1[[#This Row],[Safety_Stock]]</f>
        <v>5.8273972602739725</v>
      </c>
      <c r="AB253">
        <f>IFERROR(Table1[[#This Row],[Closing_Stock]]/Table1[[#This Row],[Avg_Daily_Consumption]],9999)</f>
        <v>273.75</v>
      </c>
      <c r="AC253">
        <f>MAX(1,ROUNDUP(Table1[[#This Row],[Avg_Daily_Consumption]]*Table1[[#This Row],[Lead_Time_Days]]*0.8,0))</f>
        <v>3</v>
      </c>
      <c r="AD253" t="str">
        <f>IF(Table1[[#This Row],[Closing_Stock]]&lt;Table1[[#This Row],[Reorder_Point]],"Stock-out Risk","Adequate")</f>
        <v>Adequate</v>
      </c>
      <c r="AE253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253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253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253" s="11">
        <f>MAX(0,Table1[[#This Row],[Closing_Stock]]-Table1[[#This Row],[Reorder_Point]])</f>
        <v>12.172602739726027</v>
      </c>
      <c r="AI253" s="11">
        <f>Table1[[#This Row],[Excess_Stock_Units]]*Table1[[#This Row],[Unit_Cost_INR]]</f>
        <v>43091.013698630137</v>
      </c>
      <c r="AJ253" s="11">
        <f>IF(Table1[[#This Row],[Criticality]]="Critical",0,Table1[[#This Row],[Excess_Inventory_Value_INR]])</f>
        <v>43091.013698630137</v>
      </c>
      <c r="AK253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254" spans="1:37" x14ac:dyDescent="0.25">
      <c r="A254" t="s">
        <v>542</v>
      </c>
      <c r="B254" t="s">
        <v>93</v>
      </c>
      <c r="C254" t="s">
        <v>26</v>
      </c>
      <c r="D254" t="s">
        <v>60</v>
      </c>
      <c r="E254" t="s">
        <v>22</v>
      </c>
      <c r="F254">
        <v>59</v>
      </c>
      <c r="G254">
        <v>78</v>
      </c>
      <c r="H254">
        <v>7</v>
      </c>
      <c r="I254">
        <v>81</v>
      </c>
      <c r="J254">
        <v>780</v>
      </c>
      <c r="K254">
        <v>39</v>
      </c>
      <c r="L254">
        <v>0</v>
      </c>
      <c r="M254">
        <v>274</v>
      </c>
      <c r="N254" t="s">
        <v>38</v>
      </c>
      <c r="O254">
        <v>0.29399999999999998</v>
      </c>
      <c r="P254">
        <v>18574.919999999998</v>
      </c>
      <c r="Q254">
        <f>(Table1[[#This Row],[Closing_Stock]]*Table1[[#This Row],[Unit_Cost_INR]])</f>
        <v>63180</v>
      </c>
      <c r="R254">
        <f>(Table1[[#This Row],[Unit_Cost_INR]]*Table1[[#This Row],[Consumption]])</f>
        <v>5460</v>
      </c>
      <c r="S254">
        <f>IFERROR(Table1[[#This Row],[Annual_Consumption_Value_INR]]/Table1[[#This Row],[Inventory_Value_INR]],0)</f>
        <v>8.6419753086419748E-2</v>
      </c>
      <c r="T254">
        <f>IFERROR(365/Table1[[#This Row],[Inventory_Turnover]],0)</f>
        <v>4223.5714285714284</v>
      </c>
      <c r="U254" t="str">
        <f>IF(Table1[[#This Row],[Consumption]]=0,"Non-Moving", IF(Table1[[#This Row],[Days_Since_Last_Movement]]&gt;90,"Slow-Moving","Active"))</f>
        <v>Slow-Moving</v>
      </c>
      <c r="V254">
        <f>SUM($Q$2:Q254)</f>
        <v>68877060</v>
      </c>
      <c r="W254">
        <f>Table1[[#This Row],[Cumulative_Inventory_Value]]/$AP$3</f>
        <v>0.90992434543882939</v>
      </c>
      <c r="X254" t="str">
        <f>IF(Table1[[#This Row],[Cumulative_Value_%]]&lt;80%,"A", IF(Table1[[#This Row],[Cumulative_Value_%]]&lt;=95%,"B","C"))</f>
        <v>B</v>
      </c>
      <c r="Y254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254">
        <f>Table1[[#This Row],[Consumption]]/365</f>
        <v>1.9178082191780823E-2</v>
      </c>
      <c r="AA254">
        <f>Table1[[#This Row],[Avg_Daily_Consumption]]*Table1[[#This Row],[Lead_Time_Days]]+Table1[[#This Row],[Safety_Stock]]</f>
        <v>1.7479452054794522</v>
      </c>
      <c r="AB254">
        <f>IFERROR(Table1[[#This Row],[Closing_Stock]]/Table1[[#This Row],[Avg_Daily_Consumption]],9999)</f>
        <v>4223.5714285714284</v>
      </c>
      <c r="AC254">
        <f>MAX(1,ROUNDUP(Table1[[#This Row],[Avg_Daily_Consumption]]*Table1[[#This Row],[Lead_Time_Days]]*0.8,0))</f>
        <v>1</v>
      </c>
      <c r="AD254" t="str">
        <f>IF(Table1[[#This Row],[Closing_Stock]]&lt;Table1[[#This Row],[Reorder_Point]],"Stock-out Risk","Adequate")</f>
        <v>Adequate</v>
      </c>
      <c r="AE254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254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254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254" s="11">
        <f>MAX(0,Table1[[#This Row],[Closing_Stock]]-Table1[[#This Row],[Reorder_Point]])</f>
        <v>79.252054794520546</v>
      </c>
      <c r="AI254" s="11">
        <f>Table1[[#This Row],[Excess_Stock_Units]]*Table1[[#This Row],[Unit_Cost_INR]]</f>
        <v>61816.602739726026</v>
      </c>
      <c r="AJ254" s="11">
        <f>IF(Table1[[#This Row],[Criticality]]="Critical",0,Table1[[#This Row],[Excess_Inventory_Value_INR]])</f>
        <v>61816.602739726026</v>
      </c>
      <c r="AK254" s="11">
        <f>IF(AND(Table1[[#This Row],[Criticality]]&lt;&gt;"Critical",OR(Table1[[#This Row],[Movement_Class]]="Slow-Moving",Table1[[#This Row],[Movement_Class]]="Non-Moving")),Table1[[#This Row],[Excess_Inventory_Value_INR]],0)</f>
        <v>61816.602739726026</v>
      </c>
    </row>
    <row r="255" spans="1:37" x14ac:dyDescent="0.25">
      <c r="A255" t="s">
        <v>301</v>
      </c>
      <c r="B255" t="s">
        <v>184</v>
      </c>
      <c r="C255" t="s">
        <v>26</v>
      </c>
      <c r="D255" t="s">
        <v>60</v>
      </c>
      <c r="E255" t="s">
        <v>37</v>
      </c>
      <c r="F255">
        <v>56</v>
      </c>
      <c r="G255">
        <v>61</v>
      </c>
      <c r="H255">
        <v>67</v>
      </c>
      <c r="I255">
        <v>50</v>
      </c>
      <c r="J255">
        <v>1250</v>
      </c>
      <c r="K255">
        <v>3</v>
      </c>
      <c r="L255">
        <v>0</v>
      </c>
      <c r="M255">
        <v>24</v>
      </c>
      <c r="N255" t="s">
        <v>38</v>
      </c>
      <c r="O255">
        <v>0.28699999999999998</v>
      </c>
      <c r="P255">
        <v>17937.5</v>
      </c>
      <c r="Q255">
        <f>(Table1[[#This Row],[Closing_Stock]]*Table1[[#This Row],[Unit_Cost_INR]])</f>
        <v>62500</v>
      </c>
      <c r="R255">
        <f>(Table1[[#This Row],[Unit_Cost_INR]]*Table1[[#This Row],[Consumption]])</f>
        <v>83750</v>
      </c>
      <c r="S255">
        <f>IFERROR(Table1[[#This Row],[Annual_Consumption_Value_INR]]/Table1[[#This Row],[Inventory_Value_INR]],0)</f>
        <v>1.34</v>
      </c>
      <c r="T255">
        <f>IFERROR(365/Table1[[#This Row],[Inventory_Turnover]],0)</f>
        <v>272.38805970149252</v>
      </c>
      <c r="U255" t="str">
        <f>IF(Table1[[#This Row],[Consumption]]=0,"Non-Moving", IF(Table1[[#This Row],[Days_Since_Last_Movement]]&gt;90,"Slow-Moving","Active"))</f>
        <v>Active</v>
      </c>
      <c r="V255">
        <f>SUM($Q$2:Q255)</f>
        <v>68939560</v>
      </c>
      <c r="W255">
        <f>Table1[[#This Row],[Cumulative_Inventory_Value]]/$AP$3</f>
        <v>0.91075002341622746</v>
      </c>
      <c r="X255" t="str">
        <f>IF(Table1[[#This Row],[Cumulative_Value_%]]&lt;80%,"A", IF(Table1[[#This Row],[Cumulative_Value_%]]&lt;=95%,"B","C"))</f>
        <v>B</v>
      </c>
      <c r="Y255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255">
        <f>Table1[[#This Row],[Consumption]]/365</f>
        <v>0.18356164383561643</v>
      </c>
      <c r="AA255">
        <f>Table1[[#This Row],[Avg_Daily_Consumption]]*Table1[[#This Row],[Lead_Time_Days]]+Table1[[#This Row],[Safety_Stock]]</f>
        <v>1.5506849315068494</v>
      </c>
      <c r="AB255">
        <f>IFERROR(Table1[[#This Row],[Closing_Stock]]/Table1[[#This Row],[Avg_Daily_Consumption]],9999)</f>
        <v>272.38805970149252</v>
      </c>
      <c r="AC255">
        <f>MAX(1,ROUNDUP(Table1[[#This Row],[Avg_Daily_Consumption]]*Table1[[#This Row],[Lead_Time_Days]]*0.8,0))</f>
        <v>1</v>
      </c>
      <c r="AD255" t="str">
        <f>IF(Table1[[#This Row],[Closing_Stock]]&lt;Table1[[#This Row],[Reorder_Point]],"Stock-out Risk","Adequate")</f>
        <v>Adequate</v>
      </c>
      <c r="AE255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255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255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255" s="11">
        <f>MAX(0,Table1[[#This Row],[Closing_Stock]]-Table1[[#This Row],[Reorder_Point]])</f>
        <v>48.449315068493149</v>
      </c>
      <c r="AI255" s="11">
        <f>Table1[[#This Row],[Excess_Stock_Units]]*Table1[[#This Row],[Unit_Cost_INR]]</f>
        <v>60561.643835616436</v>
      </c>
      <c r="AJ255" s="11">
        <f>IF(Table1[[#This Row],[Criticality]]="Critical",0,Table1[[#This Row],[Excess_Inventory_Value_INR]])</f>
        <v>0</v>
      </c>
      <c r="AK255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256" spans="1:37" x14ac:dyDescent="0.25">
      <c r="A256" t="s">
        <v>157</v>
      </c>
      <c r="B256" t="s">
        <v>54</v>
      </c>
      <c r="C256" t="s">
        <v>36</v>
      </c>
      <c r="D256" t="s">
        <v>21</v>
      </c>
      <c r="E256" t="s">
        <v>46</v>
      </c>
      <c r="F256">
        <v>29</v>
      </c>
      <c r="G256">
        <v>20</v>
      </c>
      <c r="H256">
        <v>4</v>
      </c>
      <c r="I256">
        <v>63</v>
      </c>
      <c r="J256">
        <v>990</v>
      </c>
      <c r="K256">
        <v>18</v>
      </c>
      <c r="L256">
        <v>0</v>
      </c>
      <c r="M256">
        <v>247</v>
      </c>
      <c r="N256" t="s">
        <v>33</v>
      </c>
      <c r="O256">
        <v>0.192</v>
      </c>
      <c r="P256">
        <v>11975.04</v>
      </c>
      <c r="Q256">
        <f>(Table1[[#This Row],[Closing_Stock]]*Table1[[#This Row],[Unit_Cost_INR]])</f>
        <v>62370</v>
      </c>
      <c r="R256">
        <f>(Table1[[#This Row],[Unit_Cost_INR]]*Table1[[#This Row],[Consumption]])</f>
        <v>3960</v>
      </c>
      <c r="S256">
        <f>IFERROR(Table1[[#This Row],[Annual_Consumption_Value_INR]]/Table1[[#This Row],[Inventory_Value_INR]],0)</f>
        <v>6.3492063492063489E-2</v>
      </c>
      <c r="T256">
        <f>IFERROR(365/Table1[[#This Row],[Inventory_Turnover]],0)</f>
        <v>5748.75</v>
      </c>
      <c r="U256" t="str">
        <f>IF(Table1[[#This Row],[Consumption]]=0,"Non-Moving", IF(Table1[[#This Row],[Days_Since_Last_Movement]]&gt;90,"Slow-Moving","Active"))</f>
        <v>Slow-Moving</v>
      </c>
      <c r="V256">
        <f>SUM($Q$2:Q256)</f>
        <v>69001930</v>
      </c>
      <c r="W256">
        <f>Table1[[#This Row],[Cumulative_Inventory_Value]]/$AP$3</f>
        <v>0.91157398398343259</v>
      </c>
      <c r="X256" t="str">
        <f>IF(Table1[[#This Row],[Cumulative_Value_%]]&lt;80%,"A", IF(Table1[[#This Row],[Cumulative_Value_%]]&lt;=95%,"B","C"))</f>
        <v>B</v>
      </c>
      <c r="Y256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256">
        <f>Table1[[#This Row],[Consumption]]/365</f>
        <v>1.0958904109589041E-2</v>
      </c>
      <c r="AA256">
        <f>Table1[[#This Row],[Avg_Daily_Consumption]]*Table1[[#This Row],[Lead_Time_Days]]+Table1[[#This Row],[Safety_Stock]]</f>
        <v>1.1972602739726028</v>
      </c>
      <c r="AB256">
        <f>IFERROR(Table1[[#This Row],[Closing_Stock]]/Table1[[#This Row],[Avg_Daily_Consumption]],9999)</f>
        <v>5748.75</v>
      </c>
      <c r="AC256">
        <f>MAX(1,ROUNDUP(Table1[[#This Row],[Avg_Daily_Consumption]]*Table1[[#This Row],[Lead_Time_Days]]*0.8,0))</f>
        <v>1</v>
      </c>
      <c r="AD256" t="str">
        <f>IF(Table1[[#This Row],[Closing_Stock]]&lt;Table1[[#This Row],[Reorder_Point]],"Stock-out Risk","Adequate")</f>
        <v>Adequate</v>
      </c>
      <c r="AE256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256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256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256" s="11">
        <f>MAX(0,Table1[[#This Row],[Closing_Stock]]-Table1[[#This Row],[Reorder_Point]])</f>
        <v>61.802739726027397</v>
      </c>
      <c r="AI256" s="11">
        <f>Table1[[#This Row],[Excess_Stock_Units]]*Table1[[#This Row],[Unit_Cost_INR]]</f>
        <v>61184.71232876712</v>
      </c>
      <c r="AJ256" s="11">
        <f>IF(Table1[[#This Row],[Criticality]]="Critical",0,Table1[[#This Row],[Excess_Inventory_Value_INR]])</f>
        <v>61184.71232876712</v>
      </c>
      <c r="AK256" s="11">
        <f>IF(AND(Table1[[#This Row],[Criticality]]&lt;&gt;"Critical",OR(Table1[[#This Row],[Movement_Class]]="Slow-Moving",Table1[[#This Row],[Movement_Class]]="Non-Moving")),Table1[[#This Row],[Excess_Inventory_Value_INR]],0)</f>
        <v>61184.71232876712</v>
      </c>
    </row>
    <row r="257" spans="1:37" x14ac:dyDescent="0.25">
      <c r="A257" t="s">
        <v>408</v>
      </c>
      <c r="B257" t="s">
        <v>44</v>
      </c>
      <c r="C257" t="s">
        <v>41</v>
      </c>
      <c r="D257" t="s">
        <v>66</v>
      </c>
      <c r="E257" t="s">
        <v>46</v>
      </c>
      <c r="F257">
        <v>13</v>
      </c>
      <c r="G257">
        <v>30</v>
      </c>
      <c r="H257">
        <v>3</v>
      </c>
      <c r="I257">
        <v>79</v>
      </c>
      <c r="J257">
        <v>780</v>
      </c>
      <c r="K257">
        <v>25</v>
      </c>
      <c r="L257">
        <v>0</v>
      </c>
      <c r="M257">
        <v>259</v>
      </c>
      <c r="N257" t="s">
        <v>29</v>
      </c>
      <c r="O257">
        <v>0.219</v>
      </c>
      <c r="P257">
        <v>13494.78</v>
      </c>
      <c r="Q257">
        <f>(Table1[[#This Row],[Closing_Stock]]*Table1[[#This Row],[Unit_Cost_INR]])</f>
        <v>61620</v>
      </c>
      <c r="R257">
        <f>(Table1[[#This Row],[Unit_Cost_INR]]*Table1[[#This Row],[Consumption]])</f>
        <v>2340</v>
      </c>
      <c r="S257">
        <f>IFERROR(Table1[[#This Row],[Annual_Consumption_Value_INR]]/Table1[[#This Row],[Inventory_Value_INR]],0)</f>
        <v>3.7974683544303799E-2</v>
      </c>
      <c r="T257">
        <f>IFERROR(365/Table1[[#This Row],[Inventory_Turnover]],0)</f>
        <v>9611.6666666666661</v>
      </c>
      <c r="U257" t="str">
        <f>IF(Table1[[#This Row],[Consumption]]=0,"Non-Moving", IF(Table1[[#This Row],[Days_Since_Last_Movement]]&gt;90,"Slow-Moving","Active"))</f>
        <v>Slow-Moving</v>
      </c>
      <c r="V257">
        <f>SUM($Q$2:Q257)</f>
        <v>69063550</v>
      </c>
      <c r="W257">
        <f>Table1[[#This Row],[Cumulative_Inventory_Value]]/$AP$3</f>
        <v>0.91238803641490884</v>
      </c>
      <c r="X257" t="str">
        <f>IF(Table1[[#This Row],[Cumulative_Value_%]]&lt;80%,"A", IF(Table1[[#This Row],[Cumulative_Value_%]]&lt;=95%,"B","C"))</f>
        <v>B</v>
      </c>
      <c r="Y257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257">
        <f>Table1[[#This Row],[Consumption]]/365</f>
        <v>8.21917808219178E-3</v>
      </c>
      <c r="AA257">
        <f>Table1[[#This Row],[Avg_Daily_Consumption]]*Table1[[#This Row],[Lead_Time_Days]]+Table1[[#This Row],[Safety_Stock]]</f>
        <v>1.2054794520547945</v>
      </c>
      <c r="AB257">
        <f>IFERROR(Table1[[#This Row],[Closing_Stock]]/Table1[[#This Row],[Avg_Daily_Consumption]],9999)</f>
        <v>9611.6666666666679</v>
      </c>
      <c r="AC257">
        <f>MAX(1,ROUNDUP(Table1[[#This Row],[Avg_Daily_Consumption]]*Table1[[#This Row],[Lead_Time_Days]]*0.8,0))</f>
        <v>1</v>
      </c>
      <c r="AD257" t="str">
        <f>IF(Table1[[#This Row],[Closing_Stock]]&lt;Table1[[#This Row],[Reorder_Point]],"Stock-out Risk","Adequate")</f>
        <v>Adequate</v>
      </c>
      <c r="AE257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257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257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257" s="11">
        <f>MAX(0,Table1[[#This Row],[Closing_Stock]]-Table1[[#This Row],[Reorder_Point]])</f>
        <v>77.794520547945211</v>
      </c>
      <c r="AI257" s="11">
        <f>Table1[[#This Row],[Excess_Stock_Units]]*Table1[[#This Row],[Unit_Cost_INR]]</f>
        <v>60679.726027397264</v>
      </c>
      <c r="AJ257" s="11">
        <f>IF(Table1[[#This Row],[Criticality]]="Critical",0,Table1[[#This Row],[Excess_Inventory_Value_INR]])</f>
        <v>60679.726027397264</v>
      </c>
      <c r="AK257" s="11">
        <f>IF(AND(Table1[[#This Row],[Criticality]]&lt;&gt;"Critical",OR(Table1[[#This Row],[Movement_Class]]="Slow-Moving",Table1[[#This Row],[Movement_Class]]="Non-Moving")),Table1[[#This Row],[Excess_Inventory_Value_INR]],0)</f>
        <v>60679.726027397264</v>
      </c>
    </row>
    <row r="258" spans="1:37" x14ac:dyDescent="0.25">
      <c r="A258" t="s">
        <v>128</v>
      </c>
      <c r="B258" t="s">
        <v>129</v>
      </c>
      <c r="C258" t="s">
        <v>52</v>
      </c>
      <c r="D258" t="s">
        <v>27</v>
      </c>
      <c r="E258" t="s">
        <v>28</v>
      </c>
      <c r="F258">
        <v>8</v>
      </c>
      <c r="G258">
        <v>3</v>
      </c>
      <c r="H258">
        <v>0</v>
      </c>
      <c r="I258">
        <v>147</v>
      </c>
      <c r="J258">
        <v>410</v>
      </c>
      <c r="K258">
        <v>28</v>
      </c>
      <c r="L258">
        <v>0</v>
      </c>
      <c r="M258">
        <v>553</v>
      </c>
      <c r="N258" t="s">
        <v>23</v>
      </c>
      <c r="O258">
        <v>0.155</v>
      </c>
      <c r="P258">
        <v>9341.85</v>
      </c>
      <c r="Q258">
        <f>(Table1[[#This Row],[Closing_Stock]]*Table1[[#This Row],[Unit_Cost_INR]])</f>
        <v>60270</v>
      </c>
      <c r="R258">
        <f>(Table1[[#This Row],[Unit_Cost_INR]]*Table1[[#This Row],[Consumption]])</f>
        <v>0</v>
      </c>
      <c r="S258">
        <f>IFERROR(Table1[[#This Row],[Annual_Consumption_Value_INR]]/Table1[[#This Row],[Inventory_Value_INR]],0)</f>
        <v>0</v>
      </c>
      <c r="T258">
        <f>IFERROR(365/Table1[[#This Row],[Inventory_Turnover]],0)</f>
        <v>0</v>
      </c>
      <c r="U258" t="str">
        <f>IF(Table1[[#This Row],[Consumption]]=0,"Non-Moving", IF(Table1[[#This Row],[Days_Since_Last_Movement]]&gt;90,"Slow-Moving","Active"))</f>
        <v>Non-Moving</v>
      </c>
      <c r="V258">
        <f>SUM($Q$2:Q258)</f>
        <v>69123820</v>
      </c>
      <c r="W258">
        <f>Table1[[#This Row],[Cumulative_Inventory_Value]]/$AP$3</f>
        <v>0.91318425420207339</v>
      </c>
      <c r="X258" t="str">
        <f>IF(Table1[[#This Row],[Cumulative_Value_%]]&lt;80%,"A", IF(Table1[[#This Row],[Cumulative_Value_%]]&lt;=95%,"B","C"))</f>
        <v>B</v>
      </c>
      <c r="Y258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Review</v>
      </c>
      <c r="Z258">
        <f>Table1[[#This Row],[Consumption]]/365</f>
        <v>0</v>
      </c>
      <c r="AA258">
        <f>Table1[[#This Row],[Avg_Daily_Consumption]]*Table1[[#This Row],[Lead_Time_Days]]+Table1[[#This Row],[Safety_Stock]]</f>
        <v>1</v>
      </c>
      <c r="AB258">
        <f>IFERROR(Table1[[#This Row],[Closing_Stock]]/Table1[[#This Row],[Avg_Daily_Consumption]],9999)</f>
        <v>9999</v>
      </c>
      <c r="AC258">
        <f>MAX(1,ROUNDUP(Table1[[#This Row],[Avg_Daily_Consumption]]*Table1[[#This Row],[Lead_Time_Days]]*0.8,0))</f>
        <v>1</v>
      </c>
      <c r="AD258" t="str">
        <f>IF(Table1[[#This Row],[Closing_Stock]]&lt;Table1[[#This Row],[Reorder_Point]],"Stock-out Risk","Adequate")</f>
        <v>Adequate</v>
      </c>
      <c r="AE258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258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 for Disposal/De-procurement</v>
      </c>
      <c r="AG258">
        <f>IF(Table1[[#This Row],[Action_Recommendation]]="Review for Disposal/De-procurement",Table1[[#This Row],[Inventory_Value_INR]]*70%,IF(Table1[[#This Row],[Action_Recommendation]]="Review Safety Stock",Table1[[#This Row],[Inventory_Value_INR]]*20%,0))</f>
        <v>42189</v>
      </c>
      <c r="AH258" s="11">
        <f>MAX(0,Table1[[#This Row],[Closing_Stock]]-Table1[[#This Row],[Reorder_Point]])</f>
        <v>146</v>
      </c>
      <c r="AI258" s="11">
        <f>Table1[[#This Row],[Excess_Stock_Units]]*Table1[[#This Row],[Unit_Cost_INR]]</f>
        <v>59860</v>
      </c>
      <c r="AJ258" s="11">
        <f>IF(Table1[[#This Row],[Criticality]]="Critical",0,Table1[[#This Row],[Excess_Inventory_Value_INR]])</f>
        <v>59860</v>
      </c>
      <c r="AK258" s="11">
        <f>IF(AND(Table1[[#This Row],[Criticality]]&lt;&gt;"Critical",OR(Table1[[#This Row],[Movement_Class]]="Slow-Moving",Table1[[#This Row],[Movement_Class]]="Non-Moving")),Table1[[#This Row],[Excess_Inventory_Value_INR]],0)</f>
        <v>59860</v>
      </c>
    </row>
    <row r="259" spans="1:37" x14ac:dyDescent="0.25">
      <c r="A259" t="s">
        <v>195</v>
      </c>
      <c r="B259" t="s">
        <v>40</v>
      </c>
      <c r="C259" t="s">
        <v>41</v>
      </c>
      <c r="D259" t="s">
        <v>66</v>
      </c>
      <c r="E259" t="s">
        <v>22</v>
      </c>
      <c r="F259">
        <v>18</v>
      </c>
      <c r="G259">
        <v>5</v>
      </c>
      <c r="H259">
        <v>3</v>
      </c>
      <c r="I259">
        <v>20</v>
      </c>
      <c r="J259">
        <v>3000</v>
      </c>
      <c r="K259">
        <v>19</v>
      </c>
      <c r="L259">
        <v>0</v>
      </c>
      <c r="M259">
        <v>89</v>
      </c>
      <c r="N259" t="s">
        <v>38</v>
      </c>
      <c r="O259">
        <v>0.192</v>
      </c>
      <c r="P259">
        <v>11520</v>
      </c>
      <c r="Q259">
        <f>(Table1[[#This Row],[Closing_Stock]]*Table1[[#This Row],[Unit_Cost_INR]])</f>
        <v>60000</v>
      </c>
      <c r="R259">
        <f>(Table1[[#This Row],[Unit_Cost_INR]]*Table1[[#This Row],[Consumption]])</f>
        <v>9000</v>
      </c>
      <c r="S259">
        <f>IFERROR(Table1[[#This Row],[Annual_Consumption_Value_INR]]/Table1[[#This Row],[Inventory_Value_INR]],0)</f>
        <v>0.15</v>
      </c>
      <c r="T259">
        <f>IFERROR(365/Table1[[#This Row],[Inventory_Turnover]],0)</f>
        <v>2433.3333333333335</v>
      </c>
      <c r="U259" t="str">
        <f>IF(Table1[[#This Row],[Consumption]]=0,"Non-Moving", IF(Table1[[#This Row],[Days_Since_Last_Movement]]&gt;90,"Slow-Moving","Active"))</f>
        <v>Active</v>
      </c>
      <c r="V259">
        <f>SUM($Q$2:Q259)</f>
        <v>69183820</v>
      </c>
      <c r="W259">
        <f>Table1[[#This Row],[Cumulative_Inventory_Value]]/$AP$3</f>
        <v>0.91397690506037554</v>
      </c>
      <c r="X259" t="str">
        <f>IF(Table1[[#This Row],[Cumulative_Value_%]]&lt;80%,"A", IF(Table1[[#This Row],[Cumulative_Value_%]]&lt;=95%,"B","C"))</f>
        <v>B</v>
      </c>
      <c r="Y259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259">
        <f>Table1[[#This Row],[Consumption]]/365</f>
        <v>8.21917808219178E-3</v>
      </c>
      <c r="AA259">
        <f>Table1[[#This Row],[Avg_Daily_Consumption]]*Table1[[#This Row],[Lead_Time_Days]]+Table1[[#This Row],[Safety_Stock]]</f>
        <v>1.1561643835616437</v>
      </c>
      <c r="AB259">
        <f>IFERROR(Table1[[#This Row],[Closing_Stock]]/Table1[[#This Row],[Avg_Daily_Consumption]],9999)</f>
        <v>2433.3333333333335</v>
      </c>
      <c r="AC259">
        <f>MAX(1,ROUNDUP(Table1[[#This Row],[Avg_Daily_Consumption]]*Table1[[#This Row],[Lead_Time_Days]]*0.8,0))</f>
        <v>1</v>
      </c>
      <c r="AD259" t="str">
        <f>IF(Table1[[#This Row],[Closing_Stock]]&lt;Table1[[#This Row],[Reorder_Point]],"Stock-out Risk","Adequate")</f>
        <v>Adequate</v>
      </c>
      <c r="AE259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259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259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259" s="11">
        <f>MAX(0,Table1[[#This Row],[Closing_Stock]]-Table1[[#This Row],[Reorder_Point]])</f>
        <v>18.843835616438355</v>
      </c>
      <c r="AI259" s="11">
        <f>Table1[[#This Row],[Excess_Stock_Units]]*Table1[[#This Row],[Unit_Cost_INR]]</f>
        <v>56531.506849315061</v>
      </c>
      <c r="AJ259" s="11">
        <f>IF(Table1[[#This Row],[Criticality]]="Critical",0,Table1[[#This Row],[Excess_Inventory_Value_INR]])</f>
        <v>56531.506849315061</v>
      </c>
      <c r="AK259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260" spans="1:37" x14ac:dyDescent="0.25">
      <c r="A260" t="s">
        <v>134</v>
      </c>
      <c r="B260" t="s">
        <v>97</v>
      </c>
      <c r="C260" t="s">
        <v>52</v>
      </c>
      <c r="D260" t="s">
        <v>42</v>
      </c>
      <c r="E260" t="s">
        <v>37</v>
      </c>
      <c r="F260">
        <v>17</v>
      </c>
      <c r="G260">
        <v>106</v>
      </c>
      <c r="H260">
        <v>0</v>
      </c>
      <c r="I260">
        <v>88</v>
      </c>
      <c r="J260">
        <v>680</v>
      </c>
      <c r="K260">
        <v>4</v>
      </c>
      <c r="L260">
        <v>1</v>
      </c>
      <c r="M260">
        <v>583</v>
      </c>
      <c r="N260" t="s">
        <v>58</v>
      </c>
      <c r="O260">
        <v>0.255</v>
      </c>
      <c r="P260">
        <v>15259.2</v>
      </c>
      <c r="Q260">
        <f>(Table1[[#This Row],[Closing_Stock]]*Table1[[#This Row],[Unit_Cost_INR]])</f>
        <v>59840</v>
      </c>
      <c r="R260">
        <f>(Table1[[#This Row],[Unit_Cost_INR]]*Table1[[#This Row],[Consumption]])</f>
        <v>0</v>
      </c>
      <c r="S260">
        <f>IFERROR(Table1[[#This Row],[Annual_Consumption_Value_INR]]/Table1[[#This Row],[Inventory_Value_INR]],0)</f>
        <v>0</v>
      </c>
      <c r="T260">
        <f>IFERROR(365/Table1[[#This Row],[Inventory_Turnover]],0)</f>
        <v>0</v>
      </c>
      <c r="U260" t="str">
        <f>IF(Table1[[#This Row],[Consumption]]=0,"Non-Moving", IF(Table1[[#This Row],[Days_Since_Last_Movement]]&gt;90,"Slow-Moving","Active"))</f>
        <v>Non-Moving</v>
      </c>
      <c r="V260">
        <f>SUM($Q$2:Q260)</f>
        <v>69243660</v>
      </c>
      <c r="W260">
        <f>Table1[[#This Row],[Cumulative_Inventory_Value]]/$AP$3</f>
        <v>0.91476744218305561</v>
      </c>
      <c r="X260" t="str">
        <f>IF(Table1[[#This Row],[Cumulative_Value_%]]&lt;80%,"A", IF(Table1[[#This Row],[Cumulative_Value_%]]&lt;=95%,"B","C"))</f>
        <v>B</v>
      </c>
      <c r="Y260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Review</v>
      </c>
      <c r="Z260">
        <f>Table1[[#This Row],[Consumption]]/365</f>
        <v>0</v>
      </c>
      <c r="AA260">
        <f>Table1[[#This Row],[Avg_Daily_Consumption]]*Table1[[#This Row],[Lead_Time_Days]]+Table1[[#This Row],[Safety_Stock]]</f>
        <v>1</v>
      </c>
      <c r="AB260">
        <f>IFERROR(Table1[[#This Row],[Closing_Stock]]/Table1[[#This Row],[Avg_Daily_Consumption]],9999)</f>
        <v>9999</v>
      </c>
      <c r="AC260">
        <f>MAX(1,ROUNDUP(Table1[[#This Row],[Avg_Daily_Consumption]]*Table1[[#This Row],[Lead_Time_Days]]*0.8,0))</f>
        <v>1</v>
      </c>
      <c r="AD260" t="str">
        <f>IF(Table1[[#This Row],[Closing_Stock]]&lt;Table1[[#This Row],[Reorder_Point]],"Stock-out Risk","Adequate")</f>
        <v>Adequate</v>
      </c>
      <c r="AE260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260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260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260" s="11">
        <f>MAX(0,Table1[[#This Row],[Closing_Stock]]-Table1[[#This Row],[Reorder_Point]])</f>
        <v>87</v>
      </c>
      <c r="AI260" s="11">
        <f>Table1[[#This Row],[Excess_Stock_Units]]*Table1[[#This Row],[Unit_Cost_INR]]</f>
        <v>59160</v>
      </c>
      <c r="AJ260" s="11">
        <f>IF(Table1[[#This Row],[Criticality]]="Critical",0,Table1[[#This Row],[Excess_Inventory_Value_INR]])</f>
        <v>0</v>
      </c>
      <c r="AK260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261" spans="1:37" x14ac:dyDescent="0.25">
      <c r="A261" t="s">
        <v>565</v>
      </c>
      <c r="B261" t="s">
        <v>104</v>
      </c>
      <c r="C261" t="s">
        <v>41</v>
      </c>
      <c r="D261" t="s">
        <v>60</v>
      </c>
      <c r="E261" t="s">
        <v>22</v>
      </c>
      <c r="F261">
        <v>25</v>
      </c>
      <c r="G261">
        <v>10</v>
      </c>
      <c r="H261">
        <v>6</v>
      </c>
      <c r="I261">
        <v>24</v>
      </c>
      <c r="J261">
        <v>2490</v>
      </c>
      <c r="K261">
        <v>18</v>
      </c>
      <c r="L261">
        <v>0</v>
      </c>
      <c r="M261">
        <v>281</v>
      </c>
      <c r="N261" t="s">
        <v>29</v>
      </c>
      <c r="O261">
        <v>0.22600000000000001</v>
      </c>
      <c r="P261">
        <v>13505.76</v>
      </c>
      <c r="Q261">
        <f>(Table1[[#This Row],[Closing_Stock]]*Table1[[#This Row],[Unit_Cost_INR]])</f>
        <v>59760</v>
      </c>
      <c r="R261">
        <f>(Table1[[#This Row],[Unit_Cost_INR]]*Table1[[#This Row],[Consumption]])</f>
        <v>14940</v>
      </c>
      <c r="S261">
        <f>IFERROR(Table1[[#This Row],[Annual_Consumption_Value_INR]]/Table1[[#This Row],[Inventory_Value_INR]],0)</f>
        <v>0.25</v>
      </c>
      <c r="T261">
        <f>IFERROR(365/Table1[[#This Row],[Inventory_Turnover]],0)</f>
        <v>1460</v>
      </c>
      <c r="U261" t="str">
        <f>IF(Table1[[#This Row],[Consumption]]=0,"Non-Moving", IF(Table1[[#This Row],[Days_Since_Last_Movement]]&gt;90,"Slow-Moving","Active"))</f>
        <v>Slow-Moving</v>
      </c>
      <c r="V261">
        <f>SUM($Q$2:Q261)</f>
        <v>69303420</v>
      </c>
      <c r="W261">
        <f>Table1[[#This Row],[Cumulative_Inventory_Value]]/$AP$3</f>
        <v>0.91555692243792453</v>
      </c>
      <c r="X261" t="str">
        <f>IF(Table1[[#This Row],[Cumulative_Value_%]]&lt;80%,"A", IF(Table1[[#This Row],[Cumulative_Value_%]]&lt;=95%,"B","C"))</f>
        <v>B</v>
      </c>
      <c r="Y261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261">
        <f>Table1[[#This Row],[Consumption]]/365</f>
        <v>1.643835616438356E-2</v>
      </c>
      <c r="AA261">
        <f>Table1[[#This Row],[Avg_Daily_Consumption]]*Table1[[#This Row],[Lead_Time_Days]]+Table1[[#This Row],[Safety_Stock]]</f>
        <v>1.295890410958904</v>
      </c>
      <c r="AB261">
        <f>IFERROR(Table1[[#This Row],[Closing_Stock]]/Table1[[#This Row],[Avg_Daily_Consumption]],9999)</f>
        <v>1460.0000000000002</v>
      </c>
      <c r="AC261">
        <f>MAX(1,ROUNDUP(Table1[[#This Row],[Avg_Daily_Consumption]]*Table1[[#This Row],[Lead_Time_Days]]*0.8,0))</f>
        <v>1</v>
      </c>
      <c r="AD261" t="str">
        <f>IF(Table1[[#This Row],[Closing_Stock]]&lt;Table1[[#This Row],[Reorder_Point]],"Stock-out Risk","Adequate")</f>
        <v>Adequate</v>
      </c>
      <c r="AE261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261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261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261" s="11">
        <f>MAX(0,Table1[[#This Row],[Closing_Stock]]-Table1[[#This Row],[Reorder_Point]])</f>
        <v>22.704109589041096</v>
      </c>
      <c r="AI261" s="11">
        <f>Table1[[#This Row],[Excess_Stock_Units]]*Table1[[#This Row],[Unit_Cost_INR]]</f>
        <v>56533.232876712325</v>
      </c>
      <c r="AJ261" s="11">
        <f>IF(Table1[[#This Row],[Criticality]]="Critical",0,Table1[[#This Row],[Excess_Inventory_Value_INR]])</f>
        <v>56533.232876712325</v>
      </c>
      <c r="AK261" s="11">
        <f>IF(AND(Table1[[#This Row],[Criticality]]&lt;&gt;"Critical",OR(Table1[[#This Row],[Movement_Class]]="Slow-Moving",Table1[[#This Row],[Movement_Class]]="Non-Moving")),Table1[[#This Row],[Excess_Inventory_Value_INR]],0)</f>
        <v>56533.232876712325</v>
      </c>
    </row>
    <row r="262" spans="1:37" x14ac:dyDescent="0.25">
      <c r="A262" t="s">
        <v>541</v>
      </c>
      <c r="B262" t="s">
        <v>104</v>
      </c>
      <c r="C262" t="s">
        <v>41</v>
      </c>
      <c r="D262" t="s">
        <v>21</v>
      </c>
      <c r="E262" t="s">
        <v>37</v>
      </c>
      <c r="F262">
        <v>26</v>
      </c>
      <c r="G262">
        <v>38</v>
      </c>
      <c r="H262">
        <v>22</v>
      </c>
      <c r="I262">
        <v>42</v>
      </c>
      <c r="J262">
        <v>1410</v>
      </c>
      <c r="K262">
        <v>33</v>
      </c>
      <c r="L262">
        <v>0</v>
      </c>
      <c r="M262">
        <v>24</v>
      </c>
      <c r="N262" t="s">
        <v>58</v>
      </c>
      <c r="O262">
        <v>0.28199999999999997</v>
      </c>
      <c r="P262">
        <v>16700.04</v>
      </c>
      <c r="Q262">
        <f>(Table1[[#This Row],[Closing_Stock]]*Table1[[#This Row],[Unit_Cost_INR]])</f>
        <v>59220</v>
      </c>
      <c r="R262">
        <f>(Table1[[#This Row],[Unit_Cost_INR]]*Table1[[#This Row],[Consumption]])</f>
        <v>31020</v>
      </c>
      <c r="S262">
        <f>IFERROR(Table1[[#This Row],[Annual_Consumption_Value_INR]]/Table1[[#This Row],[Inventory_Value_INR]],0)</f>
        <v>0.52380952380952384</v>
      </c>
      <c r="T262">
        <f>IFERROR(365/Table1[[#This Row],[Inventory_Turnover]],0)</f>
        <v>696.81818181818176</v>
      </c>
      <c r="U262" t="str">
        <f>IF(Table1[[#This Row],[Consumption]]=0,"Non-Moving", IF(Table1[[#This Row],[Days_Since_Last_Movement]]&gt;90,"Slow-Moving","Active"))</f>
        <v>Active</v>
      </c>
      <c r="V262">
        <f>SUM($Q$2:Q262)</f>
        <v>69362640</v>
      </c>
      <c r="W262">
        <f>Table1[[#This Row],[Cumulative_Inventory_Value]]/$AP$3</f>
        <v>0.91633926883506878</v>
      </c>
      <c r="X262" t="str">
        <f>IF(Table1[[#This Row],[Cumulative_Value_%]]&lt;80%,"A", IF(Table1[[#This Row],[Cumulative_Value_%]]&lt;=95%,"B","C"))</f>
        <v>B</v>
      </c>
      <c r="Y262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262">
        <f>Table1[[#This Row],[Consumption]]/365</f>
        <v>6.0273972602739728E-2</v>
      </c>
      <c r="AA262">
        <f>Table1[[#This Row],[Avg_Daily_Consumption]]*Table1[[#This Row],[Lead_Time_Days]]+Table1[[#This Row],[Safety_Stock]]</f>
        <v>3.989041095890411</v>
      </c>
      <c r="AB262">
        <f>IFERROR(Table1[[#This Row],[Closing_Stock]]/Table1[[#This Row],[Avg_Daily_Consumption]],9999)</f>
        <v>696.81818181818176</v>
      </c>
      <c r="AC262">
        <f>MAX(1,ROUNDUP(Table1[[#This Row],[Avg_Daily_Consumption]]*Table1[[#This Row],[Lead_Time_Days]]*0.8,0))</f>
        <v>2</v>
      </c>
      <c r="AD262" t="str">
        <f>IF(Table1[[#This Row],[Closing_Stock]]&lt;Table1[[#This Row],[Reorder_Point]],"Stock-out Risk","Adequate")</f>
        <v>Adequate</v>
      </c>
      <c r="AE262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262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262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262" s="11">
        <f>MAX(0,Table1[[#This Row],[Closing_Stock]]-Table1[[#This Row],[Reorder_Point]])</f>
        <v>38.010958904109586</v>
      </c>
      <c r="AI262" s="11">
        <f>Table1[[#This Row],[Excess_Stock_Units]]*Table1[[#This Row],[Unit_Cost_INR]]</f>
        <v>53595.452054794514</v>
      </c>
      <c r="AJ262" s="11">
        <f>IF(Table1[[#This Row],[Criticality]]="Critical",0,Table1[[#This Row],[Excess_Inventory_Value_INR]])</f>
        <v>0</v>
      </c>
      <c r="AK262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263" spans="1:37" x14ac:dyDescent="0.25">
      <c r="A263" t="s">
        <v>383</v>
      </c>
      <c r="B263" t="s">
        <v>126</v>
      </c>
      <c r="C263" t="s">
        <v>20</v>
      </c>
      <c r="D263" t="s">
        <v>27</v>
      </c>
      <c r="E263" t="s">
        <v>28</v>
      </c>
      <c r="F263">
        <v>23</v>
      </c>
      <c r="G263">
        <v>13</v>
      </c>
      <c r="H263">
        <v>7</v>
      </c>
      <c r="I263">
        <v>29</v>
      </c>
      <c r="J263">
        <v>2040</v>
      </c>
      <c r="K263">
        <v>14</v>
      </c>
      <c r="L263">
        <v>0</v>
      </c>
      <c r="M263">
        <v>37</v>
      </c>
      <c r="N263" t="s">
        <v>61</v>
      </c>
      <c r="O263">
        <v>0.26600000000000001</v>
      </c>
      <c r="P263">
        <v>15736.56</v>
      </c>
      <c r="Q263">
        <f>(Table1[[#This Row],[Closing_Stock]]*Table1[[#This Row],[Unit_Cost_INR]])</f>
        <v>59160</v>
      </c>
      <c r="R263">
        <f>(Table1[[#This Row],[Unit_Cost_INR]]*Table1[[#This Row],[Consumption]])</f>
        <v>14280</v>
      </c>
      <c r="S263">
        <f>IFERROR(Table1[[#This Row],[Annual_Consumption_Value_INR]]/Table1[[#This Row],[Inventory_Value_INR]],0)</f>
        <v>0.2413793103448276</v>
      </c>
      <c r="T263">
        <f>IFERROR(365/Table1[[#This Row],[Inventory_Turnover]],0)</f>
        <v>1512.1428571428571</v>
      </c>
      <c r="U263" t="str">
        <f>IF(Table1[[#This Row],[Consumption]]=0,"Non-Moving", IF(Table1[[#This Row],[Days_Since_Last_Movement]]&gt;90,"Slow-Moving","Active"))</f>
        <v>Active</v>
      </c>
      <c r="V263">
        <f>SUM($Q$2:Q263)</f>
        <v>69421800</v>
      </c>
      <c r="W263">
        <f>Table1[[#This Row],[Cumulative_Inventory_Value]]/$AP$3</f>
        <v>0.91712082258135474</v>
      </c>
      <c r="X263" t="str">
        <f>IF(Table1[[#This Row],[Cumulative_Value_%]]&lt;80%,"A", IF(Table1[[#This Row],[Cumulative_Value_%]]&lt;=95%,"B","C"))</f>
        <v>B</v>
      </c>
      <c r="Y263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263">
        <f>Table1[[#This Row],[Consumption]]/365</f>
        <v>1.9178082191780823E-2</v>
      </c>
      <c r="AA263">
        <f>Table1[[#This Row],[Avg_Daily_Consumption]]*Table1[[#This Row],[Lead_Time_Days]]+Table1[[#This Row],[Safety_Stock]]</f>
        <v>1.2684931506849315</v>
      </c>
      <c r="AB263">
        <f>IFERROR(Table1[[#This Row],[Closing_Stock]]/Table1[[#This Row],[Avg_Daily_Consumption]],9999)</f>
        <v>1512.1428571428571</v>
      </c>
      <c r="AC263">
        <f>MAX(1,ROUNDUP(Table1[[#This Row],[Avg_Daily_Consumption]]*Table1[[#This Row],[Lead_Time_Days]]*0.8,0))</f>
        <v>1</v>
      </c>
      <c r="AD263" t="str">
        <f>IF(Table1[[#This Row],[Closing_Stock]]&lt;Table1[[#This Row],[Reorder_Point]],"Stock-out Risk","Adequate")</f>
        <v>Adequate</v>
      </c>
      <c r="AE263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263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263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263" s="11">
        <f>MAX(0,Table1[[#This Row],[Closing_Stock]]-Table1[[#This Row],[Reorder_Point]])</f>
        <v>27.731506849315068</v>
      </c>
      <c r="AI263" s="11">
        <f>Table1[[#This Row],[Excess_Stock_Units]]*Table1[[#This Row],[Unit_Cost_INR]]</f>
        <v>56572.273972602736</v>
      </c>
      <c r="AJ263" s="11">
        <f>IF(Table1[[#This Row],[Criticality]]="Critical",0,Table1[[#This Row],[Excess_Inventory_Value_INR]])</f>
        <v>56572.273972602736</v>
      </c>
      <c r="AK263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264" spans="1:37" x14ac:dyDescent="0.25">
      <c r="A264" t="s">
        <v>299</v>
      </c>
      <c r="B264" t="s">
        <v>25</v>
      </c>
      <c r="C264" t="s">
        <v>26</v>
      </c>
      <c r="D264" t="s">
        <v>45</v>
      </c>
      <c r="E264" t="s">
        <v>37</v>
      </c>
      <c r="F264">
        <v>29</v>
      </c>
      <c r="G264">
        <v>36</v>
      </c>
      <c r="H264">
        <v>24</v>
      </c>
      <c r="I264">
        <v>41</v>
      </c>
      <c r="J264">
        <v>1440</v>
      </c>
      <c r="K264">
        <v>41</v>
      </c>
      <c r="L264">
        <v>1</v>
      </c>
      <c r="M264">
        <v>64</v>
      </c>
      <c r="N264" t="s">
        <v>58</v>
      </c>
      <c r="O264">
        <v>0.28999999999999998</v>
      </c>
      <c r="P264">
        <v>17121.599999999999</v>
      </c>
      <c r="Q264">
        <f>(Table1[[#This Row],[Closing_Stock]]*Table1[[#This Row],[Unit_Cost_INR]])</f>
        <v>59040</v>
      </c>
      <c r="R264">
        <f>(Table1[[#This Row],[Unit_Cost_INR]]*Table1[[#This Row],[Consumption]])</f>
        <v>34560</v>
      </c>
      <c r="S264">
        <f>IFERROR(Table1[[#This Row],[Annual_Consumption_Value_INR]]/Table1[[#This Row],[Inventory_Value_INR]],0)</f>
        <v>0.58536585365853655</v>
      </c>
      <c r="T264">
        <f>IFERROR(365/Table1[[#This Row],[Inventory_Turnover]],0)</f>
        <v>623.54166666666674</v>
      </c>
      <c r="U264" t="str">
        <f>IF(Table1[[#This Row],[Consumption]]=0,"Non-Moving", IF(Table1[[#This Row],[Days_Since_Last_Movement]]&gt;90,"Slow-Moving","Active"))</f>
        <v>Active</v>
      </c>
      <c r="V264">
        <f>SUM($Q$2:Q264)</f>
        <v>69480840</v>
      </c>
      <c r="W264">
        <f>Table1[[#This Row],[Cumulative_Inventory_Value]]/$AP$3</f>
        <v>0.91790079102592403</v>
      </c>
      <c r="X264" t="str">
        <f>IF(Table1[[#This Row],[Cumulative_Value_%]]&lt;80%,"A", IF(Table1[[#This Row],[Cumulative_Value_%]]&lt;=95%,"B","C"))</f>
        <v>B</v>
      </c>
      <c r="Y264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264">
        <f>Table1[[#This Row],[Consumption]]/365</f>
        <v>6.575342465753424E-2</v>
      </c>
      <c r="AA264">
        <f>Table1[[#This Row],[Avg_Daily_Consumption]]*Table1[[#This Row],[Lead_Time_Days]]+Table1[[#This Row],[Safety_Stock]]</f>
        <v>5.6958904109589037</v>
      </c>
      <c r="AB264">
        <f>IFERROR(Table1[[#This Row],[Closing_Stock]]/Table1[[#This Row],[Avg_Daily_Consumption]],9999)</f>
        <v>623.54166666666674</v>
      </c>
      <c r="AC264">
        <f>MAX(1,ROUNDUP(Table1[[#This Row],[Avg_Daily_Consumption]]*Table1[[#This Row],[Lead_Time_Days]]*0.8,0))</f>
        <v>3</v>
      </c>
      <c r="AD264" t="str">
        <f>IF(Table1[[#This Row],[Closing_Stock]]&lt;Table1[[#This Row],[Reorder_Point]],"Stock-out Risk","Adequate")</f>
        <v>Adequate</v>
      </c>
      <c r="AE264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264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264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264" s="11">
        <f>MAX(0,Table1[[#This Row],[Closing_Stock]]-Table1[[#This Row],[Reorder_Point]])</f>
        <v>35.304109589041097</v>
      </c>
      <c r="AI264" s="11">
        <f>Table1[[#This Row],[Excess_Stock_Units]]*Table1[[#This Row],[Unit_Cost_INR]]</f>
        <v>50837.917808219179</v>
      </c>
      <c r="AJ264" s="11">
        <f>IF(Table1[[#This Row],[Criticality]]="Critical",0,Table1[[#This Row],[Excess_Inventory_Value_INR]])</f>
        <v>0</v>
      </c>
      <c r="AK264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265" spans="1:37" x14ac:dyDescent="0.25">
      <c r="A265" t="s">
        <v>399</v>
      </c>
      <c r="B265" t="s">
        <v>54</v>
      </c>
      <c r="C265" t="s">
        <v>36</v>
      </c>
      <c r="D265" t="s">
        <v>60</v>
      </c>
      <c r="E265" t="s">
        <v>37</v>
      </c>
      <c r="F265">
        <v>8</v>
      </c>
      <c r="G265">
        <v>25</v>
      </c>
      <c r="H265">
        <v>20</v>
      </c>
      <c r="I265">
        <v>13</v>
      </c>
      <c r="J265">
        <v>4530</v>
      </c>
      <c r="K265">
        <v>25</v>
      </c>
      <c r="L265">
        <v>0</v>
      </c>
      <c r="M265">
        <v>122</v>
      </c>
      <c r="N265" t="s">
        <v>23</v>
      </c>
      <c r="O265">
        <v>0.26400000000000001</v>
      </c>
      <c r="P265">
        <v>15546.96</v>
      </c>
      <c r="Q265">
        <f>(Table1[[#This Row],[Closing_Stock]]*Table1[[#This Row],[Unit_Cost_INR]])</f>
        <v>58890</v>
      </c>
      <c r="R265">
        <f>(Table1[[#This Row],[Unit_Cost_INR]]*Table1[[#This Row],[Consumption]])</f>
        <v>90600</v>
      </c>
      <c r="S265">
        <f>IFERROR(Table1[[#This Row],[Annual_Consumption_Value_INR]]/Table1[[#This Row],[Inventory_Value_INR]],0)</f>
        <v>1.5384615384615385</v>
      </c>
      <c r="T265">
        <f>IFERROR(365/Table1[[#This Row],[Inventory_Turnover]],0)</f>
        <v>237.25</v>
      </c>
      <c r="U265" t="str">
        <f>IF(Table1[[#This Row],[Consumption]]=0,"Non-Moving", IF(Table1[[#This Row],[Days_Since_Last_Movement]]&gt;90,"Slow-Moving","Active"))</f>
        <v>Slow-Moving</v>
      </c>
      <c r="V265">
        <f>SUM($Q$2:Q265)</f>
        <v>69539730</v>
      </c>
      <c r="W265">
        <f>Table1[[#This Row],[Cumulative_Inventory_Value]]/$AP$3</f>
        <v>0.91867877784334762</v>
      </c>
      <c r="X265" t="str">
        <f>IF(Table1[[#This Row],[Cumulative_Value_%]]&lt;80%,"A", IF(Table1[[#This Row],[Cumulative_Value_%]]&lt;=95%,"B","C"))</f>
        <v>B</v>
      </c>
      <c r="Y265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265">
        <f>Table1[[#This Row],[Consumption]]/365</f>
        <v>5.4794520547945202E-2</v>
      </c>
      <c r="AA265">
        <f>Table1[[#This Row],[Avg_Daily_Consumption]]*Table1[[#This Row],[Lead_Time_Days]]+Table1[[#This Row],[Safety_Stock]]</f>
        <v>3.3698630136986303</v>
      </c>
      <c r="AB265">
        <f>IFERROR(Table1[[#This Row],[Closing_Stock]]/Table1[[#This Row],[Avg_Daily_Consumption]],9999)</f>
        <v>237.25</v>
      </c>
      <c r="AC265">
        <f>MAX(1,ROUNDUP(Table1[[#This Row],[Avg_Daily_Consumption]]*Table1[[#This Row],[Lead_Time_Days]]*0.8,0))</f>
        <v>2</v>
      </c>
      <c r="AD265" t="str">
        <f>IF(Table1[[#This Row],[Closing_Stock]]&lt;Table1[[#This Row],[Reorder_Point]],"Stock-out Risk","Adequate")</f>
        <v>Adequate</v>
      </c>
      <c r="AE265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265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265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265" s="11">
        <f>MAX(0,Table1[[#This Row],[Closing_Stock]]-Table1[[#This Row],[Reorder_Point]])</f>
        <v>9.6301369863013697</v>
      </c>
      <c r="AI265" s="11">
        <f>Table1[[#This Row],[Excess_Stock_Units]]*Table1[[#This Row],[Unit_Cost_INR]]</f>
        <v>43624.520547945205</v>
      </c>
      <c r="AJ265" s="11">
        <f>IF(Table1[[#This Row],[Criticality]]="Critical",0,Table1[[#This Row],[Excess_Inventory_Value_INR]])</f>
        <v>0</v>
      </c>
      <c r="AK265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266" spans="1:37" x14ac:dyDescent="0.25">
      <c r="A266" t="s">
        <v>467</v>
      </c>
      <c r="B266" t="s">
        <v>71</v>
      </c>
      <c r="C266" t="s">
        <v>20</v>
      </c>
      <c r="D266" t="s">
        <v>45</v>
      </c>
      <c r="E266" t="s">
        <v>37</v>
      </c>
      <c r="F266">
        <v>18</v>
      </c>
      <c r="G266">
        <v>4</v>
      </c>
      <c r="H266">
        <v>4</v>
      </c>
      <c r="I266">
        <v>18</v>
      </c>
      <c r="J266">
        <v>3250</v>
      </c>
      <c r="K266">
        <v>6</v>
      </c>
      <c r="L266">
        <v>1</v>
      </c>
      <c r="M266">
        <v>11</v>
      </c>
      <c r="N266" t="s">
        <v>49</v>
      </c>
      <c r="O266">
        <v>0.29899999999999999</v>
      </c>
      <c r="P266">
        <v>17491.5</v>
      </c>
      <c r="Q266">
        <f>(Table1[[#This Row],[Closing_Stock]]*Table1[[#This Row],[Unit_Cost_INR]])</f>
        <v>58500</v>
      </c>
      <c r="R266">
        <f>(Table1[[#This Row],[Unit_Cost_INR]]*Table1[[#This Row],[Consumption]])</f>
        <v>13000</v>
      </c>
      <c r="S266">
        <f>IFERROR(Table1[[#This Row],[Annual_Consumption_Value_INR]]/Table1[[#This Row],[Inventory_Value_INR]],0)</f>
        <v>0.22222222222222221</v>
      </c>
      <c r="T266">
        <f>IFERROR(365/Table1[[#This Row],[Inventory_Turnover]],0)</f>
        <v>1642.5</v>
      </c>
      <c r="U266" t="str">
        <f>IF(Table1[[#This Row],[Consumption]]=0,"Non-Moving", IF(Table1[[#This Row],[Days_Since_Last_Movement]]&gt;90,"Slow-Moving","Active"))</f>
        <v>Active</v>
      </c>
      <c r="V266">
        <f>SUM($Q$2:Q266)</f>
        <v>69598230</v>
      </c>
      <c r="W266">
        <f>Table1[[#This Row],[Cumulative_Inventory_Value]]/$AP$3</f>
        <v>0.91945161243019224</v>
      </c>
      <c r="X266" t="str">
        <f>IF(Table1[[#This Row],[Cumulative_Value_%]]&lt;80%,"A", IF(Table1[[#This Row],[Cumulative_Value_%]]&lt;=95%,"B","C"))</f>
        <v>B</v>
      </c>
      <c r="Y266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266">
        <f>Table1[[#This Row],[Consumption]]/365</f>
        <v>1.0958904109589041E-2</v>
      </c>
      <c r="AA266">
        <f>Table1[[#This Row],[Avg_Daily_Consumption]]*Table1[[#This Row],[Lead_Time_Days]]+Table1[[#This Row],[Safety_Stock]]</f>
        <v>1.0657534246575342</v>
      </c>
      <c r="AB266">
        <f>IFERROR(Table1[[#This Row],[Closing_Stock]]/Table1[[#This Row],[Avg_Daily_Consumption]],9999)</f>
        <v>1642.5</v>
      </c>
      <c r="AC266">
        <f>MAX(1,ROUNDUP(Table1[[#This Row],[Avg_Daily_Consumption]]*Table1[[#This Row],[Lead_Time_Days]]*0.8,0))</f>
        <v>1</v>
      </c>
      <c r="AD266" t="str">
        <f>IF(Table1[[#This Row],[Closing_Stock]]&lt;Table1[[#This Row],[Reorder_Point]],"Stock-out Risk","Adequate")</f>
        <v>Adequate</v>
      </c>
      <c r="AE266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266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266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266" s="11">
        <f>MAX(0,Table1[[#This Row],[Closing_Stock]]-Table1[[#This Row],[Reorder_Point]])</f>
        <v>16.934246575342467</v>
      </c>
      <c r="AI266" s="11">
        <f>Table1[[#This Row],[Excess_Stock_Units]]*Table1[[#This Row],[Unit_Cost_INR]]</f>
        <v>55036.301369863017</v>
      </c>
      <c r="AJ266" s="11">
        <f>IF(Table1[[#This Row],[Criticality]]="Critical",0,Table1[[#This Row],[Excess_Inventory_Value_INR]])</f>
        <v>0</v>
      </c>
      <c r="AK266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267" spans="1:37" x14ac:dyDescent="0.25">
      <c r="A267" t="s">
        <v>197</v>
      </c>
      <c r="B267" t="s">
        <v>99</v>
      </c>
      <c r="C267" t="s">
        <v>20</v>
      </c>
      <c r="D267" t="s">
        <v>45</v>
      </c>
      <c r="E267" t="s">
        <v>22</v>
      </c>
      <c r="F267">
        <v>16</v>
      </c>
      <c r="G267">
        <v>76</v>
      </c>
      <c r="H267">
        <v>81</v>
      </c>
      <c r="I267">
        <v>11</v>
      </c>
      <c r="J267">
        <v>5280</v>
      </c>
      <c r="K267">
        <v>34</v>
      </c>
      <c r="L267">
        <v>0</v>
      </c>
      <c r="M267">
        <v>13</v>
      </c>
      <c r="N267" t="s">
        <v>58</v>
      </c>
      <c r="O267">
        <v>0.20300000000000001</v>
      </c>
      <c r="P267">
        <v>11790.24</v>
      </c>
      <c r="Q267">
        <f>(Table1[[#This Row],[Closing_Stock]]*Table1[[#This Row],[Unit_Cost_INR]])</f>
        <v>58080</v>
      </c>
      <c r="R267">
        <f>(Table1[[#This Row],[Unit_Cost_INR]]*Table1[[#This Row],[Consumption]])</f>
        <v>427680</v>
      </c>
      <c r="S267">
        <f>IFERROR(Table1[[#This Row],[Annual_Consumption_Value_INR]]/Table1[[#This Row],[Inventory_Value_INR]],0)</f>
        <v>7.3636363636363633</v>
      </c>
      <c r="T267">
        <f>IFERROR(365/Table1[[#This Row],[Inventory_Turnover]],0)</f>
        <v>49.567901234567906</v>
      </c>
      <c r="U267" t="str">
        <f>IF(Table1[[#This Row],[Consumption]]=0,"Non-Moving", IF(Table1[[#This Row],[Days_Since_Last_Movement]]&gt;90,"Slow-Moving","Active"))</f>
        <v>Active</v>
      </c>
      <c r="V267">
        <f>SUM($Q$2:Q267)</f>
        <v>69656310</v>
      </c>
      <c r="W267">
        <f>Table1[[#This Row],[Cumulative_Inventory_Value]]/$AP$3</f>
        <v>0.92021889846102878</v>
      </c>
      <c r="X267" t="str">
        <f>IF(Table1[[#This Row],[Cumulative_Value_%]]&lt;80%,"A", IF(Table1[[#This Row],[Cumulative_Value_%]]&lt;=95%,"B","C"))</f>
        <v>B</v>
      </c>
      <c r="Y267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267">
        <f>Table1[[#This Row],[Consumption]]/365</f>
        <v>0.22191780821917809</v>
      </c>
      <c r="AA267">
        <f>Table1[[#This Row],[Avg_Daily_Consumption]]*Table1[[#This Row],[Lead_Time_Days]]+Table1[[#This Row],[Safety_Stock]]</f>
        <v>14.545205479452054</v>
      </c>
      <c r="AB267">
        <f>IFERROR(Table1[[#This Row],[Closing_Stock]]/Table1[[#This Row],[Avg_Daily_Consumption]],9999)</f>
        <v>49.567901234567898</v>
      </c>
      <c r="AC267">
        <f>MAX(1,ROUNDUP(Table1[[#This Row],[Avg_Daily_Consumption]]*Table1[[#This Row],[Lead_Time_Days]]*0.8,0))</f>
        <v>7</v>
      </c>
      <c r="AD267" t="str">
        <f>IF(Table1[[#This Row],[Closing_Stock]]&lt;Table1[[#This Row],[Reorder_Point]],"Stock-out Risk","Adequate")</f>
        <v>Stock-out Risk</v>
      </c>
      <c r="AE267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MEDIUM</v>
      </c>
      <c r="AF267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267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267" s="11">
        <f>MAX(0,Table1[[#This Row],[Closing_Stock]]-Table1[[#This Row],[Reorder_Point]])</f>
        <v>0</v>
      </c>
      <c r="AI267" s="11">
        <f>Table1[[#This Row],[Excess_Stock_Units]]*Table1[[#This Row],[Unit_Cost_INR]]</f>
        <v>0</v>
      </c>
      <c r="AJ267" s="11">
        <f>IF(Table1[[#This Row],[Criticality]]="Critical",0,Table1[[#This Row],[Excess_Inventory_Value_INR]])</f>
        <v>0</v>
      </c>
      <c r="AK267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268" spans="1:37" x14ac:dyDescent="0.25">
      <c r="A268" t="s">
        <v>163</v>
      </c>
      <c r="B268" t="s">
        <v>113</v>
      </c>
      <c r="C268" t="s">
        <v>36</v>
      </c>
      <c r="D268" t="s">
        <v>42</v>
      </c>
      <c r="E268" t="s">
        <v>22</v>
      </c>
      <c r="F268">
        <v>77</v>
      </c>
      <c r="G268">
        <v>68</v>
      </c>
      <c r="H268">
        <v>1</v>
      </c>
      <c r="I268">
        <v>68</v>
      </c>
      <c r="J268">
        <v>850</v>
      </c>
      <c r="K268">
        <v>25</v>
      </c>
      <c r="L268">
        <v>1</v>
      </c>
      <c r="M268">
        <v>134</v>
      </c>
      <c r="N268" t="s">
        <v>81</v>
      </c>
      <c r="O268">
        <v>0.222</v>
      </c>
      <c r="P268">
        <v>12831.6</v>
      </c>
      <c r="Q268">
        <f>(Table1[[#This Row],[Closing_Stock]]*Table1[[#This Row],[Unit_Cost_INR]])</f>
        <v>57800</v>
      </c>
      <c r="R268">
        <f>(Table1[[#This Row],[Unit_Cost_INR]]*Table1[[#This Row],[Consumption]])</f>
        <v>850</v>
      </c>
      <c r="S268">
        <f>IFERROR(Table1[[#This Row],[Annual_Consumption_Value_INR]]/Table1[[#This Row],[Inventory_Value_INR]],0)</f>
        <v>1.4705882352941176E-2</v>
      </c>
      <c r="T268">
        <f>IFERROR(365/Table1[[#This Row],[Inventory_Turnover]],0)</f>
        <v>24820</v>
      </c>
      <c r="U268" t="str">
        <f>IF(Table1[[#This Row],[Consumption]]=0,"Non-Moving", IF(Table1[[#This Row],[Days_Since_Last_Movement]]&gt;90,"Slow-Moving","Active"))</f>
        <v>Slow-Moving</v>
      </c>
      <c r="V268">
        <f>SUM($Q$2:Q268)</f>
        <v>69714110</v>
      </c>
      <c r="W268">
        <f>Table1[[#This Row],[Cumulative_Inventory_Value]]/$AP$3</f>
        <v>0.92098248545452643</v>
      </c>
      <c r="X268" t="str">
        <f>IF(Table1[[#This Row],[Cumulative_Value_%]]&lt;80%,"A", IF(Table1[[#This Row],[Cumulative_Value_%]]&lt;=95%,"B","C"))</f>
        <v>B</v>
      </c>
      <c r="Y268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268">
        <f>Table1[[#This Row],[Consumption]]/365</f>
        <v>2.7397260273972603E-3</v>
      </c>
      <c r="AA268">
        <f>Table1[[#This Row],[Avg_Daily_Consumption]]*Table1[[#This Row],[Lead_Time_Days]]+Table1[[#This Row],[Safety_Stock]]</f>
        <v>1.0684931506849316</v>
      </c>
      <c r="AB268">
        <f>IFERROR(Table1[[#This Row],[Closing_Stock]]/Table1[[#This Row],[Avg_Daily_Consumption]],9999)</f>
        <v>24820</v>
      </c>
      <c r="AC268">
        <f>MAX(1,ROUNDUP(Table1[[#This Row],[Avg_Daily_Consumption]]*Table1[[#This Row],[Lead_Time_Days]]*0.8,0))</f>
        <v>1</v>
      </c>
      <c r="AD268" t="str">
        <f>IF(Table1[[#This Row],[Closing_Stock]]&lt;Table1[[#This Row],[Reorder_Point]],"Stock-out Risk","Adequate")</f>
        <v>Adequate</v>
      </c>
      <c r="AE268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268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268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268" s="11">
        <f>MAX(0,Table1[[#This Row],[Closing_Stock]]-Table1[[#This Row],[Reorder_Point]])</f>
        <v>66.93150684931507</v>
      </c>
      <c r="AI268" s="11">
        <f>Table1[[#This Row],[Excess_Stock_Units]]*Table1[[#This Row],[Unit_Cost_INR]]</f>
        <v>56891.780821917811</v>
      </c>
      <c r="AJ268" s="11">
        <f>IF(Table1[[#This Row],[Criticality]]="Critical",0,Table1[[#This Row],[Excess_Inventory_Value_INR]])</f>
        <v>56891.780821917811</v>
      </c>
      <c r="AK268" s="11">
        <f>IF(AND(Table1[[#This Row],[Criticality]]&lt;&gt;"Critical",OR(Table1[[#This Row],[Movement_Class]]="Slow-Moving",Table1[[#This Row],[Movement_Class]]="Non-Moving")),Table1[[#This Row],[Excess_Inventory_Value_INR]],0)</f>
        <v>56891.780821917811</v>
      </c>
    </row>
    <row r="269" spans="1:37" x14ac:dyDescent="0.25">
      <c r="A269" t="s">
        <v>534</v>
      </c>
      <c r="B269" t="s">
        <v>35</v>
      </c>
      <c r="C269" t="s">
        <v>36</v>
      </c>
      <c r="D269" t="s">
        <v>66</v>
      </c>
      <c r="E269" t="s">
        <v>28</v>
      </c>
      <c r="F269">
        <v>10</v>
      </c>
      <c r="G269">
        <v>8</v>
      </c>
      <c r="H269">
        <v>6</v>
      </c>
      <c r="I269">
        <v>12</v>
      </c>
      <c r="J269">
        <v>4690</v>
      </c>
      <c r="K269">
        <v>20</v>
      </c>
      <c r="L269">
        <v>1</v>
      </c>
      <c r="M269">
        <v>118</v>
      </c>
      <c r="N269" t="s">
        <v>58</v>
      </c>
      <c r="O269">
        <v>0.23400000000000001</v>
      </c>
      <c r="P269">
        <v>13169.52</v>
      </c>
      <c r="Q269">
        <f>(Table1[[#This Row],[Closing_Stock]]*Table1[[#This Row],[Unit_Cost_INR]])</f>
        <v>56280</v>
      </c>
      <c r="R269">
        <f>(Table1[[#This Row],[Unit_Cost_INR]]*Table1[[#This Row],[Consumption]])</f>
        <v>28140</v>
      </c>
      <c r="S269">
        <f>IFERROR(Table1[[#This Row],[Annual_Consumption_Value_INR]]/Table1[[#This Row],[Inventory_Value_INR]],0)</f>
        <v>0.5</v>
      </c>
      <c r="T269">
        <f>IFERROR(365/Table1[[#This Row],[Inventory_Turnover]],0)</f>
        <v>730</v>
      </c>
      <c r="U269" t="str">
        <f>IF(Table1[[#This Row],[Consumption]]=0,"Non-Moving", IF(Table1[[#This Row],[Days_Since_Last_Movement]]&gt;90,"Slow-Moving","Active"))</f>
        <v>Slow-Moving</v>
      </c>
      <c r="V269">
        <f>SUM($Q$2:Q269)</f>
        <v>69770390</v>
      </c>
      <c r="W269">
        <f>Table1[[#This Row],[Cumulative_Inventory_Value]]/$AP$3</f>
        <v>0.92172599195961391</v>
      </c>
      <c r="X269" t="str">
        <f>IF(Table1[[#This Row],[Cumulative_Value_%]]&lt;80%,"A", IF(Table1[[#This Row],[Cumulative_Value_%]]&lt;=95%,"B","C"))</f>
        <v>B</v>
      </c>
      <c r="Y269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269">
        <f>Table1[[#This Row],[Consumption]]/365</f>
        <v>1.643835616438356E-2</v>
      </c>
      <c r="AA269">
        <f>Table1[[#This Row],[Avg_Daily_Consumption]]*Table1[[#This Row],[Lead_Time_Days]]+Table1[[#This Row],[Safety_Stock]]</f>
        <v>1.3287671232876712</v>
      </c>
      <c r="AB269">
        <f>IFERROR(Table1[[#This Row],[Closing_Stock]]/Table1[[#This Row],[Avg_Daily_Consumption]],9999)</f>
        <v>730.00000000000011</v>
      </c>
      <c r="AC269">
        <f>MAX(1,ROUNDUP(Table1[[#This Row],[Avg_Daily_Consumption]]*Table1[[#This Row],[Lead_Time_Days]]*0.8,0))</f>
        <v>1</v>
      </c>
      <c r="AD269" t="str">
        <f>IF(Table1[[#This Row],[Closing_Stock]]&lt;Table1[[#This Row],[Reorder_Point]],"Stock-out Risk","Adequate")</f>
        <v>Adequate</v>
      </c>
      <c r="AE269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269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269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269" s="11">
        <f>MAX(0,Table1[[#This Row],[Closing_Stock]]-Table1[[#This Row],[Reorder_Point]])</f>
        <v>10.671232876712329</v>
      </c>
      <c r="AI269" s="11">
        <f>Table1[[#This Row],[Excess_Stock_Units]]*Table1[[#This Row],[Unit_Cost_INR]]</f>
        <v>50048.082191780821</v>
      </c>
      <c r="AJ269" s="11">
        <f>IF(Table1[[#This Row],[Criticality]]="Critical",0,Table1[[#This Row],[Excess_Inventory_Value_INR]])</f>
        <v>50048.082191780821</v>
      </c>
      <c r="AK269" s="11">
        <f>IF(AND(Table1[[#This Row],[Criticality]]&lt;&gt;"Critical",OR(Table1[[#This Row],[Movement_Class]]="Slow-Moving",Table1[[#This Row],[Movement_Class]]="Non-Moving")),Table1[[#This Row],[Excess_Inventory_Value_INR]],0)</f>
        <v>50048.082191780821</v>
      </c>
    </row>
    <row r="270" spans="1:37" x14ac:dyDescent="0.25">
      <c r="A270" t="s">
        <v>215</v>
      </c>
      <c r="B270" t="s">
        <v>19</v>
      </c>
      <c r="C270" t="s">
        <v>20</v>
      </c>
      <c r="D270" t="s">
        <v>45</v>
      </c>
      <c r="E270" t="s">
        <v>46</v>
      </c>
      <c r="F270">
        <v>17</v>
      </c>
      <c r="G270">
        <v>11</v>
      </c>
      <c r="H270">
        <v>9</v>
      </c>
      <c r="I270">
        <v>19</v>
      </c>
      <c r="J270">
        <v>2950</v>
      </c>
      <c r="K270">
        <v>38</v>
      </c>
      <c r="L270">
        <v>0</v>
      </c>
      <c r="M270">
        <v>13</v>
      </c>
      <c r="N270" t="s">
        <v>33</v>
      </c>
      <c r="O270">
        <v>0.22500000000000001</v>
      </c>
      <c r="P270">
        <v>12611.25</v>
      </c>
      <c r="Q270">
        <f>(Table1[[#This Row],[Closing_Stock]]*Table1[[#This Row],[Unit_Cost_INR]])</f>
        <v>56050</v>
      </c>
      <c r="R270">
        <f>(Table1[[#This Row],[Unit_Cost_INR]]*Table1[[#This Row],[Consumption]])</f>
        <v>26550</v>
      </c>
      <c r="S270">
        <f>IFERROR(Table1[[#This Row],[Annual_Consumption_Value_INR]]/Table1[[#This Row],[Inventory_Value_INR]],0)</f>
        <v>0.47368421052631576</v>
      </c>
      <c r="T270">
        <f>IFERROR(365/Table1[[#This Row],[Inventory_Turnover]],0)</f>
        <v>770.55555555555554</v>
      </c>
      <c r="U270" t="str">
        <f>IF(Table1[[#This Row],[Consumption]]=0,"Non-Moving", IF(Table1[[#This Row],[Days_Since_Last_Movement]]&gt;90,"Slow-Moving","Active"))</f>
        <v>Active</v>
      </c>
      <c r="V270">
        <f>SUM($Q$2:Q270)</f>
        <v>69826440</v>
      </c>
      <c r="W270">
        <f>Table1[[#This Row],[Cumulative_Inventory_Value]]/$AP$3</f>
        <v>0.92246645996974452</v>
      </c>
      <c r="X270" t="str">
        <f>IF(Table1[[#This Row],[Cumulative_Value_%]]&lt;80%,"A", IF(Table1[[#This Row],[Cumulative_Value_%]]&lt;=95%,"B","C"))</f>
        <v>B</v>
      </c>
      <c r="Y270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270">
        <f>Table1[[#This Row],[Consumption]]/365</f>
        <v>2.4657534246575342E-2</v>
      </c>
      <c r="AA270">
        <f>Table1[[#This Row],[Avg_Daily_Consumption]]*Table1[[#This Row],[Lead_Time_Days]]+Table1[[#This Row],[Safety_Stock]]</f>
        <v>1.9369863013698629</v>
      </c>
      <c r="AB270">
        <f>IFERROR(Table1[[#This Row],[Closing_Stock]]/Table1[[#This Row],[Avg_Daily_Consumption]],9999)</f>
        <v>770.55555555555554</v>
      </c>
      <c r="AC270">
        <f>MAX(1,ROUNDUP(Table1[[#This Row],[Avg_Daily_Consumption]]*Table1[[#This Row],[Lead_Time_Days]]*0.8,0))</f>
        <v>1</v>
      </c>
      <c r="AD270" t="str">
        <f>IF(Table1[[#This Row],[Closing_Stock]]&lt;Table1[[#This Row],[Reorder_Point]],"Stock-out Risk","Adequate")</f>
        <v>Adequate</v>
      </c>
      <c r="AE270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270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270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270" s="11">
        <f>MAX(0,Table1[[#This Row],[Closing_Stock]]-Table1[[#This Row],[Reorder_Point]])</f>
        <v>17.063013698630137</v>
      </c>
      <c r="AI270" s="11">
        <f>Table1[[#This Row],[Excess_Stock_Units]]*Table1[[#This Row],[Unit_Cost_INR]]</f>
        <v>50335.890410958906</v>
      </c>
      <c r="AJ270" s="11">
        <f>IF(Table1[[#This Row],[Criticality]]="Critical",0,Table1[[#This Row],[Excess_Inventory_Value_INR]])</f>
        <v>50335.890410958906</v>
      </c>
      <c r="AK270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271" spans="1:37" x14ac:dyDescent="0.25">
      <c r="A271" t="s">
        <v>387</v>
      </c>
      <c r="B271" t="s">
        <v>51</v>
      </c>
      <c r="C271" t="s">
        <v>52</v>
      </c>
      <c r="D271" t="s">
        <v>42</v>
      </c>
      <c r="E271" t="s">
        <v>22</v>
      </c>
      <c r="F271">
        <v>21</v>
      </c>
      <c r="G271">
        <v>55</v>
      </c>
      <c r="H271">
        <v>35</v>
      </c>
      <c r="I271">
        <v>41</v>
      </c>
      <c r="J271">
        <v>1350</v>
      </c>
      <c r="K271">
        <v>18</v>
      </c>
      <c r="L271">
        <v>1</v>
      </c>
      <c r="M271">
        <v>203</v>
      </c>
      <c r="N271" t="s">
        <v>61</v>
      </c>
      <c r="O271">
        <v>0.214</v>
      </c>
      <c r="P271">
        <v>11844.9</v>
      </c>
      <c r="Q271">
        <f>(Table1[[#This Row],[Closing_Stock]]*Table1[[#This Row],[Unit_Cost_INR]])</f>
        <v>55350</v>
      </c>
      <c r="R271">
        <f>(Table1[[#This Row],[Unit_Cost_INR]]*Table1[[#This Row],[Consumption]])</f>
        <v>47250</v>
      </c>
      <c r="S271">
        <f>IFERROR(Table1[[#This Row],[Annual_Consumption_Value_INR]]/Table1[[#This Row],[Inventory_Value_INR]],0)</f>
        <v>0.85365853658536583</v>
      </c>
      <c r="T271">
        <f>IFERROR(365/Table1[[#This Row],[Inventory_Turnover]],0)</f>
        <v>427.57142857142856</v>
      </c>
      <c r="U271" t="str">
        <f>IF(Table1[[#This Row],[Consumption]]=0,"Non-Moving", IF(Table1[[#This Row],[Days_Since_Last_Movement]]&gt;90,"Slow-Moving","Active"))</f>
        <v>Slow-Moving</v>
      </c>
      <c r="V271">
        <f>SUM($Q$2:Q271)</f>
        <v>69881790</v>
      </c>
      <c r="W271">
        <f>Table1[[#This Row],[Cumulative_Inventory_Value]]/$AP$3</f>
        <v>0.92319768038652827</v>
      </c>
      <c r="X271" t="str">
        <f>IF(Table1[[#This Row],[Cumulative_Value_%]]&lt;80%,"A", IF(Table1[[#This Row],[Cumulative_Value_%]]&lt;=95%,"B","C"))</f>
        <v>B</v>
      </c>
      <c r="Y271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271">
        <f>Table1[[#This Row],[Consumption]]/365</f>
        <v>9.5890410958904104E-2</v>
      </c>
      <c r="AA271">
        <f>Table1[[#This Row],[Avg_Daily_Consumption]]*Table1[[#This Row],[Lead_Time_Days]]+Table1[[#This Row],[Safety_Stock]]</f>
        <v>3.7260273972602738</v>
      </c>
      <c r="AB271">
        <f>IFERROR(Table1[[#This Row],[Closing_Stock]]/Table1[[#This Row],[Avg_Daily_Consumption]],9999)</f>
        <v>427.57142857142861</v>
      </c>
      <c r="AC271">
        <f>MAX(1,ROUNDUP(Table1[[#This Row],[Avg_Daily_Consumption]]*Table1[[#This Row],[Lead_Time_Days]]*0.8,0))</f>
        <v>2</v>
      </c>
      <c r="AD271" t="str">
        <f>IF(Table1[[#This Row],[Closing_Stock]]&lt;Table1[[#This Row],[Reorder_Point]],"Stock-out Risk","Adequate")</f>
        <v>Adequate</v>
      </c>
      <c r="AE271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271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271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271" s="11">
        <f>MAX(0,Table1[[#This Row],[Closing_Stock]]-Table1[[#This Row],[Reorder_Point]])</f>
        <v>37.273972602739725</v>
      </c>
      <c r="AI271" s="11">
        <f>Table1[[#This Row],[Excess_Stock_Units]]*Table1[[#This Row],[Unit_Cost_INR]]</f>
        <v>50319.863013698632</v>
      </c>
      <c r="AJ271" s="11">
        <f>IF(Table1[[#This Row],[Criticality]]="Critical",0,Table1[[#This Row],[Excess_Inventory_Value_INR]])</f>
        <v>50319.863013698632</v>
      </c>
      <c r="AK271" s="11">
        <f>IF(AND(Table1[[#This Row],[Criticality]]&lt;&gt;"Critical",OR(Table1[[#This Row],[Movement_Class]]="Slow-Moving",Table1[[#This Row],[Movement_Class]]="Non-Moving")),Table1[[#This Row],[Excess_Inventory_Value_INR]],0)</f>
        <v>50319.863013698632</v>
      </c>
    </row>
    <row r="272" spans="1:37" x14ac:dyDescent="0.25">
      <c r="A272" t="s">
        <v>211</v>
      </c>
      <c r="B272" t="s">
        <v>71</v>
      </c>
      <c r="C272" t="s">
        <v>20</v>
      </c>
      <c r="D272" t="s">
        <v>27</v>
      </c>
      <c r="E272" t="s">
        <v>28</v>
      </c>
      <c r="F272">
        <v>28</v>
      </c>
      <c r="G272">
        <v>34</v>
      </c>
      <c r="H272">
        <v>26</v>
      </c>
      <c r="I272">
        <v>36</v>
      </c>
      <c r="J272">
        <v>1530</v>
      </c>
      <c r="K272">
        <v>57</v>
      </c>
      <c r="L272">
        <v>0</v>
      </c>
      <c r="M272">
        <v>81</v>
      </c>
      <c r="N272" t="s">
        <v>81</v>
      </c>
      <c r="O272">
        <v>0.24399999999999999</v>
      </c>
      <c r="P272">
        <v>13439.52</v>
      </c>
      <c r="Q272">
        <f>(Table1[[#This Row],[Closing_Stock]]*Table1[[#This Row],[Unit_Cost_INR]])</f>
        <v>55080</v>
      </c>
      <c r="R272">
        <f>(Table1[[#This Row],[Unit_Cost_INR]]*Table1[[#This Row],[Consumption]])</f>
        <v>39780</v>
      </c>
      <c r="S272">
        <f>IFERROR(Table1[[#This Row],[Annual_Consumption_Value_INR]]/Table1[[#This Row],[Inventory_Value_INR]],0)</f>
        <v>0.72222222222222221</v>
      </c>
      <c r="T272">
        <f>IFERROR(365/Table1[[#This Row],[Inventory_Turnover]],0)</f>
        <v>505.38461538461542</v>
      </c>
      <c r="U272" t="str">
        <f>IF(Table1[[#This Row],[Consumption]]=0,"Non-Moving", IF(Table1[[#This Row],[Days_Since_Last_Movement]]&gt;90,"Slow-Moving","Active"))</f>
        <v>Active</v>
      </c>
      <c r="V272">
        <f>SUM($Q$2:Q272)</f>
        <v>69936870</v>
      </c>
      <c r="W272">
        <f>Table1[[#This Row],[Cumulative_Inventory_Value]]/$AP$3</f>
        <v>0.92392533387444964</v>
      </c>
      <c r="X272" t="str">
        <f>IF(Table1[[#This Row],[Cumulative_Value_%]]&lt;80%,"A", IF(Table1[[#This Row],[Cumulative_Value_%]]&lt;=95%,"B","C"))</f>
        <v>B</v>
      </c>
      <c r="Y272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272">
        <f>Table1[[#This Row],[Consumption]]/365</f>
        <v>7.1232876712328766E-2</v>
      </c>
      <c r="AA272">
        <f>Table1[[#This Row],[Avg_Daily_Consumption]]*Table1[[#This Row],[Lead_Time_Days]]+Table1[[#This Row],[Safety_Stock]]</f>
        <v>8.0602739726027401</v>
      </c>
      <c r="AB272">
        <f>IFERROR(Table1[[#This Row],[Closing_Stock]]/Table1[[#This Row],[Avg_Daily_Consumption]],9999)</f>
        <v>505.38461538461542</v>
      </c>
      <c r="AC272">
        <f>MAX(1,ROUNDUP(Table1[[#This Row],[Avg_Daily_Consumption]]*Table1[[#This Row],[Lead_Time_Days]]*0.8,0))</f>
        <v>4</v>
      </c>
      <c r="AD272" t="str">
        <f>IF(Table1[[#This Row],[Closing_Stock]]&lt;Table1[[#This Row],[Reorder_Point]],"Stock-out Risk","Adequate")</f>
        <v>Adequate</v>
      </c>
      <c r="AE272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272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272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272" s="11">
        <f>MAX(0,Table1[[#This Row],[Closing_Stock]]-Table1[[#This Row],[Reorder_Point]])</f>
        <v>27.93972602739726</v>
      </c>
      <c r="AI272" s="11">
        <f>Table1[[#This Row],[Excess_Stock_Units]]*Table1[[#This Row],[Unit_Cost_INR]]</f>
        <v>42747.780821917804</v>
      </c>
      <c r="AJ272" s="11">
        <f>IF(Table1[[#This Row],[Criticality]]="Critical",0,Table1[[#This Row],[Excess_Inventory_Value_INR]])</f>
        <v>42747.780821917804</v>
      </c>
      <c r="AK272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273" spans="1:37" x14ac:dyDescent="0.25">
      <c r="A273" t="s">
        <v>164</v>
      </c>
      <c r="B273" t="s">
        <v>165</v>
      </c>
      <c r="C273" t="s">
        <v>32</v>
      </c>
      <c r="D273" t="s">
        <v>21</v>
      </c>
      <c r="E273" t="s">
        <v>28</v>
      </c>
      <c r="F273">
        <v>19</v>
      </c>
      <c r="G273">
        <v>2</v>
      </c>
      <c r="H273">
        <v>2</v>
      </c>
      <c r="I273">
        <v>19</v>
      </c>
      <c r="J273">
        <v>2860</v>
      </c>
      <c r="K273">
        <v>32</v>
      </c>
      <c r="L273">
        <v>0</v>
      </c>
      <c r="M273">
        <v>159</v>
      </c>
      <c r="N273" t="s">
        <v>61</v>
      </c>
      <c r="O273">
        <v>0.28999999999999998</v>
      </c>
      <c r="P273">
        <v>15758.6</v>
      </c>
      <c r="Q273">
        <f>(Table1[[#This Row],[Closing_Stock]]*Table1[[#This Row],[Unit_Cost_INR]])</f>
        <v>54340</v>
      </c>
      <c r="R273">
        <f>(Table1[[#This Row],[Unit_Cost_INR]]*Table1[[#This Row],[Consumption]])</f>
        <v>5720</v>
      </c>
      <c r="S273">
        <f>IFERROR(Table1[[#This Row],[Annual_Consumption_Value_INR]]/Table1[[#This Row],[Inventory_Value_INR]],0)</f>
        <v>0.10526315789473684</v>
      </c>
      <c r="T273">
        <f>IFERROR(365/Table1[[#This Row],[Inventory_Turnover]],0)</f>
        <v>3467.5</v>
      </c>
      <c r="U273" t="str">
        <f>IF(Table1[[#This Row],[Consumption]]=0,"Non-Moving", IF(Table1[[#This Row],[Days_Since_Last_Movement]]&gt;90,"Slow-Moving","Active"))</f>
        <v>Slow-Moving</v>
      </c>
      <c r="V273">
        <f>SUM($Q$2:Q273)</f>
        <v>69991210</v>
      </c>
      <c r="W273">
        <f>Table1[[#This Row],[Cumulative_Inventory_Value]]/$AP$3</f>
        <v>0.92464321133511862</v>
      </c>
      <c r="X273" t="str">
        <f>IF(Table1[[#This Row],[Cumulative_Value_%]]&lt;80%,"A", IF(Table1[[#This Row],[Cumulative_Value_%]]&lt;=95%,"B","C"))</f>
        <v>B</v>
      </c>
      <c r="Y273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273">
        <f>Table1[[#This Row],[Consumption]]/365</f>
        <v>5.4794520547945206E-3</v>
      </c>
      <c r="AA273">
        <f>Table1[[#This Row],[Avg_Daily_Consumption]]*Table1[[#This Row],[Lead_Time_Days]]+Table1[[#This Row],[Safety_Stock]]</f>
        <v>1.1753424657534246</v>
      </c>
      <c r="AB273">
        <f>IFERROR(Table1[[#This Row],[Closing_Stock]]/Table1[[#This Row],[Avg_Daily_Consumption]],9999)</f>
        <v>3467.5</v>
      </c>
      <c r="AC273">
        <f>MAX(1,ROUNDUP(Table1[[#This Row],[Avg_Daily_Consumption]]*Table1[[#This Row],[Lead_Time_Days]]*0.8,0))</f>
        <v>1</v>
      </c>
      <c r="AD273" t="str">
        <f>IF(Table1[[#This Row],[Closing_Stock]]&lt;Table1[[#This Row],[Reorder_Point]],"Stock-out Risk","Adequate")</f>
        <v>Adequate</v>
      </c>
      <c r="AE273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273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273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273" s="11">
        <f>MAX(0,Table1[[#This Row],[Closing_Stock]]-Table1[[#This Row],[Reorder_Point]])</f>
        <v>17.824657534246576</v>
      </c>
      <c r="AI273" s="11">
        <f>Table1[[#This Row],[Excess_Stock_Units]]*Table1[[#This Row],[Unit_Cost_INR]]</f>
        <v>50978.520547945205</v>
      </c>
      <c r="AJ273" s="11">
        <f>IF(Table1[[#This Row],[Criticality]]="Critical",0,Table1[[#This Row],[Excess_Inventory_Value_INR]])</f>
        <v>50978.520547945205</v>
      </c>
      <c r="AK273" s="11">
        <f>IF(AND(Table1[[#This Row],[Criticality]]&lt;&gt;"Critical",OR(Table1[[#This Row],[Movement_Class]]="Slow-Moving",Table1[[#This Row],[Movement_Class]]="Non-Moving")),Table1[[#This Row],[Excess_Inventory_Value_INR]],0)</f>
        <v>50978.520547945205</v>
      </c>
    </row>
    <row r="274" spans="1:37" x14ac:dyDescent="0.25">
      <c r="A274" t="s">
        <v>353</v>
      </c>
      <c r="B274" t="s">
        <v>184</v>
      </c>
      <c r="C274" t="s">
        <v>26</v>
      </c>
      <c r="D274" t="s">
        <v>21</v>
      </c>
      <c r="E274" t="s">
        <v>22</v>
      </c>
      <c r="F274">
        <v>121</v>
      </c>
      <c r="G274">
        <v>150</v>
      </c>
      <c r="H274">
        <v>121</v>
      </c>
      <c r="I274">
        <v>150</v>
      </c>
      <c r="J274">
        <v>360</v>
      </c>
      <c r="K274">
        <v>32</v>
      </c>
      <c r="L274">
        <v>0</v>
      </c>
      <c r="M274">
        <v>87</v>
      </c>
      <c r="N274" t="s">
        <v>29</v>
      </c>
      <c r="O274">
        <v>0.17199999999999999</v>
      </c>
      <c r="P274">
        <v>9288</v>
      </c>
      <c r="Q274">
        <f>(Table1[[#This Row],[Closing_Stock]]*Table1[[#This Row],[Unit_Cost_INR]])</f>
        <v>54000</v>
      </c>
      <c r="R274">
        <f>(Table1[[#This Row],[Unit_Cost_INR]]*Table1[[#This Row],[Consumption]])</f>
        <v>43560</v>
      </c>
      <c r="S274">
        <f>IFERROR(Table1[[#This Row],[Annual_Consumption_Value_INR]]/Table1[[#This Row],[Inventory_Value_INR]],0)</f>
        <v>0.80666666666666664</v>
      </c>
      <c r="T274">
        <f>IFERROR(365/Table1[[#This Row],[Inventory_Turnover]],0)</f>
        <v>452.47933884297521</v>
      </c>
      <c r="U274" t="str">
        <f>IF(Table1[[#This Row],[Consumption]]=0,"Non-Moving", IF(Table1[[#This Row],[Days_Since_Last_Movement]]&gt;90,"Slow-Moving","Active"))</f>
        <v>Active</v>
      </c>
      <c r="V274">
        <f>SUM($Q$2:Q274)</f>
        <v>70045210</v>
      </c>
      <c r="W274">
        <f>Table1[[#This Row],[Cumulative_Inventory_Value]]/$AP$3</f>
        <v>0.92535659710759055</v>
      </c>
      <c r="X274" t="str">
        <f>IF(Table1[[#This Row],[Cumulative_Value_%]]&lt;80%,"A", IF(Table1[[#This Row],[Cumulative_Value_%]]&lt;=95%,"B","C"))</f>
        <v>B</v>
      </c>
      <c r="Y274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274">
        <f>Table1[[#This Row],[Consumption]]/365</f>
        <v>0.33150684931506852</v>
      </c>
      <c r="AA274">
        <f>Table1[[#This Row],[Avg_Daily_Consumption]]*Table1[[#This Row],[Lead_Time_Days]]+Table1[[#This Row],[Safety_Stock]]</f>
        <v>19.608219178082194</v>
      </c>
      <c r="AB274">
        <f>IFERROR(Table1[[#This Row],[Closing_Stock]]/Table1[[#This Row],[Avg_Daily_Consumption]],9999)</f>
        <v>452.47933884297515</v>
      </c>
      <c r="AC274">
        <f>MAX(1,ROUNDUP(Table1[[#This Row],[Avg_Daily_Consumption]]*Table1[[#This Row],[Lead_Time_Days]]*0.8,0))</f>
        <v>9</v>
      </c>
      <c r="AD274" t="str">
        <f>IF(Table1[[#This Row],[Closing_Stock]]&lt;Table1[[#This Row],[Reorder_Point]],"Stock-out Risk","Adequate")</f>
        <v>Adequate</v>
      </c>
      <c r="AE274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274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274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274" s="11">
        <f>MAX(0,Table1[[#This Row],[Closing_Stock]]-Table1[[#This Row],[Reorder_Point]])</f>
        <v>130.39178082191779</v>
      </c>
      <c r="AI274" s="11">
        <f>Table1[[#This Row],[Excess_Stock_Units]]*Table1[[#This Row],[Unit_Cost_INR]]</f>
        <v>46941.041095890403</v>
      </c>
      <c r="AJ274" s="11">
        <f>IF(Table1[[#This Row],[Criticality]]="Critical",0,Table1[[#This Row],[Excess_Inventory_Value_INR]])</f>
        <v>46941.041095890403</v>
      </c>
      <c r="AK274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275" spans="1:37" x14ac:dyDescent="0.25">
      <c r="A275" t="s">
        <v>390</v>
      </c>
      <c r="B275" t="s">
        <v>85</v>
      </c>
      <c r="C275" t="s">
        <v>41</v>
      </c>
      <c r="D275" t="s">
        <v>66</v>
      </c>
      <c r="E275" t="s">
        <v>22</v>
      </c>
      <c r="F275">
        <v>21</v>
      </c>
      <c r="G275">
        <v>30</v>
      </c>
      <c r="H275">
        <v>19</v>
      </c>
      <c r="I275">
        <v>32</v>
      </c>
      <c r="J275">
        <v>1670</v>
      </c>
      <c r="K275">
        <v>13</v>
      </c>
      <c r="L275">
        <v>1</v>
      </c>
      <c r="M275">
        <v>61</v>
      </c>
      <c r="N275" t="s">
        <v>81</v>
      </c>
      <c r="O275">
        <v>0.24099999999999999</v>
      </c>
      <c r="P275">
        <v>12879.04</v>
      </c>
      <c r="Q275">
        <f>(Table1[[#This Row],[Closing_Stock]]*Table1[[#This Row],[Unit_Cost_INR]])</f>
        <v>53440</v>
      </c>
      <c r="R275">
        <f>(Table1[[#This Row],[Unit_Cost_INR]]*Table1[[#This Row],[Consumption]])</f>
        <v>31730</v>
      </c>
      <c r="S275">
        <f>IFERROR(Table1[[#This Row],[Annual_Consumption_Value_INR]]/Table1[[#This Row],[Inventory_Value_INR]],0)</f>
        <v>0.59375</v>
      </c>
      <c r="T275">
        <f>IFERROR(365/Table1[[#This Row],[Inventory_Turnover]],0)</f>
        <v>614.73684210526312</v>
      </c>
      <c r="U275" t="str">
        <f>IF(Table1[[#This Row],[Consumption]]=0,"Non-Moving", IF(Table1[[#This Row],[Days_Since_Last_Movement]]&gt;90,"Slow-Moving","Active"))</f>
        <v>Active</v>
      </c>
      <c r="V275">
        <f>SUM($Q$2:Q275)</f>
        <v>70098650</v>
      </c>
      <c r="W275">
        <f>Table1[[#This Row],[Cumulative_Inventory_Value]]/$AP$3</f>
        <v>0.92606258480538506</v>
      </c>
      <c r="X275" t="str">
        <f>IF(Table1[[#This Row],[Cumulative_Value_%]]&lt;80%,"A", IF(Table1[[#This Row],[Cumulative_Value_%]]&lt;=95%,"B","C"))</f>
        <v>B</v>
      </c>
      <c r="Y275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275">
        <f>Table1[[#This Row],[Consumption]]/365</f>
        <v>5.2054794520547946E-2</v>
      </c>
      <c r="AA275">
        <f>Table1[[#This Row],[Avg_Daily_Consumption]]*Table1[[#This Row],[Lead_Time_Days]]+Table1[[#This Row],[Safety_Stock]]</f>
        <v>1.6767123287671233</v>
      </c>
      <c r="AB275">
        <f>IFERROR(Table1[[#This Row],[Closing_Stock]]/Table1[[#This Row],[Avg_Daily_Consumption]],9999)</f>
        <v>614.73684210526312</v>
      </c>
      <c r="AC275">
        <f>MAX(1,ROUNDUP(Table1[[#This Row],[Avg_Daily_Consumption]]*Table1[[#This Row],[Lead_Time_Days]]*0.8,0))</f>
        <v>1</v>
      </c>
      <c r="AD275" t="str">
        <f>IF(Table1[[#This Row],[Closing_Stock]]&lt;Table1[[#This Row],[Reorder_Point]],"Stock-out Risk","Adequate")</f>
        <v>Adequate</v>
      </c>
      <c r="AE275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275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275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275" s="11">
        <f>MAX(0,Table1[[#This Row],[Closing_Stock]]-Table1[[#This Row],[Reorder_Point]])</f>
        <v>30.323287671232876</v>
      </c>
      <c r="AI275" s="11">
        <f>Table1[[#This Row],[Excess_Stock_Units]]*Table1[[#This Row],[Unit_Cost_INR]]</f>
        <v>50639.890410958906</v>
      </c>
      <c r="AJ275" s="11">
        <f>IF(Table1[[#This Row],[Criticality]]="Critical",0,Table1[[#This Row],[Excess_Inventory_Value_INR]])</f>
        <v>50639.890410958906</v>
      </c>
      <c r="AK275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276" spans="1:37" x14ac:dyDescent="0.25">
      <c r="A276" t="s">
        <v>546</v>
      </c>
      <c r="B276" t="s">
        <v>95</v>
      </c>
      <c r="C276" t="s">
        <v>26</v>
      </c>
      <c r="D276" t="s">
        <v>42</v>
      </c>
      <c r="E276" t="s">
        <v>22</v>
      </c>
      <c r="F276">
        <v>14</v>
      </c>
      <c r="G276">
        <v>19</v>
      </c>
      <c r="H276">
        <v>16</v>
      </c>
      <c r="I276">
        <v>17</v>
      </c>
      <c r="J276">
        <v>3140</v>
      </c>
      <c r="K276">
        <v>24</v>
      </c>
      <c r="L276">
        <v>0</v>
      </c>
      <c r="M276">
        <v>16</v>
      </c>
      <c r="N276" t="s">
        <v>23</v>
      </c>
      <c r="O276">
        <v>0.253</v>
      </c>
      <c r="P276">
        <v>13505.14</v>
      </c>
      <c r="Q276">
        <f>(Table1[[#This Row],[Closing_Stock]]*Table1[[#This Row],[Unit_Cost_INR]])</f>
        <v>53380</v>
      </c>
      <c r="R276">
        <f>(Table1[[#This Row],[Unit_Cost_INR]]*Table1[[#This Row],[Consumption]])</f>
        <v>50240</v>
      </c>
      <c r="S276">
        <f>IFERROR(Table1[[#This Row],[Annual_Consumption_Value_INR]]/Table1[[#This Row],[Inventory_Value_INR]],0)</f>
        <v>0.94117647058823528</v>
      </c>
      <c r="T276">
        <f>IFERROR(365/Table1[[#This Row],[Inventory_Turnover]],0)</f>
        <v>387.8125</v>
      </c>
      <c r="U276" t="str">
        <f>IF(Table1[[#This Row],[Consumption]]=0,"Non-Moving", IF(Table1[[#This Row],[Days_Since_Last_Movement]]&gt;90,"Slow-Moving","Active"))</f>
        <v>Active</v>
      </c>
      <c r="V276">
        <f>SUM($Q$2:Q276)</f>
        <v>70152030</v>
      </c>
      <c r="W276">
        <f>Table1[[#This Row],[Cumulative_Inventory_Value]]/$AP$3</f>
        <v>0.92676777985232117</v>
      </c>
      <c r="X276" t="str">
        <f>IF(Table1[[#This Row],[Cumulative_Value_%]]&lt;80%,"A", IF(Table1[[#This Row],[Cumulative_Value_%]]&lt;=95%,"B","C"))</f>
        <v>B</v>
      </c>
      <c r="Y276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276">
        <f>Table1[[#This Row],[Consumption]]/365</f>
        <v>4.3835616438356165E-2</v>
      </c>
      <c r="AA276">
        <f>Table1[[#This Row],[Avg_Daily_Consumption]]*Table1[[#This Row],[Lead_Time_Days]]+Table1[[#This Row],[Safety_Stock]]</f>
        <v>2.0520547945205481</v>
      </c>
      <c r="AB276">
        <f>IFERROR(Table1[[#This Row],[Closing_Stock]]/Table1[[#This Row],[Avg_Daily_Consumption]],9999)</f>
        <v>387.8125</v>
      </c>
      <c r="AC276">
        <f>MAX(1,ROUNDUP(Table1[[#This Row],[Avg_Daily_Consumption]]*Table1[[#This Row],[Lead_Time_Days]]*0.8,0))</f>
        <v>1</v>
      </c>
      <c r="AD276" t="str">
        <f>IF(Table1[[#This Row],[Closing_Stock]]&lt;Table1[[#This Row],[Reorder_Point]],"Stock-out Risk","Adequate")</f>
        <v>Adequate</v>
      </c>
      <c r="AE276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276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276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276" s="11">
        <f>MAX(0,Table1[[#This Row],[Closing_Stock]]-Table1[[#This Row],[Reorder_Point]])</f>
        <v>14.947945205479453</v>
      </c>
      <c r="AI276" s="11">
        <f>Table1[[#This Row],[Excess_Stock_Units]]*Table1[[#This Row],[Unit_Cost_INR]]</f>
        <v>46936.547945205479</v>
      </c>
      <c r="AJ276" s="11">
        <f>IF(Table1[[#This Row],[Criticality]]="Critical",0,Table1[[#This Row],[Excess_Inventory_Value_INR]])</f>
        <v>46936.547945205479</v>
      </c>
      <c r="AK276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277" spans="1:37" x14ac:dyDescent="0.25">
      <c r="A277" t="s">
        <v>278</v>
      </c>
      <c r="B277" t="s">
        <v>73</v>
      </c>
      <c r="C277" t="s">
        <v>41</v>
      </c>
      <c r="D277" t="s">
        <v>42</v>
      </c>
      <c r="E277" t="s">
        <v>22</v>
      </c>
      <c r="F277">
        <v>61</v>
      </c>
      <c r="G277">
        <v>61</v>
      </c>
      <c r="H277">
        <v>71</v>
      </c>
      <c r="I277">
        <v>51</v>
      </c>
      <c r="J277">
        <v>1040</v>
      </c>
      <c r="K277">
        <v>23</v>
      </c>
      <c r="L277">
        <v>0</v>
      </c>
      <c r="M277">
        <v>34</v>
      </c>
      <c r="N277" t="s">
        <v>23</v>
      </c>
      <c r="O277">
        <v>0.218</v>
      </c>
      <c r="P277">
        <v>11562.72</v>
      </c>
      <c r="Q277">
        <f>(Table1[[#This Row],[Closing_Stock]]*Table1[[#This Row],[Unit_Cost_INR]])</f>
        <v>53040</v>
      </c>
      <c r="R277">
        <f>(Table1[[#This Row],[Unit_Cost_INR]]*Table1[[#This Row],[Consumption]])</f>
        <v>73840</v>
      </c>
      <c r="S277">
        <f>IFERROR(Table1[[#This Row],[Annual_Consumption_Value_INR]]/Table1[[#This Row],[Inventory_Value_INR]],0)</f>
        <v>1.392156862745098</v>
      </c>
      <c r="T277">
        <f>IFERROR(365/Table1[[#This Row],[Inventory_Turnover]],0)</f>
        <v>262.18309859154931</v>
      </c>
      <c r="U277" t="str">
        <f>IF(Table1[[#This Row],[Consumption]]=0,"Non-Moving", IF(Table1[[#This Row],[Days_Since_Last_Movement]]&gt;90,"Slow-Moving","Active"))</f>
        <v>Active</v>
      </c>
      <c r="V277">
        <f>SUM($Q$2:Q277)</f>
        <v>70205070</v>
      </c>
      <c r="W277">
        <f>Table1[[#This Row],[Cumulative_Inventory_Value]]/$AP$3</f>
        <v>0.92746848321106035</v>
      </c>
      <c r="X277" t="str">
        <f>IF(Table1[[#This Row],[Cumulative_Value_%]]&lt;80%,"A", IF(Table1[[#This Row],[Cumulative_Value_%]]&lt;=95%,"B","C"))</f>
        <v>B</v>
      </c>
      <c r="Y277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277">
        <f>Table1[[#This Row],[Consumption]]/365</f>
        <v>0.19452054794520549</v>
      </c>
      <c r="AA277">
        <f>Table1[[#This Row],[Avg_Daily_Consumption]]*Table1[[#This Row],[Lead_Time_Days]]+Table1[[#This Row],[Safety_Stock]]</f>
        <v>8.4739726027397264</v>
      </c>
      <c r="AB277">
        <f>IFERROR(Table1[[#This Row],[Closing_Stock]]/Table1[[#This Row],[Avg_Daily_Consumption]],9999)</f>
        <v>262.18309859154931</v>
      </c>
      <c r="AC277">
        <f>MAX(1,ROUNDUP(Table1[[#This Row],[Avg_Daily_Consumption]]*Table1[[#This Row],[Lead_Time_Days]]*0.8,0))</f>
        <v>4</v>
      </c>
      <c r="AD277" t="str">
        <f>IF(Table1[[#This Row],[Closing_Stock]]&lt;Table1[[#This Row],[Reorder_Point]],"Stock-out Risk","Adequate")</f>
        <v>Adequate</v>
      </c>
      <c r="AE277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277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277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277" s="11">
        <f>MAX(0,Table1[[#This Row],[Closing_Stock]]-Table1[[#This Row],[Reorder_Point]])</f>
        <v>42.526027397260272</v>
      </c>
      <c r="AI277" s="11">
        <f>Table1[[#This Row],[Excess_Stock_Units]]*Table1[[#This Row],[Unit_Cost_INR]]</f>
        <v>44227.068493150684</v>
      </c>
      <c r="AJ277" s="11">
        <f>IF(Table1[[#This Row],[Criticality]]="Critical",0,Table1[[#This Row],[Excess_Inventory_Value_INR]])</f>
        <v>44227.068493150684</v>
      </c>
      <c r="AK277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278" spans="1:37" x14ac:dyDescent="0.25">
      <c r="A278" t="s">
        <v>568</v>
      </c>
      <c r="B278" t="s">
        <v>126</v>
      </c>
      <c r="C278" t="s">
        <v>20</v>
      </c>
      <c r="D278" t="s">
        <v>66</v>
      </c>
      <c r="E278" t="s">
        <v>22</v>
      </c>
      <c r="F278">
        <v>20</v>
      </c>
      <c r="G278">
        <v>14</v>
      </c>
      <c r="H278">
        <v>8</v>
      </c>
      <c r="I278">
        <v>26</v>
      </c>
      <c r="J278">
        <v>2030</v>
      </c>
      <c r="K278">
        <v>37</v>
      </c>
      <c r="L278">
        <v>0</v>
      </c>
      <c r="M278">
        <v>160</v>
      </c>
      <c r="N278" t="s">
        <v>29</v>
      </c>
      <c r="O278">
        <v>0.26800000000000002</v>
      </c>
      <c r="P278">
        <v>14145.04</v>
      </c>
      <c r="Q278">
        <f>(Table1[[#This Row],[Closing_Stock]]*Table1[[#This Row],[Unit_Cost_INR]])</f>
        <v>52780</v>
      </c>
      <c r="R278">
        <f>(Table1[[#This Row],[Unit_Cost_INR]]*Table1[[#This Row],[Consumption]])</f>
        <v>16240</v>
      </c>
      <c r="S278">
        <f>IFERROR(Table1[[#This Row],[Annual_Consumption_Value_INR]]/Table1[[#This Row],[Inventory_Value_INR]],0)</f>
        <v>0.30769230769230771</v>
      </c>
      <c r="T278">
        <f>IFERROR(365/Table1[[#This Row],[Inventory_Turnover]],0)</f>
        <v>1186.25</v>
      </c>
      <c r="U278" t="str">
        <f>IF(Table1[[#This Row],[Consumption]]=0,"Non-Moving", IF(Table1[[#This Row],[Days_Since_Last_Movement]]&gt;90,"Slow-Moving","Active"))</f>
        <v>Slow-Moving</v>
      </c>
      <c r="V278">
        <f>SUM($Q$2:Q278)</f>
        <v>70257850</v>
      </c>
      <c r="W278">
        <f>Table1[[#This Row],[Cumulative_Inventory_Value]]/$AP$3</f>
        <v>0.92816575174941351</v>
      </c>
      <c r="X278" t="str">
        <f>IF(Table1[[#This Row],[Cumulative_Value_%]]&lt;80%,"A", IF(Table1[[#This Row],[Cumulative_Value_%]]&lt;=95%,"B","C"))</f>
        <v>B</v>
      </c>
      <c r="Y278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278">
        <f>Table1[[#This Row],[Consumption]]/365</f>
        <v>2.1917808219178082E-2</v>
      </c>
      <c r="AA278">
        <f>Table1[[#This Row],[Avg_Daily_Consumption]]*Table1[[#This Row],[Lead_Time_Days]]+Table1[[#This Row],[Safety_Stock]]</f>
        <v>1.810958904109589</v>
      </c>
      <c r="AB278">
        <f>IFERROR(Table1[[#This Row],[Closing_Stock]]/Table1[[#This Row],[Avg_Daily_Consumption]],9999)</f>
        <v>1186.25</v>
      </c>
      <c r="AC278">
        <f>MAX(1,ROUNDUP(Table1[[#This Row],[Avg_Daily_Consumption]]*Table1[[#This Row],[Lead_Time_Days]]*0.8,0))</f>
        <v>1</v>
      </c>
      <c r="AD278" t="str">
        <f>IF(Table1[[#This Row],[Closing_Stock]]&lt;Table1[[#This Row],[Reorder_Point]],"Stock-out Risk","Adequate")</f>
        <v>Adequate</v>
      </c>
      <c r="AE278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278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278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278" s="11">
        <f>MAX(0,Table1[[#This Row],[Closing_Stock]]-Table1[[#This Row],[Reorder_Point]])</f>
        <v>24.18904109589041</v>
      </c>
      <c r="AI278" s="11">
        <f>Table1[[#This Row],[Excess_Stock_Units]]*Table1[[#This Row],[Unit_Cost_INR]]</f>
        <v>49103.753424657531</v>
      </c>
      <c r="AJ278" s="11">
        <f>IF(Table1[[#This Row],[Criticality]]="Critical",0,Table1[[#This Row],[Excess_Inventory_Value_INR]])</f>
        <v>49103.753424657531</v>
      </c>
      <c r="AK278" s="11">
        <f>IF(AND(Table1[[#This Row],[Criticality]]&lt;&gt;"Critical",OR(Table1[[#This Row],[Movement_Class]]="Slow-Moving",Table1[[#This Row],[Movement_Class]]="Non-Moving")),Table1[[#This Row],[Excess_Inventory_Value_INR]],0)</f>
        <v>49103.753424657531</v>
      </c>
    </row>
    <row r="279" spans="1:37" x14ac:dyDescent="0.25">
      <c r="A279" t="s">
        <v>59</v>
      </c>
      <c r="B279" t="s">
        <v>25</v>
      </c>
      <c r="C279" t="s">
        <v>26</v>
      </c>
      <c r="D279" t="s">
        <v>60</v>
      </c>
      <c r="E279" t="s">
        <v>46</v>
      </c>
      <c r="F279">
        <v>28</v>
      </c>
      <c r="G279">
        <v>17</v>
      </c>
      <c r="H279">
        <v>16</v>
      </c>
      <c r="I279">
        <v>29</v>
      </c>
      <c r="J279">
        <v>1790</v>
      </c>
      <c r="K279">
        <v>31</v>
      </c>
      <c r="L279">
        <v>0</v>
      </c>
      <c r="M279">
        <v>138</v>
      </c>
      <c r="N279" t="s">
        <v>61</v>
      </c>
      <c r="O279">
        <v>0.152</v>
      </c>
      <c r="P279">
        <v>7890.32</v>
      </c>
      <c r="Q279">
        <f>(Table1[[#This Row],[Closing_Stock]]*Table1[[#This Row],[Unit_Cost_INR]])</f>
        <v>51910</v>
      </c>
      <c r="R279">
        <f>(Table1[[#This Row],[Unit_Cost_INR]]*Table1[[#This Row],[Consumption]])</f>
        <v>28640</v>
      </c>
      <c r="S279">
        <f>IFERROR(Table1[[#This Row],[Annual_Consumption_Value_INR]]/Table1[[#This Row],[Inventory_Value_INR]],0)</f>
        <v>0.55172413793103448</v>
      </c>
      <c r="T279">
        <f>IFERROR(365/Table1[[#This Row],[Inventory_Turnover]],0)</f>
        <v>661.5625</v>
      </c>
      <c r="U279" t="str">
        <f>IF(Table1[[#This Row],[Consumption]]=0,"Non-Moving", IF(Table1[[#This Row],[Days_Since_Last_Movement]]&gt;90,"Slow-Moving","Active"))</f>
        <v>Slow-Moving</v>
      </c>
      <c r="V279">
        <f>SUM($Q$2:Q279)</f>
        <v>70309760</v>
      </c>
      <c r="W279">
        <f>Table1[[#This Row],[Cumulative_Inventory_Value]]/$AP$3</f>
        <v>0.92885152685032124</v>
      </c>
      <c r="X279" t="str">
        <f>IF(Table1[[#This Row],[Cumulative_Value_%]]&lt;80%,"A", IF(Table1[[#This Row],[Cumulative_Value_%]]&lt;=95%,"B","C"))</f>
        <v>B</v>
      </c>
      <c r="Y279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279">
        <f>Table1[[#This Row],[Consumption]]/365</f>
        <v>4.3835616438356165E-2</v>
      </c>
      <c r="AA279">
        <f>Table1[[#This Row],[Avg_Daily_Consumption]]*Table1[[#This Row],[Lead_Time_Days]]+Table1[[#This Row],[Safety_Stock]]</f>
        <v>3.3589041095890408</v>
      </c>
      <c r="AB279">
        <f>IFERROR(Table1[[#This Row],[Closing_Stock]]/Table1[[#This Row],[Avg_Daily_Consumption]],9999)</f>
        <v>661.5625</v>
      </c>
      <c r="AC279">
        <f>MAX(1,ROUNDUP(Table1[[#This Row],[Avg_Daily_Consumption]]*Table1[[#This Row],[Lead_Time_Days]]*0.8,0))</f>
        <v>2</v>
      </c>
      <c r="AD279" t="str">
        <f>IF(Table1[[#This Row],[Closing_Stock]]&lt;Table1[[#This Row],[Reorder_Point]],"Stock-out Risk","Adequate")</f>
        <v>Adequate</v>
      </c>
      <c r="AE279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279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279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279" s="11">
        <f>MAX(0,Table1[[#This Row],[Closing_Stock]]-Table1[[#This Row],[Reorder_Point]])</f>
        <v>25.641095890410959</v>
      </c>
      <c r="AI279" s="11">
        <f>Table1[[#This Row],[Excess_Stock_Units]]*Table1[[#This Row],[Unit_Cost_INR]]</f>
        <v>45897.561643835616</v>
      </c>
      <c r="AJ279" s="11">
        <f>IF(Table1[[#This Row],[Criticality]]="Critical",0,Table1[[#This Row],[Excess_Inventory_Value_INR]])</f>
        <v>45897.561643835616</v>
      </c>
      <c r="AK279" s="11">
        <f>IF(AND(Table1[[#This Row],[Criticality]]&lt;&gt;"Critical",OR(Table1[[#This Row],[Movement_Class]]="Slow-Moving",Table1[[#This Row],[Movement_Class]]="Non-Moving")),Table1[[#This Row],[Excess_Inventory_Value_INR]],0)</f>
        <v>45897.561643835616</v>
      </c>
    </row>
    <row r="280" spans="1:37" x14ac:dyDescent="0.25">
      <c r="A280" t="s">
        <v>291</v>
      </c>
      <c r="B280" t="s">
        <v>113</v>
      </c>
      <c r="C280" t="s">
        <v>36</v>
      </c>
      <c r="D280" t="s">
        <v>66</v>
      </c>
      <c r="E280" t="s">
        <v>28</v>
      </c>
      <c r="F280">
        <v>28</v>
      </c>
      <c r="G280">
        <v>17</v>
      </c>
      <c r="H280">
        <v>14</v>
      </c>
      <c r="I280">
        <v>31</v>
      </c>
      <c r="J280">
        <v>1660</v>
      </c>
      <c r="K280">
        <v>35</v>
      </c>
      <c r="L280">
        <v>0</v>
      </c>
      <c r="M280">
        <v>15</v>
      </c>
      <c r="N280" t="s">
        <v>38</v>
      </c>
      <c r="O280">
        <v>0.16500000000000001</v>
      </c>
      <c r="P280">
        <v>8490.9</v>
      </c>
      <c r="Q280">
        <f>(Table1[[#This Row],[Closing_Stock]]*Table1[[#This Row],[Unit_Cost_INR]])</f>
        <v>51460</v>
      </c>
      <c r="R280">
        <f>(Table1[[#This Row],[Unit_Cost_INR]]*Table1[[#This Row],[Consumption]])</f>
        <v>23240</v>
      </c>
      <c r="S280">
        <f>IFERROR(Table1[[#This Row],[Annual_Consumption_Value_INR]]/Table1[[#This Row],[Inventory_Value_INR]],0)</f>
        <v>0.45161290322580644</v>
      </c>
      <c r="T280">
        <f>IFERROR(365/Table1[[#This Row],[Inventory_Turnover]],0)</f>
        <v>808.21428571428578</v>
      </c>
      <c r="U280" t="str">
        <f>IF(Table1[[#This Row],[Consumption]]=0,"Non-Moving", IF(Table1[[#This Row],[Days_Since_Last_Movement]]&gt;90,"Slow-Moving","Active"))</f>
        <v>Active</v>
      </c>
      <c r="V280">
        <f>SUM($Q$2:Q280)</f>
        <v>70361220</v>
      </c>
      <c r="W280">
        <f>Table1[[#This Row],[Cumulative_Inventory_Value]]/$AP$3</f>
        <v>0.92953135706979173</v>
      </c>
      <c r="X280" t="str">
        <f>IF(Table1[[#This Row],[Cumulative_Value_%]]&lt;80%,"A", IF(Table1[[#This Row],[Cumulative_Value_%]]&lt;=95%,"B","C"))</f>
        <v>B</v>
      </c>
      <c r="Y280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280">
        <f>Table1[[#This Row],[Consumption]]/365</f>
        <v>3.8356164383561646E-2</v>
      </c>
      <c r="AA280">
        <f>Table1[[#This Row],[Avg_Daily_Consumption]]*Table1[[#This Row],[Lead_Time_Days]]+Table1[[#This Row],[Safety_Stock]]</f>
        <v>3.3424657534246576</v>
      </c>
      <c r="AB280">
        <f>IFERROR(Table1[[#This Row],[Closing_Stock]]/Table1[[#This Row],[Avg_Daily_Consumption]],9999)</f>
        <v>808.21428571428567</v>
      </c>
      <c r="AC280">
        <f>MAX(1,ROUNDUP(Table1[[#This Row],[Avg_Daily_Consumption]]*Table1[[#This Row],[Lead_Time_Days]]*0.8,0))</f>
        <v>2</v>
      </c>
      <c r="AD280" t="str">
        <f>IF(Table1[[#This Row],[Closing_Stock]]&lt;Table1[[#This Row],[Reorder_Point]],"Stock-out Risk","Adequate")</f>
        <v>Adequate</v>
      </c>
      <c r="AE280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280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280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280" s="11">
        <f>MAX(0,Table1[[#This Row],[Closing_Stock]]-Table1[[#This Row],[Reorder_Point]])</f>
        <v>27.657534246575342</v>
      </c>
      <c r="AI280" s="11">
        <f>Table1[[#This Row],[Excess_Stock_Units]]*Table1[[#This Row],[Unit_Cost_INR]]</f>
        <v>45911.506849315068</v>
      </c>
      <c r="AJ280" s="11">
        <f>IF(Table1[[#This Row],[Criticality]]="Critical",0,Table1[[#This Row],[Excess_Inventory_Value_INR]])</f>
        <v>45911.506849315068</v>
      </c>
      <c r="AK280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281" spans="1:37" x14ac:dyDescent="0.25">
      <c r="A281" t="s">
        <v>393</v>
      </c>
      <c r="B281" t="s">
        <v>150</v>
      </c>
      <c r="C281" t="s">
        <v>36</v>
      </c>
      <c r="D281" t="s">
        <v>45</v>
      </c>
      <c r="E281" t="s">
        <v>46</v>
      </c>
      <c r="F281">
        <v>18</v>
      </c>
      <c r="G281">
        <v>11</v>
      </c>
      <c r="H281">
        <v>8</v>
      </c>
      <c r="I281">
        <v>21</v>
      </c>
      <c r="J281">
        <v>2440</v>
      </c>
      <c r="K281">
        <v>22</v>
      </c>
      <c r="L281">
        <v>0</v>
      </c>
      <c r="M281">
        <v>229</v>
      </c>
      <c r="N281" t="s">
        <v>58</v>
      </c>
      <c r="O281">
        <v>0.17499999999999999</v>
      </c>
      <c r="P281">
        <v>8967</v>
      </c>
      <c r="Q281">
        <f>(Table1[[#This Row],[Closing_Stock]]*Table1[[#This Row],[Unit_Cost_INR]])</f>
        <v>51240</v>
      </c>
      <c r="R281">
        <f>(Table1[[#This Row],[Unit_Cost_INR]]*Table1[[#This Row],[Consumption]])</f>
        <v>19520</v>
      </c>
      <c r="S281">
        <f>IFERROR(Table1[[#This Row],[Annual_Consumption_Value_INR]]/Table1[[#This Row],[Inventory_Value_INR]],0)</f>
        <v>0.38095238095238093</v>
      </c>
      <c r="T281">
        <f>IFERROR(365/Table1[[#This Row],[Inventory_Turnover]],0)</f>
        <v>958.125</v>
      </c>
      <c r="U281" t="str">
        <f>IF(Table1[[#This Row],[Consumption]]=0,"Non-Moving", IF(Table1[[#This Row],[Days_Since_Last_Movement]]&gt;90,"Slow-Moving","Active"))</f>
        <v>Slow-Moving</v>
      </c>
      <c r="V281">
        <f>SUM($Q$2:Q281)</f>
        <v>70412460</v>
      </c>
      <c r="W281">
        <f>Table1[[#This Row],[Cumulative_Inventory_Value]]/$AP$3</f>
        <v>0.93020828090278174</v>
      </c>
      <c r="X281" t="str">
        <f>IF(Table1[[#This Row],[Cumulative_Value_%]]&lt;80%,"A", IF(Table1[[#This Row],[Cumulative_Value_%]]&lt;=95%,"B","C"))</f>
        <v>B</v>
      </c>
      <c r="Y281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281">
        <f>Table1[[#This Row],[Consumption]]/365</f>
        <v>2.1917808219178082E-2</v>
      </c>
      <c r="AA281">
        <f>Table1[[#This Row],[Avg_Daily_Consumption]]*Table1[[#This Row],[Lead_Time_Days]]+Table1[[#This Row],[Safety_Stock]]</f>
        <v>1.4821917808219178</v>
      </c>
      <c r="AB281">
        <f>IFERROR(Table1[[#This Row],[Closing_Stock]]/Table1[[#This Row],[Avg_Daily_Consumption]],9999)</f>
        <v>958.125</v>
      </c>
      <c r="AC281">
        <f>MAX(1,ROUNDUP(Table1[[#This Row],[Avg_Daily_Consumption]]*Table1[[#This Row],[Lead_Time_Days]]*0.8,0))</f>
        <v>1</v>
      </c>
      <c r="AD281" t="str">
        <f>IF(Table1[[#This Row],[Closing_Stock]]&lt;Table1[[#This Row],[Reorder_Point]],"Stock-out Risk","Adequate")</f>
        <v>Adequate</v>
      </c>
      <c r="AE281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281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281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281" s="11">
        <f>MAX(0,Table1[[#This Row],[Closing_Stock]]-Table1[[#This Row],[Reorder_Point]])</f>
        <v>19.517808219178082</v>
      </c>
      <c r="AI281" s="11">
        <f>Table1[[#This Row],[Excess_Stock_Units]]*Table1[[#This Row],[Unit_Cost_INR]]</f>
        <v>47623.452054794521</v>
      </c>
      <c r="AJ281" s="11">
        <f>IF(Table1[[#This Row],[Criticality]]="Critical",0,Table1[[#This Row],[Excess_Inventory_Value_INR]])</f>
        <v>47623.452054794521</v>
      </c>
      <c r="AK281" s="11">
        <f>IF(AND(Table1[[#This Row],[Criticality]]&lt;&gt;"Critical",OR(Table1[[#This Row],[Movement_Class]]="Slow-Moving",Table1[[#This Row],[Movement_Class]]="Non-Moving")),Table1[[#This Row],[Excess_Inventory_Value_INR]],0)</f>
        <v>47623.452054794521</v>
      </c>
    </row>
    <row r="282" spans="1:37" x14ac:dyDescent="0.25">
      <c r="A282" t="s">
        <v>560</v>
      </c>
      <c r="B282" t="s">
        <v>40</v>
      </c>
      <c r="C282" t="s">
        <v>41</v>
      </c>
      <c r="D282" t="s">
        <v>45</v>
      </c>
      <c r="E282" t="s">
        <v>22</v>
      </c>
      <c r="F282">
        <v>13</v>
      </c>
      <c r="G282">
        <v>4</v>
      </c>
      <c r="H282">
        <v>4</v>
      </c>
      <c r="I282">
        <v>13</v>
      </c>
      <c r="J282">
        <v>3870</v>
      </c>
      <c r="K282">
        <v>13</v>
      </c>
      <c r="L282">
        <v>0</v>
      </c>
      <c r="M282">
        <v>11</v>
      </c>
      <c r="N282" t="s">
        <v>29</v>
      </c>
      <c r="O282">
        <v>0.23899999999999999</v>
      </c>
      <c r="P282">
        <v>12024.09</v>
      </c>
      <c r="Q282">
        <f>(Table1[[#This Row],[Closing_Stock]]*Table1[[#This Row],[Unit_Cost_INR]])</f>
        <v>50310</v>
      </c>
      <c r="R282">
        <f>(Table1[[#This Row],[Unit_Cost_INR]]*Table1[[#This Row],[Consumption]])</f>
        <v>15480</v>
      </c>
      <c r="S282">
        <f>IFERROR(Table1[[#This Row],[Annual_Consumption_Value_INR]]/Table1[[#This Row],[Inventory_Value_INR]],0)</f>
        <v>0.30769230769230771</v>
      </c>
      <c r="T282">
        <f>IFERROR(365/Table1[[#This Row],[Inventory_Turnover]],0)</f>
        <v>1186.25</v>
      </c>
      <c r="U282" t="str">
        <f>IF(Table1[[#This Row],[Consumption]]=0,"Non-Moving", IF(Table1[[#This Row],[Days_Since_Last_Movement]]&gt;90,"Slow-Moving","Active"))</f>
        <v>Active</v>
      </c>
      <c r="V282">
        <f>SUM($Q$2:Q282)</f>
        <v>70462770</v>
      </c>
      <c r="W282">
        <f>Table1[[#This Row],[Cumulative_Inventory_Value]]/$AP$3</f>
        <v>0.93087291864746813</v>
      </c>
      <c r="X282" t="str">
        <f>IF(Table1[[#This Row],[Cumulative_Value_%]]&lt;80%,"A", IF(Table1[[#This Row],[Cumulative_Value_%]]&lt;=95%,"B","C"))</f>
        <v>B</v>
      </c>
      <c r="Y282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282">
        <f>Table1[[#This Row],[Consumption]]/365</f>
        <v>1.0958904109589041E-2</v>
      </c>
      <c r="AA282">
        <f>Table1[[#This Row],[Avg_Daily_Consumption]]*Table1[[#This Row],[Lead_Time_Days]]+Table1[[#This Row],[Safety_Stock]]</f>
        <v>1.1424657534246576</v>
      </c>
      <c r="AB282">
        <f>IFERROR(Table1[[#This Row],[Closing_Stock]]/Table1[[#This Row],[Avg_Daily_Consumption]],9999)</f>
        <v>1186.25</v>
      </c>
      <c r="AC282">
        <f>MAX(1,ROUNDUP(Table1[[#This Row],[Avg_Daily_Consumption]]*Table1[[#This Row],[Lead_Time_Days]]*0.8,0))</f>
        <v>1</v>
      </c>
      <c r="AD282" t="str">
        <f>IF(Table1[[#This Row],[Closing_Stock]]&lt;Table1[[#This Row],[Reorder_Point]],"Stock-out Risk","Adequate")</f>
        <v>Adequate</v>
      </c>
      <c r="AE282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282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282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282" s="11">
        <f>MAX(0,Table1[[#This Row],[Closing_Stock]]-Table1[[#This Row],[Reorder_Point]])</f>
        <v>11.857534246575343</v>
      </c>
      <c r="AI282" s="11">
        <f>Table1[[#This Row],[Excess_Stock_Units]]*Table1[[#This Row],[Unit_Cost_INR]]</f>
        <v>45888.657534246573</v>
      </c>
      <c r="AJ282" s="11">
        <f>IF(Table1[[#This Row],[Criticality]]="Critical",0,Table1[[#This Row],[Excess_Inventory_Value_INR]])</f>
        <v>45888.657534246573</v>
      </c>
      <c r="AK282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283" spans="1:37" x14ac:dyDescent="0.25">
      <c r="A283" t="s">
        <v>443</v>
      </c>
      <c r="B283" t="s">
        <v>104</v>
      </c>
      <c r="C283" t="s">
        <v>41</v>
      </c>
      <c r="D283" t="s">
        <v>60</v>
      </c>
      <c r="E283" t="s">
        <v>46</v>
      </c>
      <c r="F283">
        <v>57</v>
      </c>
      <c r="G283">
        <v>69</v>
      </c>
      <c r="H283">
        <v>52</v>
      </c>
      <c r="I283">
        <v>74</v>
      </c>
      <c r="J283">
        <v>670</v>
      </c>
      <c r="K283">
        <v>15</v>
      </c>
      <c r="L283">
        <v>0</v>
      </c>
      <c r="M283">
        <v>38</v>
      </c>
      <c r="N283" t="s">
        <v>58</v>
      </c>
      <c r="O283">
        <v>0.28100000000000003</v>
      </c>
      <c r="P283">
        <v>13931.98</v>
      </c>
      <c r="Q283">
        <f>(Table1[[#This Row],[Closing_Stock]]*Table1[[#This Row],[Unit_Cost_INR]])</f>
        <v>49580</v>
      </c>
      <c r="R283">
        <f>(Table1[[#This Row],[Unit_Cost_INR]]*Table1[[#This Row],[Consumption]])</f>
        <v>34840</v>
      </c>
      <c r="S283">
        <f>IFERROR(Table1[[#This Row],[Annual_Consumption_Value_INR]]/Table1[[#This Row],[Inventory_Value_INR]],0)</f>
        <v>0.70270270270270274</v>
      </c>
      <c r="T283">
        <f>IFERROR(365/Table1[[#This Row],[Inventory_Turnover]],0)</f>
        <v>519.42307692307691</v>
      </c>
      <c r="U283" t="str">
        <f>IF(Table1[[#This Row],[Consumption]]=0,"Non-Moving", IF(Table1[[#This Row],[Days_Since_Last_Movement]]&gt;90,"Slow-Moving","Active"))</f>
        <v>Active</v>
      </c>
      <c r="V283">
        <f>SUM($Q$2:Q283)</f>
        <v>70512350</v>
      </c>
      <c r="W283">
        <f>Table1[[#This Row],[Cumulative_Inventory_Value]]/$AP$3</f>
        <v>0.93152791247337852</v>
      </c>
      <c r="X283" t="str">
        <f>IF(Table1[[#This Row],[Cumulative_Value_%]]&lt;80%,"A", IF(Table1[[#This Row],[Cumulative_Value_%]]&lt;=95%,"B","C"))</f>
        <v>B</v>
      </c>
      <c r="Y283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283">
        <f>Table1[[#This Row],[Consumption]]/365</f>
        <v>0.14246575342465753</v>
      </c>
      <c r="AA283">
        <f>Table1[[#This Row],[Avg_Daily_Consumption]]*Table1[[#This Row],[Lead_Time_Days]]+Table1[[#This Row],[Safety_Stock]]</f>
        <v>4.1369863013698627</v>
      </c>
      <c r="AB283">
        <f>IFERROR(Table1[[#This Row],[Closing_Stock]]/Table1[[#This Row],[Avg_Daily_Consumption]],9999)</f>
        <v>519.42307692307691</v>
      </c>
      <c r="AC283">
        <f>MAX(1,ROUNDUP(Table1[[#This Row],[Avg_Daily_Consumption]]*Table1[[#This Row],[Lead_Time_Days]]*0.8,0))</f>
        <v>2</v>
      </c>
      <c r="AD283" t="str">
        <f>IF(Table1[[#This Row],[Closing_Stock]]&lt;Table1[[#This Row],[Reorder_Point]],"Stock-out Risk","Adequate")</f>
        <v>Adequate</v>
      </c>
      <c r="AE283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283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283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283" s="11">
        <f>MAX(0,Table1[[#This Row],[Closing_Stock]]-Table1[[#This Row],[Reorder_Point]])</f>
        <v>69.863013698630141</v>
      </c>
      <c r="AI283" s="11">
        <f>Table1[[#This Row],[Excess_Stock_Units]]*Table1[[#This Row],[Unit_Cost_INR]]</f>
        <v>46808.219178082196</v>
      </c>
      <c r="AJ283" s="11">
        <f>IF(Table1[[#This Row],[Criticality]]="Critical",0,Table1[[#This Row],[Excess_Inventory_Value_INR]])</f>
        <v>46808.219178082196</v>
      </c>
      <c r="AK283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284" spans="1:37" x14ac:dyDescent="0.25">
      <c r="A284" t="s">
        <v>570</v>
      </c>
      <c r="B284" t="s">
        <v>44</v>
      </c>
      <c r="C284" t="s">
        <v>41</v>
      </c>
      <c r="D284" t="s">
        <v>21</v>
      </c>
      <c r="E284" t="s">
        <v>22</v>
      </c>
      <c r="F284">
        <v>15</v>
      </c>
      <c r="G284">
        <v>5</v>
      </c>
      <c r="H284">
        <v>6</v>
      </c>
      <c r="I284">
        <v>14</v>
      </c>
      <c r="J284">
        <v>3540</v>
      </c>
      <c r="K284">
        <v>15</v>
      </c>
      <c r="L284">
        <v>0</v>
      </c>
      <c r="M284">
        <v>109</v>
      </c>
      <c r="N284" t="s">
        <v>33</v>
      </c>
      <c r="O284">
        <v>0.245</v>
      </c>
      <c r="P284">
        <v>12142.2</v>
      </c>
      <c r="Q284">
        <f>(Table1[[#This Row],[Closing_Stock]]*Table1[[#This Row],[Unit_Cost_INR]])</f>
        <v>49560</v>
      </c>
      <c r="R284">
        <f>(Table1[[#This Row],[Unit_Cost_INR]]*Table1[[#This Row],[Consumption]])</f>
        <v>21240</v>
      </c>
      <c r="S284">
        <f>IFERROR(Table1[[#This Row],[Annual_Consumption_Value_INR]]/Table1[[#This Row],[Inventory_Value_INR]],0)</f>
        <v>0.42857142857142855</v>
      </c>
      <c r="T284">
        <f>IFERROR(365/Table1[[#This Row],[Inventory_Turnover]],0)</f>
        <v>851.66666666666674</v>
      </c>
      <c r="U284" t="str">
        <f>IF(Table1[[#This Row],[Consumption]]=0,"Non-Moving", IF(Table1[[#This Row],[Days_Since_Last_Movement]]&gt;90,"Slow-Moving","Active"))</f>
        <v>Slow-Moving</v>
      </c>
      <c r="V284">
        <f>SUM($Q$2:Q284)</f>
        <v>70561910</v>
      </c>
      <c r="W284">
        <f>Table1[[#This Row],[Cumulative_Inventory_Value]]/$AP$3</f>
        <v>0.93218264208233603</v>
      </c>
      <c r="X284" t="str">
        <f>IF(Table1[[#This Row],[Cumulative_Value_%]]&lt;80%,"A", IF(Table1[[#This Row],[Cumulative_Value_%]]&lt;=95%,"B","C"))</f>
        <v>B</v>
      </c>
      <c r="Y284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284">
        <f>Table1[[#This Row],[Consumption]]/365</f>
        <v>1.643835616438356E-2</v>
      </c>
      <c r="AA284">
        <f>Table1[[#This Row],[Avg_Daily_Consumption]]*Table1[[#This Row],[Lead_Time_Days]]+Table1[[#This Row],[Safety_Stock]]</f>
        <v>1.2465753424657535</v>
      </c>
      <c r="AB284">
        <f>IFERROR(Table1[[#This Row],[Closing_Stock]]/Table1[[#This Row],[Avg_Daily_Consumption]],9999)</f>
        <v>851.66666666666674</v>
      </c>
      <c r="AC284">
        <f>MAX(1,ROUNDUP(Table1[[#This Row],[Avg_Daily_Consumption]]*Table1[[#This Row],[Lead_Time_Days]]*0.8,0))</f>
        <v>1</v>
      </c>
      <c r="AD284" t="str">
        <f>IF(Table1[[#This Row],[Closing_Stock]]&lt;Table1[[#This Row],[Reorder_Point]],"Stock-out Risk","Adequate")</f>
        <v>Adequate</v>
      </c>
      <c r="AE284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284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284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284" s="11">
        <f>MAX(0,Table1[[#This Row],[Closing_Stock]]-Table1[[#This Row],[Reorder_Point]])</f>
        <v>12.753424657534246</v>
      </c>
      <c r="AI284" s="11">
        <f>Table1[[#This Row],[Excess_Stock_Units]]*Table1[[#This Row],[Unit_Cost_INR]]</f>
        <v>45147.123287671231</v>
      </c>
      <c r="AJ284" s="11">
        <f>IF(Table1[[#This Row],[Criticality]]="Critical",0,Table1[[#This Row],[Excess_Inventory_Value_INR]])</f>
        <v>45147.123287671231</v>
      </c>
      <c r="AK284" s="11">
        <f>IF(AND(Table1[[#This Row],[Criticality]]&lt;&gt;"Critical",OR(Table1[[#This Row],[Movement_Class]]="Slow-Moving",Table1[[#This Row],[Movement_Class]]="Non-Moving")),Table1[[#This Row],[Excess_Inventory_Value_INR]],0)</f>
        <v>45147.123287671231</v>
      </c>
    </row>
    <row r="285" spans="1:37" x14ac:dyDescent="0.25">
      <c r="A285" t="s">
        <v>468</v>
      </c>
      <c r="B285" t="s">
        <v>93</v>
      </c>
      <c r="C285" t="s">
        <v>26</v>
      </c>
      <c r="D285" t="s">
        <v>42</v>
      </c>
      <c r="E285" t="s">
        <v>22</v>
      </c>
      <c r="F285">
        <v>14</v>
      </c>
      <c r="G285">
        <v>22</v>
      </c>
      <c r="H285">
        <v>3</v>
      </c>
      <c r="I285">
        <v>43</v>
      </c>
      <c r="J285">
        <v>1120</v>
      </c>
      <c r="K285">
        <v>31</v>
      </c>
      <c r="L285">
        <v>0</v>
      </c>
      <c r="M285">
        <v>354</v>
      </c>
      <c r="N285" t="s">
        <v>38</v>
      </c>
      <c r="O285">
        <v>0.28899999999999998</v>
      </c>
      <c r="P285">
        <v>13918.24</v>
      </c>
      <c r="Q285">
        <f>(Table1[[#This Row],[Closing_Stock]]*Table1[[#This Row],[Unit_Cost_INR]])</f>
        <v>48160</v>
      </c>
      <c r="R285">
        <f>(Table1[[#This Row],[Unit_Cost_INR]]*Table1[[#This Row],[Consumption]])</f>
        <v>3360</v>
      </c>
      <c r="S285">
        <f>IFERROR(Table1[[#This Row],[Annual_Consumption_Value_INR]]/Table1[[#This Row],[Inventory_Value_INR]],0)</f>
        <v>6.9767441860465115E-2</v>
      </c>
      <c r="T285">
        <f>IFERROR(365/Table1[[#This Row],[Inventory_Turnover]],0)</f>
        <v>5231.666666666667</v>
      </c>
      <c r="U285" t="str">
        <f>IF(Table1[[#This Row],[Consumption]]=0,"Non-Moving", IF(Table1[[#This Row],[Days_Since_Last_Movement]]&gt;90,"Slow-Moving","Active"))</f>
        <v>Slow-Moving</v>
      </c>
      <c r="V285">
        <f>SUM($Q$2:Q285)</f>
        <v>70610070</v>
      </c>
      <c r="W285">
        <f>Table1[[#This Row],[Cumulative_Inventory_Value]]/$AP$3</f>
        <v>0.93281887650459994</v>
      </c>
      <c r="X285" t="str">
        <f>IF(Table1[[#This Row],[Cumulative_Value_%]]&lt;80%,"A", IF(Table1[[#This Row],[Cumulative_Value_%]]&lt;=95%,"B","C"))</f>
        <v>B</v>
      </c>
      <c r="Y285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285">
        <f>Table1[[#This Row],[Consumption]]/365</f>
        <v>8.21917808219178E-3</v>
      </c>
      <c r="AA285">
        <f>Table1[[#This Row],[Avg_Daily_Consumption]]*Table1[[#This Row],[Lead_Time_Days]]+Table1[[#This Row],[Safety_Stock]]</f>
        <v>1.2547945205479452</v>
      </c>
      <c r="AB285">
        <f>IFERROR(Table1[[#This Row],[Closing_Stock]]/Table1[[#This Row],[Avg_Daily_Consumption]],9999)</f>
        <v>5231.666666666667</v>
      </c>
      <c r="AC285">
        <f>MAX(1,ROUNDUP(Table1[[#This Row],[Avg_Daily_Consumption]]*Table1[[#This Row],[Lead_Time_Days]]*0.8,0))</f>
        <v>1</v>
      </c>
      <c r="AD285" t="str">
        <f>IF(Table1[[#This Row],[Closing_Stock]]&lt;Table1[[#This Row],[Reorder_Point]],"Stock-out Risk","Adequate")</f>
        <v>Adequate</v>
      </c>
      <c r="AE285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285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285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285" s="11">
        <f>MAX(0,Table1[[#This Row],[Closing_Stock]]-Table1[[#This Row],[Reorder_Point]])</f>
        <v>41.745205479452054</v>
      </c>
      <c r="AI285" s="11">
        <f>Table1[[#This Row],[Excess_Stock_Units]]*Table1[[#This Row],[Unit_Cost_INR]]</f>
        <v>46754.630136986299</v>
      </c>
      <c r="AJ285" s="11">
        <f>IF(Table1[[#This Row],[Criticality]]="Critical",0,Table1[[#This Row],[Excess_Inventory_Value_INR]])</f>
        <v>46754.630136986299</v>
      </c>
      <c r="AK285" s="11">
        <f>IF(AND(Table1[[#This Row],[Criticality]]&lt;&gt;"Critical",OR(Table1[[#This Row],[Movement_Class]]="Slow-Moving",Table1[[#This Row],[Movement_Class]]="Non-Moving")),Table1[[#This Row],[Excess_Inventory_Value_INR]],0)</f>
        <v>46754.630136986299</v>
      </c>
    </row>
    <row r="286" spans="1:37" x14ac:dyDescent="0.25">
      <c r="A286" t="s">
        <v>389</v>
      </c>
      <c r="B286" t="s">
        <v>80</v>
      </c>
      <c r="C286" t="s">
        <v>20</v>
      </c>
      <c r="D286" t="s">
        <v>45</v>
      </c>
      <c r="E286" t="s">
        <v>28</v>
      </c>
      <c r="F286">
        <v>9</v>
      </c>
      <c r="G286">
        <v>17</v>
      </c>
      <c r="H286">
        <v>15</v>
      </c>
      <c r="I286">
        <v>11</v>
      </c>
      <c r="J286">
        <v>4370</v>
      </c>
      <c r="K286">
        <v>25</v>
      </c>
      <c r="L286">
        <v>0</v>
      </c>
      <c r="M286">
        <v>23</v>
      </c>
      <c r="N286" t="s">
        <v>61</v>
      </c>
      <c r="O286">
        <v>0.252</v>
      </c>
      <c r="P286">
        <v>12113.64</v>
      </c>
      <c r="Q286">
        <f>(Table1[[#This Row],[Closing_Stock]]*Table1[[#This Row],[Unit_Cost_INR]])</f>
        <v>48070</v>
      </c>
      <c r="R286">
        <f>(Table1[[#This Row],[Unit_Cost_INR]]*Table1[[#This Row],[Consumption]])</f>
        <v>65550</v>
      </c>
      <c r="S286">
        <f>IFERROR(Table1[[#This Row],[Annual_Consumption_Value_INR]]/Table1[[#This Row],[Inventory_Value_INR]],0)</f>
        <v>1.3636363636363635</v>
      </c>
      <c r="T286">
        <f>IFERROR(365/Table1[[#This Row],[Inventory_Turnover]],0)</f>
        <v>267.66666666666669</v>
      </c>
      <c r="U286" t="str">
        <f>IF(Table1[[#This Row],[Consumption]]=0,"Non-Moving", IF(Table1[[#This Row],[Days_Since_Last_Movement]]&gt;90,"Slow-Moving","Active"))</f>
        <v>Active</v>
      </c>
      <c r="V286">
        <f>SUM($Q$2:Q286)</f>
        <v>70658140</v>
      </c>
      <c r="W286">
        <f>Table1[[#This Row],[Cumulative_Inventory_Value]]/$AP$3</f>
        <v>0.93345392195057642</v>
      </c>
      <c r="X286" t="str">
        <f>IF(Table1[[#This Row],[Cumulative_Value_%]]&lt;80%,"A", IF(Table1[[#This Row],[Cumulative_Value_%]]&lt;=95%,"B","C"))</f>
        <v>B</v>
      </c>
      <c r="Y286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286">
        <f>Table1[[#This Row],[Consumption]]/365</f>
        <v>4.1095890410958902E-2</v>
      </c>
      <c r="AA286">
        <f>Table1[[#This Row],[Avg_Daily_Consumption]]*Table1[[#This Row],[Lead_Time_Days]]+Table1[[#This Row],[Safety_Stock]]</f>
        <v>2.0273972602739727</v>
      </c>
      <c r="AB286">
        <f>IFERROR(Table1[[#This Row],[Closing_Stock]]/Table1[[#This Row],[Avg_Daily_Consumption]],9999)</f>
        <v>267.66666666666669</v>
      </c>
      <c r="AC286">
        <f>MAX(1,ROUNDUP(Table1[[#This Row],[Avg_Daily_Consumption]]*Table1[[#This Row],[Lead_Time_Days]]*0.8,0))</f>
        <v>1</v>
      </c>
      <c r="AD286" t="str">
        <f>IF(Table1[[#This Row],[Closing_Stock]]&lt;Table1[[#This Row],[Reorder_Point]],"Stock-out Risk","Adequate")</f>
        <v>Adequate</v>
      </c>
      <c r="AE286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286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286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286" s="11">
        <f>MAX(0,Table1[[#This Row],[Closing_Stock]]-Table1[[#This Row],[Reorder_Point]])</f>
        <v>8.9726027397260282</v>
      </c>
      <c r="AI286" s="11">
        <f>Table1[[#This Row],[Excess_Stock_Units]]*Table1[[#This Row],[Unit_Cost_INR]]</f>
        <v>39210.273972602743</v>
      </c>
      <c r="AJ286" s="11">
        <f>IF(Table1[[#This Row],[Criticality]]="Critical",0,Table1[[#This Row],[Excess_Inventory_Value_INR]])</f>
        <v>39210.273972602743</v>
      </c>
      <c r="AK286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287" spans="1:37" x14ac:dyDescent="0.25">
      <c r="A287" t="s">
        <v>246</v>
      </c>
      <c r="B287" t="s">
        <v>40</v>
      </c>
      <c r="C287" t="s">
        <v>41</v>
      </c>
      <c r="D287" t="s">
        <v>60</v>
      </c>
      <c r="E287" t="s">
        <v>37</v>
      </c>
      <c r="F287">
        <v>14</v>
      </c>
      <c r="G287">
        <v>17</v>
      </c>
      <c r="H287">
        <v>14</v>
      </c>
      <c r="I287">
        <v>17</v>
      </c>
      <c r="J287">
        <v>2820</v>
      </c>
      <c r="K287">
        <v>39</v>
      </c>
      <c r="L287">
        <v>0</v>
      </c>
      <c r="M287">
        <v>113</v>
      </c>
      <c r="N287" t="s">
        <v>81</v>
      </c>
      <c r="O287">
        <v>0.23</v>
      </c>
      <c r="P287">
        <v>11026.2</v>
      </c>
      <c r="Q287">
        <f>(Table1[[#This Row],[Closing_Stock]]*Table1[[#This Row],[Unit_Cost_INR]])</f>
        <v>47940</v>
      </c>
      <c r="R287">
        <f>(Table1[[#This Row],[Unit_Cost_INR]]*Table1[[#This Row],[Consumption]])</f>
        <v>39480</v>
      </c>
      <c r="S287">
        <f>IFERROR(Table1[[#This Row],[Annual_Consumption_Value_INR]]/Table1[[#This Row],[Inventory_Value_INR]],0)</f>
        <v>0.82352941176470584</v>
      </c>
      <c r="T287">
        <f>IFERROR(365/Table1[[#This Row],[Inventory_Turnover]],0)</f>
        <v>443.21428571428572</v>
      </c>
      <c r="U287" t="str">
        <f>IF(Table1[[#This Row],[Consumption]]=0,"Non-Moving", IF(Table1[[#This Row],[Days_Since_Last_Movement]]&gt;90,"Slow-Moving","Active"))</f>
        <v>Slow-Moving</v>
      </c>
      <c r="V287">
        <f>SUM($Q$2:Q287)</f>
        <v>70706080</v>
      </c>
      <c r="W287">
        <f>Table1[[#This Row],[Cumulative_Inventory_Value]]/$AP$3</f>
        <v>0.93408724998635984</v>
      </c>
      <c r="X287" t="str">
        <f>IF(Table1[[#This Row],[Cumulative_Value_%]]&lt;80%,"A", IF(Table1[[#This Row],[Cumulative_Value_%]]&lt;=95%,"B","C"))</f>
        <v>B</v>
      </c>
      <c r="Y287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287">
        <f>Table1[[#This Row],[Consumption]]/365</f>
        <v>3.8356164383561646E-2</v>
      </c>
      <c r="AA287">
        <f>Table1[[#This Row],[Avg_Daily_Consumption]]*Table1[[#This Row],[Lead_Time_Days]]+Table1[[#This Row],[Safety_Stock]]</f>
        <v>3.4958904109589044</v>
      </c>
      <c r="AB287">
        <f>IFERROR(Table1[[#This Row],[Closing_Stock]]/Table1[[#This Row],[Avg_Daily_Consumption]],9999)</f>
        <v>443.21428571428567</v>
      </c>
      <c r="AC287">
        <f>MAX(1,ROUNDUP(Table1[[#This Row],[Avg_Daily_Consumption]]*Table1[[#This Row],[Lead_Time_Days]]*0.8,0))</f>
        <v>2</v>
      </c>
      <c r="AD287" t="str">
        <f>IF(Table1[[#This Row],[Closing_Stock]]&lt;Table1[[#This Row],[Reorder_Point]],"Stock-out Risk","Adequate")</f>
        <v>Adequate</v>
      </c>
      <c r="AE287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287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287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287" s="11">
        <f>MAX(0,Table1[[#This Row],[Closing_Stock]]-Table1[[#This Row],[Reorder_Point]])</f>
        <v>13.504109589041096</v>
      </c>
      <c r="AI287" s="11">
        <f>Table1[[#This Row],[Excess_Stock_Units]]*Table1[[#This Row],[Unit_Cost_INR]]</f>
        <v>38081.589041095889</v>
      </c>
      <c r="AJ287" s="11">
        <f>IF(Table1[[#This Row],[Criticality]]="Critical",0,Table1[[#This Row],[Excess_Inventory_Value_INR]])</f>
        <v>0</v>
      </c>
      <c r="AK287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288" spans="1:37" x14ac:dyDescent="0.25">
      <c r="A288" t="s">
        <v>74</v>
      </c>
      <c r="B288" t="s">
        <v>75</v>
      </c>
      <c r="C288" t="s">
        <v>36</v>
      </c>
      <c r="D288" t="s">
        <v>21</v>
      </c>
      <c r="E288" t="s">
        <v>46</v>
      </c>
      <c r="F288">
        <v>50</v>
      </c>
      <c r="G288">
        <v>87</v>
      </c>
      <c r="H288">
        <v>60</v>
      </c>
      <c r="I288">
        <v>77</v>
      </c>
      <c r="J288">
        <v>620</v>
      </c>
      <c r="K288">
        <v>3</v>
      </c>
      <c r="L288">
        <v>0</v>
      </c>
      <c r="M288">
        <v>28</v>
      </c>
      <c r="N288" t="s">
        <v>49</v>
      </c>
      <c r="O288">
        <v>0.17599999999999999</v>
      </c>
      <c r="P288">
        <v>8402.24</v>
      </c>
      <c r="Q288">
        <f>(Table1[[#This Row],[Closing_Stock]]*Table1[[#This Row],[Unit_Cost_INR]])</f>
        <v>47740</v>
      </c>
      <c r="R288">
        <f>(Table1[[#This Row],[Unit_Cost_INR]]*Table1[[#This Row],[Consumption]])</f>
        <v>37200</v>
      </c>
      <c r="S288">
        <f>IFERROR(Table1[[#This Row],[Annual_Consumption_Value_INR]]/Table1[[#This Row],[Inventory_Value_INR]],0)</f>
        <v>0.77922077922077926</v>
      </c>
      <c r="T288">
        <f>IFERROR(365/Table1[[#This Row],[Inventory_Turnover]],0)</f>
        <v>468.41666666666663</v>
      </c>
      <c r="U288" t="str">
        <f>IF(Table1[[#This Row],[Consumption]]=0,"Non-Moving", IF(Table1[[#This Row],[Days_Since_Last_Movement]]&gt;90,"Slow-Moving","Active"))</f>
        <v>Active</v>
      </c>
      <c r="V288">
        <f>SUM($Q$2:Q288)</f>
        <v>70753820</v>
      </c>
      <c r="W288">
        <f>Table1[[#This Row],[Cumulative_Inventory_Value]]/$AP$3</f>
        <v>0.93471793585261553</v>
      </c>
      <c r="X288" t="str">
        <f>IF(Table1[[#This Row],[Cumulative_Value_%]]&lt;80%,"A", IF(Table1[[#This Row],[Cumulative_Value_%]]&lt;=95%,"B","C"))</f>
        <v>B</v>
      </c>
      <c r="Y288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288">
        <f>Table1[[#This Row],[Consumption]]/365</f>
        <v>0.16438356164383561</v>
      </c>
      <c r="AA288">
        <f>Table1[[#This Row],[Avg_Daily_Consumption]]*Table1[[#This Row],[Lead_Time_Days]]+Table1[[#This Row],[Safety_Stock]]</f>
        <v>1.4931506849315068</v>
      </c>
      <c r="AB288">
        <f>IFERROR(Table1[[#This Row],[Closing_Stock]]/Table1[[#This Row],[Avg_Daily_Consumption]],9999)</f>
        <v>468.41666666666669</v>
      </c>
      <c r="AC288">
        <f>MAX(1,ROUNDUP(Table1[[#This Row],[Avg_Daily_Consumption]]*Table1[[#This Row],[Lead_Time_Days]]*0.8,0))</f>
        <v>1</v>
      </c>
      <c r="AD288" t="str">
        <f>IF(Table1[[#This Row],[Closing_Stock]]&lt;Table1[[#This Row],[Reorder_Point]],"Stock-out Risk","Adequate")</f>
        <v>Adequate</v>
      </c>
      <c r="AE288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288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288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288" s="11">
        <f>MAX(0,Table1[[#This Row],[Closing_Stock]]-Table1[[#This Row],[Reorder_Point]])</f>
        <v>75.506849315068493</v>
      </c>
      <c r="AI288" s="11">
        <f>Table1[[#This Row],[Excess_Stock_Units]]*Table1[[#This Row],[Unit_Cost_INR]]</f>
        <v>46814.246575342462</v>
      </c>
      <c r="AJ288" s="11">
        <f>IF(Table1[[#This Row],[Criticality]]="Critical",0,Table1[[#This Row],[Excess_Inventory_Value_INR]])</f>
        <v>46814.246575342462</v>
      </c>
      <c r="AK288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289" spans="1:37" x14ac:dyDescent="0.25">
      <c r="A289" t="s">
        <v>130</v>
      </c>
      <c r="B289" t="s">
        <v>80</v>
      </c>
      <c r="C289" t="s">
        <v>20</v>
      </c>
      <c r="D289" t="s">
        <v>21</v>
      </c>
      <c r="E289" t="s">
        <v>22</v>
      </c>
      <c r="F289">
        <v>8</v>
      </c>
      <c r="G289">
        <v>48</v>
      </c>
      <c r="H289">
        <v>34</v>
      </c>
      <c r="I289">
        <v>22</v>
      </c>
      <c r="J289">
        <v>2170</v>
      </c>
      <c r="K289">
        <v>28</v>
      </c>
      <c r="L289">
        <v>0</v>
      </c>
      <c r="M289">
        <v>98</v>
      </c>
      <c r="N289" t="s">
        <v>58</v>
      </c>
      <c r="O289">
        <v>0.189</v>
      </c>
      <c r="P289">
        <v>9022.86</v>
      </c>
      <c r="Q289">
        <f>(Table1[[#This Row],[Closing_Stock]]*Table1[[#This Row],[Unit_Cost_INR]])</f>
        <v>47740</v>
      </c>
      <c r="R289">
        <f>(Table1[[#This Row],[Unit_Cost_INR]]*Table1[[#This Row],[Consumption]])</f>
        <v>73780</v>
      </c>
      <c r="S289">
        <f>IFERROR(Table1[[#This Row],[Annual_Consumption_Value_INR]]/Table1[[#This Row],[Inventory_Value_INR]],0)</f>
        <v>1.5454545454545454</v>
      </c>
      <c r="T289">
        <f>IFERROR(365/Table1[[#This Row],[Inventory_Turnover]],0)</f>
        <v>236.1764705882353</v>
      </c>
      <c r="U289" t="str">
        <f>IF(Table1[[#This Row],[Consumption]]=0,"Non-Moving", IF(Table1[[#This Row],[Days_Since_Last_Movement]]&gt;90,"Slow-Moving","Active"))</f>
        <v>Slow-Moving</v>
      </c>
      <c r="V289">
        <f>SUM($Q$2:Q289)</f>
        <v>70801560</v>
      </c>
      <c r="W289">
        <f>Table1[[#This Row],[Cumulative_Inventory_Value]]/$AP$3</f>
        <v>0.93534862171887134</v>
      </c>
      <c r="X289" t="str">
        <f>IF(Table1[[#This Row],[Cumulative_Value_%]]&lt;80%,"A", IF(Table1[[#This Row],[Cumulative_Value_%]]&lt;=95%,"B","C"))</f>
        <v>B</v>
      </c>
      <c r="Y289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289">
        <f>Table1[[#This Row],[Consumption]]/365</f>
        <v>9.3150684931506855E-2</v>
      </c>
      <c r="AA289">
        <f>Table1[[#This Row],[Avg_Daily_Consumption]]*Table1[[#This Row],[Lead_Time_Days]]+Table1[[#This Row],[Safety_Stock]]</f>
        <v>5.6082191780821917</v>
      </c>
      <c r="AB289">
        <f>IFERROR(Table1[[#This Row],[Closing_Stock]]/Table1[[#This Row],[Avg_Daily_Consumption]],9999)</f>
        <v>236.17647058823528</v>
      </c>
      <c r="AC289">
        <f>MAX(1,ROUNDUP(Table1[[#This Row],[Avg_Daily_Consumption]]*Table1[[#This Row],[Lead_Time_Days]]*0.8,0))</f>
        <v>3</v>
      </c>
      <c r="AD289" t="str">
        <f>IF(Table1[[#This Row],[Closing_Stock]]&lt;Table1[[#This Row],[Reorder_Point]],"Stock-out Risk","Adequate")</f>
        <v>Adequate</v>
      </c>
      <c r="AE289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289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289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289" s="11">
        <f>MAX(0,Table1[[#This Row],[Closing_Stock]]-Table1[[#This Row],[Reorder_Point]])</f>
        <v>16.391780821917809</v>
      </c>
      <c r="AI289" s="11">
        <f>Table1[[#This Row],[Excess_Stock_Units]]*Table1[[#This Row],[Unit_Cost_INR]]</f>
        <v>35570.164383561649</v>
      </c>
      <c r="AJ289" s="11">
        <f>IF(Table1[[#This Row],[Criticality]]="Critical",0,Table1[[#This Row],[Excess_Inventory_Value_INR]])</f>
        <v>35570.164383561649</v>
      </c>
      <c r="AK289" s="11">
        <f>IF(AND(Table1[[#This Row],[Criticality]]&lt;&gt;"Critical",OR(Table1[[#This Row],[Movement_Class]]="Slow-Moving",Table1[[#This Row],[Movement_Class]]="Non-Moving")),Table1[[#This Row],[Excess_Inventory_Value_INR]],0)</f>
        <v>35570.164383561649</v>
      </c>
    </row>
    <row r="290" spans="1:37" x14ac:dyDescent="0.25">
      <c r="A290" t="s">
        <v>369</v>
      </c>
      <c r="B290" t="s">
        <v>31</v>
      </c>
      <c r="C290" t="s">
        <v>32</v>
      </c>
      <c r="D290" t="s">
        <v>45</v>
      </c>
      <c r="E290" t="s">
        <v>46</v>
      </c>
      <c r="F290">
        <v>8</v>
      </c>
      <c r="G290">
        <v>28</v>
      </c>
      <c r="H290">
        <v>19</v>
      </c>
      <c r="I290">
        <v>17</v>
      </c>
      <c r="J290">
        <v>2800</v>
      </c>
      <c r="K290">
        <v>32</v>
      </c>
      <c r="L290">
        <v>0</v>
      </c>
      <c r="M290">
        <v>21</v>
      </c>
      <c r="N290" t="s">
        <v>61</v>
      </c>
      <c r="O290">
        <v>0.21</v>
      </c>
      <c r="P290">
        <v>9996</v>
      </c>
      <c r="Q290">
        <f>(Table1[[#This Row],[Closing_Stock]]*Table1[[#This Row],[Unit_Cost_INR]])</f>
        <v>47600</v>
      </c>
      <c r="R290">
        <f>(Table1[[#This Row],[Unit_Cost_INR]]*Table1[[#This Row],[Consumption]])</f>
        <v>53200</v>
      </c>
      <c r="S290">
        <f>IFERROR(Table1[[#This Row],[Annual_Consumption_Value_INR]]/Table1[[#This Row],[Inventory_Value_INR]],0)</f>
        <v>1.1176470588235294</v>
      </c>
      <c r="T290">
        <f>IFERROR(365/Table1[[#This Row],[Inventory_Turnover]],0)</f>
        <v>326.57894736842104</v>
      </c>
      <c r="U290" t="str">
        <f>IF(Table1[[#This Row],[Consumption]]=0,"Non-Moving", IF(Table1[[#This Row],[Days_Since_Last_Movement]]&gt;90,"Slow-Moving","Active"))</f>
        <v>Active</v>
      </c>
      <c r="V290">
        <f>SUM($Q$2:Q290)</f>
        <v>70849160</v>
      </c>
      <c r="W290">
        <f>Table1[[#This Row],[Cumulative_Inventory_Value]]/$AP$3</f>
        <v>0.93597745806645771</v>
      </c>
      <c r="X290" t="str">
        <f>IF(Table1[[#This Row],[Cumulative_Value_%]]&lt;80%,"A", IF(Table1[[#This Row],[Cumulative_Value_%]]&lt;=95%,"B","C"))</f>
        <v>B</v>
      </c>
      <c r="Y290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290">
        <f>Table1[[#This Row],[Consumption]]/365</f>
        <v>5.2054794520547946E-2</v>
      </c>
      <c r="AA290">
        <f>Table1[[#This Row],[Avg_Daily_Consumption]]*Table1[[#This Row],[Lead_Time_Days]]+Table1[[#This Row],[Safety_Stock]]</f>
        <v>3.6657534246575345</v>
      </c>
      <c r="AB290">
        <f>IFERROR(Table1[[#This Row],[Closing_Stock]]/Table1[[#This Row],[Avg_Daily_Consumption]],9999)</f>
        <v>326.57894736842104</v>
      </c>
      <c r="AC290">
        <f>MAX(1,ROUNDUP(Table1[[#This Row],[Avg_Daily_Consumption]]*Table1[[#This Row],[Lead_Time_Days]]*0.8,0))</f>
        <v>2</v>
      </c>
      <c r="AD290" t="str">
        <f>IF(Table1[[#This Row],[Closing_Stock]]&lt;Table1[[#This Row],[Reorder_Point]],"Stock-out Risk","Adequate")</f>
        <v>Adequate</v>
      </c>
      <c r="AE290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290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290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290" s="11">
        <f>MAX(0,Table1[[#This Row],[Closing_Stock]]-Table1[[#This Row],[Reorder_Point]])</f>
        <v>13.334246575342465</v>
      </c>
      <c r="AI290" s="11">
        <f>Table1[[#This Row],[Excess_Stock_Units]]*Table1[[#This Row],[Unit_Cost_INR]]</f>
        <v>37335.890410958906</v>
      </c>
      <c r="AJ290" s="11">
        <f>IF(Table1[[#This Row],[Criticality]]="Critical",0,Table1[[#This Row],[Excess_Inventory_Value_INR]])</f>
        <v>37335.890410958906</v>
      </c>
      <c r="AK290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291" spans="1:37" x14ac:dyDescent="0.25">
      <c r="A291" t="s">
        <v>261</v>
      </c>
      <c r="B291" t="s">
        <v>75</v>
      </c>
      <c r="C291" t="s">
        <v>36</v>
      </c>
      <c r="D291" t="s">
        <v>42</v>
      </c>
      <c r="E291" t="s">
        <v>28</v>
      </c>
      <c r="F291">
        <v>18</v>
      </c>
      <c r="G291">
        <v>13</v>
      </c>
      <c r="H291">
        <v>0</v>
      </c>
      <c r="I291">
        <v>21</v>
      </c>
      <c r="J291">
        <v>2260</v>
      </c>
      <c r="K291">
        <v>36</v>
      </c>
      <c r="L291">
        <v>0</v>
      </c>
      <c r="M291">
        <v>472</v>
      </c>
      <c r="N291" t="s">
        <v>61</v>
      </c>
      <c r="O291">
        <v>0.151</v>
      </c>
      <c r="P291">
        <v>7166.46</v>
      </c>
      <c r="Q291">
        <f>(Table1[[#This Row],[Closing_Stock]]*Table1[[#This Row],[Unit_Cost_INR]])</f>
        <v>47460</v>
      </c>
      <c r="R291">
        <f>(Table1[[#This Row],[Unit_Cost_INR]]*Table1[[#This Row],[Consumption]])</f>
        <v>0</v>
      </c>
      <c r="S291">
        <f>IFERROR(Table1[[#This Row],[Annual_Consumption_Value_INR]]/Table1[[#This Row],[Inventory_Value_INR]],0)</f>
        <v>0</v>
      </c>
      <c r="T291">
        <f>IFERROR(365/Table1[[#This Row],[Inventory_Turnover]],0)</f>
        <v>0</v>
      </c>
      <c r="U291" t="str">
        <f>IF(Table1[[#This Row],[Consumption]]=0,"Non-Moving", IF(Table1[[#This Row],[Days_Since_Last_Movement]]&gt;90,"Slow-Moving","Active"))</f>
        <v>Non-Moving</v>
      </c>
      <c r="V291">
        <f>SUM($Q$2:Q291)</f>
        <v>70896620</v>
      </c>
      <c r="W291">
        <f>Table1[[#This Row],[Cumulative_Inventory_Value]]/$AP$3</f>
        <v>0.93660444489537475</v>
      </c>
      <c r="X291" t="str">
        <f>IF(Table1[[#This Row],[Cumulative_Value_%]]&lt;80%,"A", IF(Table1[[#This Row],[Cumulative_Value_%]]&lt;=95%,"B","C"))</f>
        <v>B</v>
      </c>
      <c r="Y291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Review</v>
      </c>
      <c r="Z291">
        <f>Table1[[#This Row],[Consumption]]/365</f>
        <v>0</v>
      </c>
      <c r="AA291">
        <f>Table1[[#This Row],[Avg_Daily_Consumption]]*Table1[[#This Row],[Lead_Time_Days]]+Table1[[#This Row],[Safety_Stock]]</f>
        <v>1</v>
      </c>
      <c r="AB291">
        <f>IFERROR(Table1[[#This Row],[Closing_Stock]]/Table1[[#This Row],[Avg_Daily_Consumption]],9999)</f>
        <v>9999</v>
      </c>
      <c r="AC291">
        <f>MAX(1,ROUNDUP(Table1[[#This Row],[Avg_Daily_Consumption]]*Table1[[#This Row],[Lead_Time_Days]]*0.8,0))</f>
        <v>1</v>
      </c>
      <c r="AD291" t="str">
        <f>IF(Table1[[#This Row],[Closing_Stock]]&lt;Table1[[#This Row],[Reorder_Point]],"Stock-out Risk","Adequate")</f>
        <v>Adequate</v>
      </c>
      <c r="AE291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291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 for Disposal/De-procurement</v>
      </c>
      <c r="AG291">
        <f>IF(Table1[[#This Row],[Action_Recommendation]]="Review for Disposal/De-procurement",Table1[[#This Row],[Inventory_Value_INR]]*70%,IF(Table1[[#This Row],[Action_Recommendation]]="Review Safety Stock",Table1[[#This Row],[Inventory_Value_INR]]*20%,0))</f>
        <v>33222</v>
      </c>
      <c r="AH291" s="11">
        <f>MAX(0,Table1[[#This Row],[Closing_Stock]]-Table1[[#This Row],[Reorder_Point]])</f>
        <v>20</v>
      </c>
      <c r="AI291" s="11">
        <f>Table1[[#This Row],[Excess_Stock_Units]]*Table1[[#This Row],[Unit_Cost_INR]]</f>
        <v>45200</v>
      </c>
      <c r="AJ291" s="11">
        <f>IF(Table1[[#This Row],[Criticality]]="Critical",0,Table1[[#This Row],[Excess_Inventory_Value_INR]])</f>
        <v>45200</v>
      </c>
      <c r="AK291" s="11">
        <f>IF(AND(Table1[[#This Row],[Criticality]]&lt;&gt;"Critical",OR(Table1[[#This Row],[Movement_Class]]="Slow-Moving",Table1[[#This Row],[Movement_Class]]="Non-Moving")),Table1[[#This Row],[Excess_Inventory_Value_INR]],0)</f>
        <v>45200</v>
      </c>
    </row>
    <row r="292" spans="1:37" x14ac:dyDescent="0.25">
      <c r="A292" t="s">
        <v>545</v>
      </c>
      <c r="B292" t="s">
        <v>104</v>
      </c>
      <c r="C292" t="s">
        <v>41</v>
      </c>
      <c r="D292" t="s">
        <v>42</v>
      </c>
      <c r="E292" t="s">
        <v>28</v>
      </c>
      <c r="F292">
        <v>18</v>
      </c>
      <c r="G292">
        <v>14</v>
      </c>
      <c r="H292">
        <v>9</v>
      </c>
      <c r="I292">
        <v>23</v>
      </c>
      <c r="J292">
        <v>2050</v>
      </c>
      <c r="K292">
        <v>19</v>
      </c>
      <c r="L292">
        <v>0</v>
      </c>
      <c r="M292">
        <v>18</v>
      </c>
      <c r="N292" t="s">
        <v>81</v>
      </c>
      <c r="O292">
        <v>0.23799999999999999</v>
      </c>
      <c r="P292">
        <v>11221.7</v>
      </c>
      <c r="Q292">
        <f>(Table1[[#This Row],[Closing_Stock]]*Table1[[#This Row],[Unit_Cost_INR]])</f>
        <v>47150</v>
      </c>
      <c r="R292">
        <f>(Table1[[#This Row],[Unit_Cost_INR]]*Table1[[#This Row],[Consumption]])</f>
        <v>18450</v>
      </c>
      <c r="S292">
        <f>IFERROR(Table1[[#This Row],[Annual_Consumption_Value_INR]]/Table1[[#This Row],[Inventory_Value_INR]],0)</f>
        <v>0.39130434782608697</v>
      </c>
      <c r="T292">
        <f>IFERROR(365/Table1[[#This Row],[Inventory_Turnover]],0)</f>
        <v>932.77777777777771</v>
      </c>
      <c r="U292" t="str">
        <f>IF(Table1[[#This Row],[Consumption]]=0,"Non-Moving", IF(Table1[[#This Row],[Days_Since_Last_Movement]]&gt;90,"Slow-Moving","Active"))</f>
        <v>Active</v>
      </c>
      <c r="V292">
        <f>SUM($Q$2:Q292)</f>
        <v>70943770</v>
      </c>
      <c r="W292">
        <f>Table1[[#This Row],[Cumulative_Inventory_Value]]/$AP$3</f>
        <v>0.93722733636152378</v>
      </c>
      <c r="X292" t="str">
        <f>IF(Table1[[#This Row],[Cumulative_Value_%]]&lt;80%,"A", IF(Table1[[#This Row],[Cumulative_Value_%]]&lt;=95%,"B","C"))</f>
        <v>B</v>
      </c>
      <c r="Y292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292">
        <f>Table1[[#This Row],[Consumption]]/365</f>
        <v>2.4657534246575342E-2</v>
      </c>
      <c r="AA292">
        <f>Table1[[#This Row],[Avg_Daily_Consumption]]*Table1[[#This Row],[Lead_Time_Days]]+Table1[[#This Row],[Safety_Stock]]</f>
        <v>1.4684931506849315</v>
      </c>
      <c r="AB292">
        <f>IFERROR(Table1[[#This Row],[Closing_Stock]]/Table1[[#This Row],[Avg_Daily_Consumption]],9999)</f>
        <v>932.77777777777783</v>
      </c>
      <c r="AC292">
        <f>MAX(1,ROUNDUP(Table1[[#This Row],[Avg_Daily_Consumption]]*Table1[[#This Row],[Lead_Time_Days]]*0.8,0))</f>
        <v>1</v>
      </c>
      <c r="AD292" t="str">
        <f>IF(Table1[[#This Row],[Closing_Stock]]&lt;Table1[[#This Row],[Reorder_Point]],"Stock-out Risk","Adequate")</f>
        <v>Adequate</v>
      </c>
      <c r="AE292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292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292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292" s="11">
        <f>MAX(0,Table1[[#This Row],[Closing_Stock]]-Table1[[#This Row],[Reorder_Point]])</f>
        <v>21.531506849315068</v>
      </c>
      <c r="AI292" s="11">
        <f>Table1[[#This Row],[Excess_Stock_Units]]*Table1[[#This Row],[Unit_Cost_INR]]</f>
        <v>44139.589041095889</v>
      </c>
      <c r="AJ292" s="11">
        <f>IF(Table1[[#This Row],[Criticality]]="Critical",0,Table1[[#This Row],[Excess_Inventory_Value_INR]])</f>
        <v>44139.589041095889</v>
      </c>
      <c r="AK292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293" spans="1:37" x14ac:dyDescent="0.25">
      <c r="A293" t="s">
        <v>362</v>
      </c>
      <c r="B293" t="s">
        <v>54</v>
      </c>
      <c r="C293" t="s">
        <v>36</v>
      </c>
      <c r="D293" t="s">
        <v>21</v>
      </c>
      <c r="E293" t="s">
        <v>22</v>
      </c>
      <c r="F293">
        <v>10</v>
      </c>
      <c r="G293">
        <v>11</v>
      </c>
      <c r="H293">
        <v>8</v>
      </c>
      <c r="I293">
        <v>13</v>
      </c>
      <c r="J293">
        <v>3620</v>
      </c>
      <c r="K293">
        <v>10</v>
      </c>
      <c r="L293">
        <v>0</v>
      </c>
      <c r="M293">
        <v>10</v>
      </c>
      <c r="N293" t="s">
        <v>29</v>
      </c>
      <c r="O293">
        <v>0.27200000000000002</v>
      </c>
      <c r="P293">
        <v>12800.32</v>
      </c>
      <c r="Q293">
        <f>(Table1[[#This Row],[Closing_Stock]]*Table1[[#This Row],[Unit_Cost_INR]])</f>
        <v>47060</v>
      </c>
      <c r="R293">
        <f>(Table1[[#This Row],[Unit_Cost_INR]]*Table1[[#This Row],[Consumption]])</f>
        <v>28960</v>
      </c>
      <c r="S293">
        <f>IFERROR(Table1[[#This Row],[Annual_Consumption_Value_INR]]/Table1[[#This Row],[Inventory_Value_INR]],0)</f>
        <v>0.61538461538461542</v>
      </c>
      <c r="T293">
        <f>IFERROR(365/Table1[[#This Row],[Inventory_Turnover]],0)</f>
        <v>593.125</v>
      </c>
      <c r="U293" t="str">
        <f>IF(Table1[[#This Row],[Consumption]]=0,"Non-Moving", IF(Table1[[#This Row],[Days_Since_Last_Movement]]&gt;90,"Slow-Moving","Active"))</f>
        <v>Active</v>
      </c>
      <c r="V293">
        <f>SUM($Q$2:Q293)</f>
        <v>70990830</v>
      </c>
      <c r="W293">
        <f>Table1[[#This Row],[Cumulative_Inventory_Value]]/$AP$3</f>
        <v>0.93784903885138549</v>
      </c>
      <c r="X293" t="str">
        <f>IF(Table1[[#This Row],[Cumulative_Value_%]]&lt;80%,"A", IF(Table1[[#This Row],[Cumulative_Value_%]]&lt;=95%,"B","C"))</f>
        <v>B</v>
      </c>
      <c r="Y293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293">
        <f>Table1[[#This Row],[Consumption]]/365</f>
        <v>2.1917808219178082E-2</v>
      </c>
      <c r="AA293">
        <f>Table1[[#This Row],[Avg_Daily_Consumption]]*Table1[[#This Row],[Lead_Time_Days]]+Table1[[#This Row],[Safety_Stock]]</f>
        <v>1.2191780821917808</v>
      </c>
      <c r="AB293">
        <f>IFERROR(Table1[[#This Row],[Closing_Stock]]/Table1[[#This Row],[Avg_Daily_Consumption]],9999)</f>
        <v>593.125</v>
      </c>
      <c r="AC293">
        <f>MAX(1,ROUNDUP(Table1[[#This Row],[Avg_Daily_Consumption]]*Table1[[#This Row],[Lead_Time_Days]]*0.8,0))</f>
        <v>1</v>
      </c>
      <c r="AD293" t="str">
        <f>IF(Table1[[#This Row],[Closing_Stock]]&lt;Table1[[#This Row],[Reorder_Point]],"Stock-out Risk","Adequate")</f>
        <v>Adequate</v>
      </c>
      <c r="AE293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293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293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293" s="11">
        <f>MAX(0,Table1[[#This Row],[Closing_Stock]]-Table1[[#This Row],[Reorder_Point]])</f>
        <v>11.780821917808218</v>
      </c>
      <c r="AI293" s="11">
        <f>Table1[[#This Row],[Excess_Stock_Units]]*Table1[[#This Row],[Unit_Cost_INR]]</f>
        <v>42646.575342465752</v>
      </c>
      <c r="AJ293" s="11">
        <f>IF(Table1[[#This Row],[Criticality]]="Critical",0,Table1[[#This Row],[Excess_Inventory_Value_INR]])</f>
        <v>42646.575342465752</v>
      </c>
      <c r="AK293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294" spans="1:37" x14ac:dyDescent="0.25">
      <c r="A294" t="s">
        <v>324</v>
      </c>
      <c r="B294" t="s">
        <v>152</v>
      </c>
      <c r="C294" t="s">
        <v>20</v>
      </c>
      <c r="D294" t="s">
        <v>27</v>
      </c>
      <c r="E294" t="s">
        <v>28</v>
      </c>
      <c r="F294">
        <v>19</v>
      </c>
      <c r="G294">
        <v>8</v>
      </c>
      <c r="H294">
        <v>8</v>
      </c>
      <c r="I294">
        <v>19</v>
      </c>
      <c r="J294">
        <v>2440</v>
      </c>
      <c r="K294">
        <v>25</v>
      </c>
      <c r="L294">
        <v>0</v>
      </c>
      <c r="M294">
        <v>92</v>
      </c>
      <c r="N294" t="s">
        <v>38</v>
      </c>
      <c r="O294">
        <v>0.28100000000000003</v>
      </c>
      <c r="P294">
        <v>13027.16</v>
      </c>
      <c r="Q294">
        <f>(Table1[[#This Row],[Closing_Stock]]*Table1[[#This Row],[Unit_Cost_INR]])</f>
        <v>46360</v>
      </c>
      <c r="R294">
        <f>(Table1[[#This Row],[Unit_Cost_INR]]*Table1[[#This Row],[Consumption]])</f>
        <v>19520</v>
      </c>
      <c r="S294">
        <f>IFERROR(Table1[[#This Row],[Annual_Consumption_Value_INR]]/Table1[[#This Row],[Inventory_Value_INR]],0)</f>
        <v>0.42105263157894735</v>
      </c>
      <c r="T294">
        <f>IFERROR(365/Table1[[#This Row],[Inventory_Turnover]],0)</f>
        <v>866.875</v>
      </c>
      <c r="U294" t="str">
        <f>IF(Table1[[#This Row],[Consumption]]=0,"Non-Moving", IF(Table1[[#This Row],[Days_Since_Last_Movement]]&gt;90,"Slow-Moving","Active"))</f>
        <v>Slow-Moving</v>
      </c>
      <c r="V294">
        <f>SUM($Q$2:Q294)</f>
        <v>71037190</v>
      </c>
      <c r="W294">
        <f>Table1[[#This Row],[Cumulative_Inventory_Value]]/$AP$3</f>
        <v>0.93846149374790033</v>
      </c>
      <c r="X294" t="str">
        <f>IF(Table1[[#This Row],[Cumulative_Value_%]]&lt;80%,"A", IF(Table1[[#This Row],[Cumulative_Value_%]]&lt;=95%,"B","C"))</f>
        <v>B</v>
      </c>
      <c r="Y294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294">
        <f>Table1[[#This Row],[Consumption]]/365</f>
        <v>2.1917808219178082E-2</v>
      </c>
      <c r="AA294">
        <f>Table1[[#This Row],[Avg_Daily_Consumption]]*Table1[[#This Row],[Lead_Time_Days]]+Table1[[#This Row],[Safety_Stock]]</f>
        <v>1.547945205479452</v>
      </c>
      <c r="AB294">
        <f>IFERROR(Table1[[#This Row],[Closing_Stock]]/Table1[[#This Row],[Avg_Daily_Consumption]],9999)</f>
        <v>866.875</v>
      </c>
      <c r="AC294">
        <f>MAX(1,ROUNDUP(Table1[[#This Row],[Avg_Daily_Consumption]]*Table1[[#This Row],[Lead_Time_Days]]*0.8,0))</f>
        <v>1</v>
      </c>
      <c r="AD294" t="str">
        <f>IF(Table1[[#This Row],[Closing_Stock]]&lt;Table1[[#This Row],[Reorder_Point]],"Stock-out Risk","Adequate")</f>
        <v>Adequate</v>
      </c>
      <c r="AE294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294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294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294" s="11">
        <f>MAX(0,Table1[[#This Row],[Closing_Stock]]-Table1[[#This Row],[Reorder_Point]])</f>
        <v>17.452054794520549</v>
      </c>
      <c r="AI294" s="11">
        <f>Table1[[#This Row],[Excess_Stock_Units]]*Table1[[#This Row],[Unit_Cost_INR]]</f>
        <v>42583.013698630137</v>
      </c>
      <c r="AJ294" s="11">
        <f>IF(Table1[[#This Row],[Criticality]]="Critical",0,Table1[[#This Row],[Excess_Inventory_Value_INR]])</f>
        <v>42583.013698630137</v>
      </c>
      <c r="AK294" s="11">
        <f>IF(AND(Table1[[#This Row],[Criticality]]&lt;&gt;"Critical",OR(Table1[[#This Row],[Movement_Class]]="Slow-Moving",Table1[[#This Row],[Movement_Class]]="Non-Moving")),Table1[[#This Row],[Excess_Inventory_Value_INR]],0)</f>
        <v>42583.013698630137</v>
      </c>
    </row>
    <row r="295" spans="1:37" x14ac:dyDescent="0.25">
      <c r="A295" t="s">
        <v>116</v>
      </c>
      <c r="B295" t="s">
        <v>83</v>
      </c>
      <c r="C295" t="s">
        <v>32</v>
      </c>
      <c r="D295" t="s">
        <v>60</v>
      </c>
      <c r="E295" t="s">
        <v>22</v>
      </c>
      <c r="F295">
        <v>11</v>
      </c>
      <c r="G295">
        <v>6</v>
      </c>
      <c r="H295">
        <v>7</v>
      </c>
      <c r="I295">
        <v>10</v>
      </c>
      <c r="J295">
        <v>4600</v>
      </c>
      <c r="K295">
        <v>15</v>
      </c>
      <c r="L295">
        <v>0</v>
      </c>
      <c r="M295">
        <v>9</v>
      </c>
      <c r="N295" t="s">
        <v>38</v>
      </c>
      <c r="O295">
        <v>0.28599999999999998</v>
      </c>
      <c r="P295">
        <v>13156</v>
      </c>
      <c r="Q295">
        <f>(Table1[[#This Row],[Closing_Stock]]*Table1[[#This Row],[Unit_Cost_INR]])</f>
        <v>46000</v>
      </c>
      <c r="R295">
        <f>(Table1[[#This Row],[Unit_Cost_INR]]*Table1[[#This Row],[Consumption]])</f>
        <v>32200</v>
      </c>
      <c r="S295">
        <f>IFERROR(Table1[[#This Row],[Annual_Consumption_Value_INR]]/Table1[[#This Row],[Inventory_Value_INR]],0)</f>
        <v>0.7</v>
      </c>
      <c r="T295">
        <f>IFERROR(365/Table1[[#This Row],[Inventory_Turnover]],0)</f>
        <v>521.42857142857144</v>
      </c>
      <c r="U295" t="str">
        <f>IF(Table1[[#This Row],[Consumption]]=0,"Non-Moving", IF(Table1[[#This Row],[Days_Since_Last_Movement]]&gt;90,"Slow-Moving","Active"))</f>
        <v>Active</v>
      </c>
      <c r="V295">
        <f>SUM($Q$2:Q295)</f>
        <v>71083190</v>
      </c>
      <c r="W295">
        <f>Table1[[#This Row],[Cumulative_Inventory_Value]]/$AP$3</f>
        <v>0.93906919273926526</v>
      </c>
      <c r="X295" t="str">
        <f>IF(Table1[[#This Row],[Cumulative_Value_%]]&lt;80%,"A", IF(Table1[[#This Row],[Cumulative_Value_%]]&lt;=95%,"B","C"))</f>
        <v>B</v>
      </c>
      <c r="Y295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295">
        <f>Table1[[#This Row],[Consumption]]/365</f>
        <v>1.9178082191780823E-2</v>
      </c>
      <c r="AA295">
        <f>Table1[[#This Row],[Avg_Daily_Consumption]]*Table1[[#This Row],[Lead_Time_Days]]+Table1[[#This Row],[Safety_Stock]]</f>
        <v>1.2876712328767124</v>
      </c>
      <c r="AB295">
        <f>IFERROR(Table1[[#This Row],[Closing_Stock]]/Table1[[#This Row],[Avg_Daily_Consumption]],9999)</f>
        <v>521.42857142857144</v>
      </c>
      <c r="AC295">
        <f>MAX(1,ROUNDUP(Table1[[#This Row],[Avg_Daily_Consumption]]*Table1[[#This Row],[Lead_Time_Days]]*0.8,0))</f>
        <v>1</v>
      </c>
      <c r="AD295" t="str">
        <f>IF(Table1[[#This Row],[Closing_Stock]]&lt;Table1[[#This Row],[Reorder_Point]],"Stock-out Risk","Adequate")</f>
        <v>Adequate</v>
      </c>
      <c r="AE295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295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295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295" s="11">
        <f>MAX(0,Table1[[#This Row],[Closing_Stock]]-Table1[[#This Row],[Reorder_Point]])</f>
        <v>8.712328767123287</v>
      </c>
      <c r="AI295" s="11">
        <f>Table1[[#This Row],[Excess_Stock_Units]]*Table1[[#This Row],[Unit_Cost_INR]]</f>
        <v>40076.71232876712</v>
      </c>
      <c r="AJ295" s="11">
        <f>IF(Table1[[#This Row],[Criticality]]="Critical",0,Table1[[#This Row],[Excess_Inventory_Value_INR]])</f>
        <v>40076.71232876712</v>
      </c>
      <c r="AK295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296" spans="1:37" x14ac:dyDescent="0.25">
      <c r="A296" t="s">
        <v>289</v>
      </c>
      <c r="B296" t="s">
        <v>71</v>
      </c>
      <c r="C296" t="s">
        <v>20</v>
      </c>
      <c r="D296" t="s">
        <v>27</v>
      </c>
      <c r="E296" t="s">
        <v>22</v>
      </c>
      <c r="F296">
        <v>32</v>
      </c>
      <c r="G296">
        <v>61</v>
      </c>
      <c r="H296">
        <v>41</v>
      </c>
      <c r="I296">
        <v>52</v>
      </c>
      <c r="J296">
        <v>880</v>
      </c>
      <c r="K296">
        <v>16</v>
      </c>
      <c r="L296">
        <v>0</v>
      </c>
      <c r="M296">
        <v>12</v>
      </c>
      <c r="N296" t="s">
        <v>38</v>
      </c>
      <c r="O296">
        <v>0.25700000000000001</v>
      </c>
      <c r="P296">
        <v>11760.32</v>
      </c>
      <c r="Q296">
        <f>(Table1[[#This Row],[Closing_Stock]]*Table1[[#This Row],[Unit_Cost_INR]])</f>
        <v>45760</v>
      </c>
      <c r="R296">
        <f>(Table1[[#This Row],[Unit_Cost_INR]]*Table1[[#This Row],[Consumption]])</f>
        <v>36080</v>
      </c>
      <c r="S296">
        <f>IFERROR(Table1[[#This Row],[Annual_Consumption_Value_INR]]/Table1[[#This Row],[Inventory_Value_INR]],0)</f>
        <v>0.78846153846153844</v>
      </c>
      <c r="T296">
        <f>IFERROR(365/Table1[[#This Row],[Inventory_Turnover]],0)</f>
        <v>462.92682926829269</v>
      </c>
      <c r="U296" t="str">
        <f>IF(Table1[[#This Row],[Consumption]]=0,"Non-Moving", IF(Table1[[#This Row],[Days_Since_Last_Movement]]&gt;90,"Slow-Moving","Active"))</f>
        <v>Active</v>
      </c>
      <c r="V296">
        <f>SUM($Q$2:Q296)</f>
        <v>71128950</v>
      </c>
      <c r="W296">
        <f>Table1[[#This Row],[Cumulative_Inventory_Value]]/$AP$3</f>
        <v>0.93967372112719705</v>
      </c>
      <c r="X296" t="str">
        <f>IF(Table1[[#This Row],[Cumulative_Value_%]]&lt;80%,"A", IF(Table1[[#This Row],[Cumulative_Value_%]]&lt;=95%,"B","C"))</f>
        <v>B</v>
      </c>
      <c r="Y296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296">
        <f>Table1[[#This Row],[Consumption]]/365</f>
        <v>0.11232876712328767</v>
      </c>
      <c r="AA296">
        <f>Table1[[#This Row],[Avg_Daily_Consumption]]*Table1[[#This Row],[Lead_Time_Days]]+Table1[[#This Row],[Safety_Stock]]</f>
        <v>3.7972602739726025</v>
      </c>
      <c r="AB296">
        <f>IFERROR(Table1[[#This Row],[Closing_Stock]]/Table1[[#This Row],[Avg_Daily_Consumption]],9999)</f>
        <v>462.92682926829269</v>
      </c>
      <c r="AC296">
        <f>MAX(1,ROUNDUP(Table1[[#This Row],[Avg_Daily_Consumption]]*Table1[[#This Row],[Lead_Time_Days]]*0.8,0))</f>
        <v>2</v>
      </c>
      <c r="AD296" t="str">
        <f>IF(Table1[[#This Row],[Closing_Stock]]&lt;Table1[[#This Row],[Reorder_Point]],"Stock-out Risk","Adequate")</f>
        <v>Adequate</v>
      </c>
      <c r="AE296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296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296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296" s="11">
        <f>MAX(0,Table1[[#This Row],[Closing_Stock]]-Table1[[#This Row],[Reorder_Point]])</f>
        <v>48.202739726027396</v>
      </c>
      <c r="AI296" s="11">
        <f>Table1[[#This Row],[Excess_Stock_Units]]*Table1[[#This Row],[Unit_Cost_INR]]</f>
        <v>42418.410958904111</v>
      </c>
      <c r="AJ296" s="11">
        <f>IF(Table1[[#This Row],[Criticality]]="Critical",0,Table1[[#This Row],[Excess_Inventory_Value_INR]])</f>
        <v>42418.410958904111</v>
      </c>
      <c r="AK296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297" spans="1:37" x14ac:dyDescent="0.25">
      <c r="A297" t="s">
        <v>168</v>
      </c>
      <c r="B297" t="s">
        <v>19</v>
      </c>
      <c r="C297" t="s">
        <v>20</v>
      </c>
      <c r="D297" t="s">
        <v>60</v>
      </c>
      <c r="E297" t="s">
        <v>22</v>
      </c>
      <c r="F297">
        <v>17</v>
      </c>
      <c r="G297">
        <v>13</v>
      </c>
      <c r="H297">
        <v>8</v>
      </c>
      <c r="I297">
        <v>22</v>
      </c>
      <c r="J297">
        <v>2070</v>
      </c>
      <c r="K297">
        <v>24</v>
      </c>
      <c r="L297">
        <v>1</v>
      </c>
      <c r="M297">
        <v>138</v>
      </c>
      <c r="N297" t="s">
        <v>38</v>
      </c>
      <c r="O297">
        <v>0.18</v>
      </c>
      <c r="P297">
        <v>8197.1999999999989</v>
      </c>
      <c r="Q297">
        <f>(Table1[[#This Row],[Closing_Stock]]*Table1[[#This Row],[Unit_Cost_INR]])</f>
        <v>45540</v>
      </c>
      <c r="R297">
        <f>(Table1[[#This Row],[Unit_Cost_INR]]*Table1[[#This Row],[Consumption]])</f>
        <v>16560</v>
      </c>
      <c r="S297">
        <f>IFERROR(Table1[[#This Row],[Annual_Consumption_Value_INR]]/Table1[[#This Row],[Inventory_Value_INR]],0)</f>
        <v>0.36363636363636365</v>
      </c>
      <c r="T297">
        <f>IFERROR(365/Table1[[#This Row],[Inventory_Turnover]],0)</f>
        <v>1003.75</v>
      </c>
      <c r="U297" t="str">
        <f>IF(Table1[[#This Row],[Consumption]]=0,"Non-Moving", IF(Table1[[#This Row],[Days_Since_Last_Movement]]&gt;90,"Slow-Moving","Active"))</f>
        <v>Slow-Moving</v>
      </c>
      <c r="V297">
        <f>SUM($Q$2:Q297)</f>
        <v>71174490</v>
      </c>
      <c r="W297">
        <f>Table1[[#This Row],[Cumulative_Inventory_Value]]/$AP$3</f>
        <v>0.94027534312864847</v>
      </c>
      <c r="X297" t="str">
        <f>IF(Table1[[#This Row],[Cumulative_Value_%]]&lt;80%,"A", IF(Table1[[#This Row],[Cumulative_Value_%]]&lt;=95%,"B","C"))</f>
        <v>B</v>
      </c>
      <c r="Y297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297">
        <f>Table1[[#This Row],[Consumption]]/365</f>
        <v>2.1917808219178082E-2</v>
      </c>
      <c r="AA297">
        <f>Table1[[#This Row],[Avg_Daily_Consumption]]*Table1[[#This Row],[Lead_Time_Days]]+Table1[[#This Row],[Safety_Stock]]</f>
        <v>1.526027397260274</v>
      </c>
      <c r="AB297">
        <f>IFERROR(Table1[[#This Row],[Closing_Stock]]/Table1[[#This Row],[Avg_Daily_Consumption]],9999)</f>
        <v>1003.75</v>
      </c>
      <c r="AC297">
        <f>MAX(1,ROUNDUP(Table1[[#This Row],[Avg_Daily_Consumption]]*Table1[[#This Row],[Lead_Time_Days]]*0.8,0))</f>
        <v>1</v>
      </c>
      <c r="AD297" t="str">
        <f>IF(Table1[[#This Row],[Closing_Stock]]&lt;Table1[[#This Row],[Reorder_Point]],"Stock-out Risk","Adequate")</f>
        <v>Adequate</v>
      </c>
      <c r="AE297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297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297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297" s="11">
        <f>MAX(0,Table1[[#This Row],[Closing_Stock]]-Table1[[#This Row],[Reorder_Point]])</f>
        <v>20.473972602739725</v>
      </c>
      <c r="AI297" s="11">
        <f>Table1[[#This Row],[Excess_Stock_Units]]*Table1[[#This Row],[Unit_Cost_INR]]</f>
        <v>42381.123287671231</v>
      </c>
      <c r="AJ297" s="11">
        <f>IF(Table1[[#This Row],[Criticality]]="Critical",0,Table1[[#This Row],[Excess_Inventory_Value_INR]])</f>
        <v>42381.123287671231</v>
      </c>
      <c r="AK297" s="11">
        <f>IF(AND(Table1[[#This Row],[Criticality]]&lt;&gt;"Critical",OR(Table1[[#This Row],[Movement_Class]]="Slow-Moving",Table1[[#This Row],[Movement_Class]]="Non-Moving")),Table1[[#This Row],[Excess_Inventory_Value_INR]],0)</f>
        <v>42381.123287671231</v>
      </c>
    </row>
    <row r="298" spans="1:37" x14ac:dyDescent="0.25">
      <c r="A298" t="s">
        <v>207</v>
      </c>
      <c r="B298" t="s">
        <v>19</v>
      </c>
      <c r="C298" t="s">
        <v>20</v>
      </c>
      <c r="D298" t="s">
        <v>60</v>
      </c>
      <c r="E298" t="s">
        <v>37</v>
      </c>
      <c r="F298">
        <v>8</v>
      </c>
      <c r="G298">
        <v>7</v>
      </c>
      <c r="H298">
        <v>4</v>
      </c>
      <c r="I298">
        <v>11</v>
      </c>
      <c r="J298">
        <v>4090</v>
      </c>
      <c r="K298">
        <v>31</v>
      </c>
      <c r="L298">
        <v>0</v>
      </c>
      <c r="M298">
        <v>44</v>
      </c>
      <c r="N298" t="s">
        <v>29</v>
      </c>
      <c r="O298">
        <v>0.20100000000000001</v>
      </c>
      <c r="P298">
        <v>9042.99</v>
      </c>
      <c r="Q298">
        <f>(Table1[[#This Row],[Closing_Stock]]*Table1[[#This Row],[Unit_Cost_INR]])</f>
        <v>44990</v>
      </c>
      <c r="R298">
        <f>(Table1[[#This Row],[Unit_Cost_INR]]*Table1[[#This Row],[Consumption]])</f>
        <v>16360</v>
      </c>
      <c r="S298">
        <f>IFERROR(Table1[[#This Row],[Annual_Consumption_Value_INR]]/Table1[[#This Row],[Inventory_Value_INR]],0)</f>
        <v>0.36363636363636365</v>
      </c>
      <c r="T298">
        <f>IFERROR(365/Table1[[#This Row],[Inventory_Turnover]],0)</f>
        <v>1003.75</v>
      </c>
      <c r="U298" t="str">
        <f>IF(Table1[[#This Row],[Consumption]]=0,"Non-Moving", IF(Table1[[#This Row],[Days_Since_Last_Movement]]&gt;90,"Slow-Moving","Active"))</f>
        <v>Active</v>
      </c>
      <c r="V298">
        <f>SUM($Q$2:Q298)</f>
        <v>71219480</v>
      </c>
      <c r="W298">
        <f>Table1[[#This Row],[Cumulative_Inventory_Value]]/$AP$3</f>
        <v>0.94086969916389862</v>
      </c>
      <c r="X298" t="str">
        <f>IF(Table1[[#This Row],[Cumulative_Value_%]]&lt;80%,"A", IF(Table1[[#This Row],[Cumulative_Value_%]]&lt;=95%,"B","C"))</f>
        <v>B</v>
      </c>
      <c r="Y298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298">
        <f>Table1[[#This Row],[Consumption]]/365</f>
        <v>1.0958904109589041E-2</v>
      </c>
      <c r="AA298">
        <f>Table1[[#This Row],[Avg_Daily_Consumption]]*Table1[[#This Row],[Lead_Time_Days]]+Table1[[#This Row],[Safety_Stock]]</f>
        <v>1.3397260273972602</v>
      </c>
      <c r="AB298">
        <f>IFERROR(Table1[[#This Row],[Closing_Stock]]/Table1[[#This Row],[Avg_Daily_Consumption]],9999)</f>
        <v>1003.75</v>
      </c>
      <c r="AC298">
        <f>MAX(1,ROUNDUP(Table1[[#This Row],[Avg_Daily_Consumption]]*Table1[[#This Row],[Lead_Time_Days]]*0.8,0))</f>
        <v>1</v>
      </c>
      <c r="AD298" t="str">
        <f>IF(Table1[[#This Row],[Closing_Stock]]&lt;Table1[[#This Row],[Reorder_Point]],"Stock-out Risk","Adequate")</f>
        <v>Adequate</v>
      </c>
      <c r="AE298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298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298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298" s="11">
        <f>MAX(0,Table1[[#This Row],[Closing_Stock]]-Table1[[#This Row],[Reorder_Point]])</f>
        <v>9.6602739726027398</v>
      </c>
      <c r="AI298" s="11">
        <f>Table1[[#This Row],[Excess_Stock_Units]]*Table1[[#This Row],[Unit_Cost_INR]]</f>
        <v>39510.520547945205</v>
      </c>
      <c r="AJ298" s="11">
        <f>IF(Table1[[#This Row],[Criticality]]="Critical",0,Table1[[#This Row],[Excess_Inventory_Value_INR]])</f>
        <v>0</v>
      </c>
      <c r="AK298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299" spans="1:37" x14ac:dyDescent="0.25">
      <c r="A299" t="s">
        <v>342</v>
      </c>
      <c r="B299" t="s">
        <v>40</v>
      </c>
      <c r="C299" t="s">
        <v>41</v>
      </c>
      <c r="D299" t="s">
        <v>66</v>
      </c>
      <c r="E299" t="s">
        <v>37</v>
      </c>
      <c r="F299">
        <v>27</v>
      </c>
      <c r="G299">
        <v>18</v>
      </c>
      <c r="H299">
        <v>12</v>
      </c>
      <c r="I299">
        <v>33</v>
      </c>
      <c r="J299">
        <v>1360</v>
      </c>
      <c r="K299">
        <v>18</v>
      </c>
      <c r="L299">
        <v>0</v>
      </c>
      <c r="M299">
        <v>39</v>
      </c>
      <c r="N299" t="s">
        <v>29</v>
      </c>
      <c r="O299">
        <v>0.22500000000000001</v>
      </c>
      <c r="P299">
        <v>10098</v>
      </c>
      <c r="Q299">
        <f>(Table1[[#This Row],[Closing_Stock]]*Table1[[#This Row],[Unit_Cost_INR]])</f>
        <v>44880</v>
      </c>
      <c r="R299">
        <f>(Table1[[#This Row],[Unit_Cost_INR]]*Table1[[#This Row],[Consumption]])</f>
        <v>16320</v>
      </c>
      <c r="S299">
        <f>IFERROR(Table1[[#This Row],[Annual_Consumption_Value_INR]]/Table1[[#This Row],[Inventory_Value_INR]],0)</f>
        <v>0.36363636363636365</v>
      </c>
      <c r="T299">
        <f>IFERROR(365/Table1[[#This Row],[Inventory_Turnover]],0)</f>
        <v>1003.75</v>
      </c>
      <c r="U299" t="str">
        <f>IF(Table1[[#This Row],[Consumption]]=0,"Non-Moving", IF(Table1[[#This Row],[Days_Since_Last_Movement]]&gt;90,"Slow-Moving","Active"))</f>
        <v>Active</v>
      </c>
      <c r="V299">
        <f>SUM($Q$2:Q299)</f>
        <v>71264360</v>
      </c>
      <c r="W299">
        <f>Table1[[#This Row],[Cumulative_Inventory_Value]]/$AP$3</f>
        <v>0.9414626020059087</v>
      </c>
      <c r="X299" t="str">
        <f>IF(Table1[[#This Row],[Cumulative_Value_%]]&lt;80%,"A", IF(Table1[[#This Row],[Cumulative_Value_%]]&lt;=95%,"B","C"))</f>
        <v>B</v>
      </c>
      <c r="Y299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299">
        <f>Table1[[#This Row],[Consumption]]/365</f>
        <v>3.287671232876712E-2</v>
      </c>
      <c r="AA299">
        <f>Table1[[#This Row],[Avg_Daily_Consumption]]*Table1[[#This Row],[Lead_Time_Days]]+Table1[[#This Row],[Safety_Stock]]</f>
        <v>1.591780821917808</v>
      </c>
      <c r="AB299">
        <f>IFERROR(Table1[[#This Row],[Closing_Stock]]/Table1[[#This Row],[Avg_Daily_Consumption]],9999)</f>
        <v>1003.7500000000001</v>
      </c>
      <c r="AC299">
        <f>MAX(1,ROUNDUP(Table1[[#This Row],[Avg_Daily_Consumption]]*Table1[[#This Row],[Lead_Time_Days]]*0.8,0))</f>
        <v>1</v>
      </c>
      <c r="AD299" t="str">
        <f>IF(Table1[[#This Row],[Closing_Stock]]&lt;Table1[[#This Row],[Reorder_Point]],"Stock-out Risk","Adequate")</f>
        <v>Adequate</v>
      </c>
      <c r="AE299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299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299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299" s="11">
        <f>MAX(0,Table1[[#This Row],[Closing_Stock]]-Table1[[#This Row],[Reorder_Point]])</f>
        <v>31.408219178082192</v>
      </c>
      <c r="AI299" s="11">
        <f>Table1[[#This Row],[Excess_Stock_Units]]*Table1[[#This Row],[Unit_Cost_INR]]</f>
        <v>42715.178082191778</v>
      </c>
      <c r="AJ299" s="11">
        <f>IF(Table1[[#This Row],[Criticality]]="Critical",0,Table1[[#This Row],[Excess_Inventory_Value_INR]])</f>
        <v>0</v>
      </c>
      <c r="AK299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300" spans="1:37" x14ac:dyDescent="0.25">
      <c r="A300" t="s">
        <v>292</v>
      </c>
      <c r="B300" t="s">
        <v>51</v>
      </c>
      <c r="C300" t="s">
        <v>52</v>
      </c>
      <c r="D300" t="s">
        <v>21</v>
      </c>
      <c r="E300" t="s">
        <v>46</v>
      </c>
      <c r="F300">
        <v>17</v>
      </c>
      <c r="G300">
        <v>35</v>
      </c>
      <c r="H300">
        <v>24</v>
      </c>
      <c r="I300">
        <v>28</v>
      </c>
      <c r="J300">
        <v>1600</v>
      </c>
      <c r="K300">
        <v>23</v>
      </c>
      <c r="L300">
        <v>0</v>
      </c>
      <c r="M300">
        <v>258</v>
      </c>
      <c r="N300" t="s">
        <v>23</v>
      </c>
      <c r="O300">
        <v>0.28799999999999998</v>
      </c>
      <c r="P300">
        <v>12902.4</v>
      </c>
      <c r="Q300">
        <f>(Table1[[#This Row],[Closing_Stock]]*Table1[[#This Row],[Unit_Cost_INR]])</f>
        <v>44800</v>
      </c>
      <c r="R300">
        <f>(Table1[[#This Row],[Unit_Cost_INR]]*Table1[[#This Row],[Consumption]])</f>
        <v>38400</v>
      </c>
      <c r="S300">
        <f>IFERROR(Table1[[#This Row],[Annual_Consumption_Value_INR]]/Table1[[#This Row],[Inventory_Value_INR]],0)</f>
        <v>0.8571428571428571</v>
      </c>
      <c r="T300">
        <f>IFERROR(365/Table1[[#This Row],[Inventory_Turnover]],0)</f>
        <v>425.83333333333337</v>
      </c>
      <c r="U300" t="str">
        <f>IF(Table1[[#This Row],[Consumption]]=0,"Non-Moving", IF(Table1[[#This Row],[Days_Since_Last_Movement]]&gt;90,"Slow-Moving","Active"))</f>
        <v>Slow-Moving</v>
      </c>
      <c r="V300">
        <f>SUM($Q$2:Q300)</f>
        <v>71309160</v>
      </c>
      <c r="W300">
        <f>Table1[[#This Row],[Cumulative_Inventory_Value]]/$AP$3</f>
        <v>0.94205444798010762</v>
      </c>
      <c r="X300" t="str">
        <f>IF(Table1[[#This Row],[Cumulative_Value_%]]&lt;80%,"A", IF(Table1[[#This Row],[Cumulative_Value_%]]&lt;=95%,"B","C"))</f>
        <v>B</v>
      </c>
      <c r="Y300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300">
        <f>Table1[[#This Row],[Consumption]]/365</f>
        <v>6.575342465753424E-2</v>
      </c>
      <c r="AA300">
        <f>Table1[[#This Row],[Avg_Daily_Consumption]]*Table1[[#This Row],[Lead_Time_Days]]+Table1[[#This Row],[Safety_Stock]]</f>
        <v>3.5123287671232877</v>
      </c>
      <c r="AB300">
        <f>IFERROR(Table1[[#This Row],[Closing_Stock]]/Table1[[#This Row],[Avg_Daily_Consumption]],9999)</f>
        <v>425.83333333333337</v>
      </c>
      <c r="AC300">
        <f>MAX(1,ROUNDUP(Table1[[#This Row],[Avg_Daily_Consumption]]*Table1[[#This Row],[Lead_Time_Days]]*0.8,0))</f>
        <v>2</v>
      </c>
      <c r="AD300" t="str">
        <f>IF(Table1[[#This Row],[Closing_Stock]]&lt;Table1[[#This Row],[Reorder_Point]],"Stock-out Risk","Adequate")</f>
        <v>Adequate</v>
      </c>
      <c r="AE300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300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300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300" s="11">
        <f>MAX(0,Table1[[#This Row],[Closing_Stock]]-Table1[[#This Row],[Reorder_Point]])</f>
        <v>24.487671232876714</v>
      </c>
      <c r="AI300" s="11">
        <f>Table1[[#This Row],[Excess_Stock_Units]]*Table1[[#This Row],[Unit_Cost_INR]]</f>
        <v>39180.273972602743</v>
      </c>
      <c r="AJ300" s="11">
        <f>IF(Table1[[#This Row],[Criticality]]="Critical",0,Table1[[#This Row],[Excess_Inventory_Value_INR]])</f>
        <v>39180.273972602743</v>
      </c>
      <c r="AK300" s="11">
        <f>IF(AND(Table1[[#This Row],[Criticality]]&lt;&gt;"Critical",OR(Table1[[#This Row],[Movement_Class]]="Slow-Moving",Table1[[#This Row],[Movement_Class]]="Non-Moving")),Table1[[#This Row],[Excess_Inventory_Value_INR]],0)</f>
        <v>39180.273972602743</v>
      </c>
    </row>
    <row r="301" spans="1:37" x14ac:dyDescent="0.25">
      <c r="A301" t="s">
        <v>524</v>
      </c>
      <c r="B301" t="s">
        <v>75</v>
      </c>
      <c r="C301" t="s">
        <v>36</v>
      </c>
      <c r="D301" t="s">
        <v>60</v>
      </c>
      <c r="E301" t="s">
        <v>37</v>
      </c>
      <c r="F301">
        <v>13</v>
      </c>
      <c r="G301">
        <v>5</v>
      </c>
      <c r="H301">
        <v>3</v>
      </c>
      <c r="I301">
        <v>15</v>
      </c>
      <c r="J301">
        <v>2980</v>
      </c>
      <c r="K301">
        <v>9</v>
      </c>
      <c r="L301">
        <v>0</v>
      </c>
      <c r="M301">
        <v>71</v>
      </c>
      <c r="N301" t="s">
        <v>38</v>
      </c>
      <c r="O301">
        <v>0.28999999999999998</v>
      </c>
      <c r="P301">
        <v>12963</v>
      </c>
      <c r="Q301">
        <f>(Table1[[#This Row],[Closing_Stock]]*Table1[[#This Row],[Unit_Cost_INR]])</f>
        <v>44700</v>
      </c>
      <c r="R301">
        <f>(Table1[[#This Row],[Unit_Cost_INR]]*Table1[[#This Row],[Consumption]])</f>
        <v>8940</v>
      </c>
      <c r="S301">
        <f>IFERROR(Table1[[#This Row],[Annual_Consumption_Value_INR]]/Table1[[#This Row],[Inventory_Value_INR]],0)</f>
        <v>0.2</v>
      </c>
      <c r="T301">
        <f>IFERROR(365/Table1[[#This Row],[Inventory_Turnover]],0)</f>
        <v>1825</v>
      </c>
      <c r="U301" t="str">
        <f>IF(Table1[[#This Row],[Consumption]]=0,"Non-Moving", IF(Table1[[#This Row],[Days_Since_Last_Movement]]&gt;90,"Slow-Moving","Active"))</f>
        <v>Active</v>
      </c>
      <c r="V301">
        <f>SUM($Q$2:Q301)</f>
        <v>71353860</v>
      </c>
      <c r="W301">
        <f>Table1[[#This Row],[Cumulative_Inventory_Value]]/$AP$3</f>
        <v>0.94264497286954274</v>
      </c>
      <c r="X301" t="str">
        <f>IF(Table1[[#This Row],[Cumulative_Value_%]]&lt;80%,"A", IF(Table1[[#This Row],[Cumulative_Value_%]]&lt;=95%,"B","C"))</f>
        <v>B</v>
      </c>
      <c r="Y301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301">
        <f>Table1[[#This Row],[Consumption]]/365</f>
        <v>8.21917808219178E-3</v>
      </c>
      <c r="AA301">
        <f>Table1[[#This Row],[Avg_Daily_Consumption]]*Table1[[#This Row],[Lead_Time_Days]]+Table1[[#This Row],[Safety_Stock]]</f>
        <v>1.0739726027397261</v>
      </c>
      <c r="AB301">
        <f>IFERROR(Table1[[#This Row],[Closing_Stock]]/Table1[[#This Row],[Avg_Daily_Consumption]],9999)</f>
        <v>1825.0000000000002</v>
      </c>
      <c r="AC301">
        <f>MAX(1,ROUNDUP(Table1[[#This Row],[Avg_Daily_Consumption]]*Table1[[#This Row],[Lead_Time_Days]]*0.8,0))</f>
        <v>1</v>
      </c>
      <c r="AD301" t="str">
        <f>IF(Table1[[#This Row],[Closing_Stock]]&lt;Table1[[#This Row],[Reorder_Point]],"Stock-out Risk","Adequate")</f>
        <v>Adequate</v>
      </c>
      <c r="AE301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301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301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301" s="11">
        <f>MAX(0,Table1[[#This Row],[Closing_Stock]]-Table1[[#This Row],[Reorder_Point]])</f>
        <v>13.926027397260274</v>
      </c>
      <c r="AI301" s="11">
        <f>Table1[[#This Row],[Excess_Stock_Units]]*Table1[[#This Row],[Unit_Cost_INR]]</f>
        <v>41499.561643835616</v>
      </c>
      <c r="AJ301" s="11">
        <f>IF(Table1[[#This Row],[Criticality]]="Critical",0,Table1[[#This Row],[Excess_Inventory_Value_INR]])</f>
        <v>0</v>
      </c>
      <c r="AK301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302" spans="1:37" x14ac:dyDescent="0.25">
      <c r="A302" t="s">
        <v>491</v>
      </c>
      <c r="B302" t="s">
        <v>210</v>
      </c>
      <c r="C302" t="s">
        <v>32</v>
      </c>
      <c r="D302" t="s">
        <v>42</v>
      </c>
      <c r="E302" t="s">
        <v>22</v>
      </c>
      <c r="F302">
        <v>31</v>
      </c>
      <c r="G302">
        <v>43</v>
      </c>
      <c r="H302">
        <v>32</v>
      </c>
      <c r="I302">
        <v>42</v>
      </c>
      <c r="J302">
        <v>1060</v>
      </c>
      <c r="K302">
        <v>19</v>
      </c>
      <c r="L302">
        <v>0</v>
      </c>
      <c r="M302">
        <v>307</v>
      </c>
      <c r="N302" t="s">
        <v>58</v>
      </c>
      <c r="O302">
        <v>0.16600000000000001</v>
      </c>
      <c r="P302">
        <v>7390.3200000000006</v>
      </c>
      <c r="Q302">
        <f>(Table1[[#This Row],[Closing_Stock]]*Table1[[#This Row],[Unit_Cost_INR]])</f>
        <v>44520</v>
      </c>
      <c r="R302">
        <f>(Table1[[#This Row],[Unit_Cost_INR]]*Table1[[#This Row],[Consumption]])</f>
        <v>33920</v>
      </c>
      <c r="S302">
        <f>IFERROR(Table1[[#This Row],[Annual_Consumption_Value_INR]]/Table1[[#This Row],[Inventory_Value_INR]],0)</f>
        <v>0.76190476190476186</v>
      </c>
      <c r="T302">
        <f>IFERROR(365/Table1[[#This Row],[Inventory_Turnover]],0)</f>
        <v>479.0625</v>
      </c>
      <c r="U302" t="str">
        <f>IF(Table1[[#This Row],[Consumption]]=0,"Non-Moving", IF(Table1[[#This Row],[Days_Since_Last_Movement]]&gt;90,"Slow-Moving","Active"))</f>
        <v>Slow-Moving</v>
      </c>
      <c r="V302">
        <f>SUM($Q$2:Q302)</f>
        <v>71398380</v>
      </c>
      <c r="W302">
        <f>Table1[[#This Row],[Cumulative_Inventory_Value]]/$AP$3</f>
        <v>0.94323311980640301</v>
      </c>
      <c r="X302" t="str">
        <f>IF(Table1[[#This Row],[Cumulative_Value_%]]&lt;80%,"A", IF(Table1[[#This Row],[Cumulative_Value_%]]&lt;=95%,"B","C"))</f>
        <v>B</v>
      </c>
      <c r="Y302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302">
        <f>Table1[[#This Row],[Consumption]]/365</f>
        <v>8.7671232876712329E-2</v>
      </c>
      <c r="AA302">
        <f>Table1[[#This Row],[Avg_Daily_Consumption]]*Table1[[#This Row],[Lead_Time_Days]]+Table1[[#This Row],[Safety_Stock]]</f>
        <v>3.6657534246575345</v>
      </c>
      <c r="AB302">
        <f>IFERROR(Table1[[#This Row],[Closing_Stock]]/Table1[[#This Row],[Avg_Daily_Consumption]],9999)</f>
        <v>479.0625</v>
      </c>
      <c r="AC302">
        <f>MAX(1,ROUNDUP(Table1[[#This Row],[Avg_Daily_Consumption]]*Table1[[#This Row],[Lead_Time_Days]]*0.8,0))</f>
        <v>2</v>
      </c>
      <c r="AD302" t="str">
        <f>IF(Table1[[#This Row],[Closing_Stock]]&lt;Table1[[#This Row],[Reorder_Point]],"Stock-out Risk","Adequate")</f>
        <v>Adequate</v>
      </c>
      <c r="AE302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302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302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302" s="11">
        <f>MAX(0,Table1[[#This Row],[Closing_Stock]]-Table1[[#This Row],[Reorder_Point]])</f>
        <v>38.334246575342462</v>
      </c>
      <c r="AI302" s="11">
        <f>Table1[[#This Row],[Excess_Stock_Units]]*Table1[[#This Row],[Unit_Cost_INR]]</f>
        <v>40634.301369863009</v>
      </c>
      <c r="AJ302" s="11">
        <f>IF(Table1[[#This Row],[Criticality]]="Critical",0,Table1[[#This Row],[Excess_Inventory_Value_INR]])</f>
        <v>40634.301369863009</v>
      </c>
      <c r="AK302" s="11">
        <f>IF(AND(Table1[[#This Row],[Criticality]]&lt;&gt;"Critical",OR(Table1[[#This Row],[Movement_Class]]="Slow-Moving",Table1[[#This Row],[Movement_Class]]="Non-Moving")),Table1[[#This Row],[Excess_Inventory_Value_INR]],0)</f>
        <v>40634.301369863009</v>
      </c>
    </row>
    <row r="303" spans="1:37" x14ac:dyDescent="0.25">
      <c r="A303" t="s">
        <v>330</v>
      </c>
      <c r="B303" t="s">
        <v>83</v>
      </c>
      <c r="C303" t="s">
        <v>32</v>
      </c>
      <c r="D303" t="s">
        <v>45</v>
      </c>
      <c r="E303" t="s">
        <v>22</v>
      </c>
      <c r="F303">
        <v>43</v>
      </c>
      <c r="G303">
        <v>39</v>
      </c>
      <c r="H303">
        <v>26</v>
      </c>
      <c r="I303">
        <v>56</v>
      </c>
      <c r="J303">
        <v>790</v>
      </c>
      <c r="K303">
        <v>21</v>
      </c>
      <c r="L303">
        <v>0</v>
      </c>
      <c r="M303">
        <v>159</v>
      </c>
      <c r="N303" t="s">
        <v>61</v>
      </c>
      <c r="O303">
        <v>0.154</v>
      </c>
      <c r="P303">
        <v>6812.96</v>
      </c>
      <c r="Q303">
        <f>(Table1[[#This Row],[Closing_Stock]]*Table1[[#This Row],[Unit_Cost_INR]])</f>
        <v>44240</v>
      </c>
      <c r="R303">
        <f>(Table1[[#This Row],[Unit_Cost_INR]]*Table1[[#This Row],[Consumption]])</f>
        <v>20540</v>
      </c>
      <c r="S303">
        <f>IFERROR(Table1[[#This Row],[Annual_Consumption_Value_INR]]/Table1[[#This Row],[Inventory_Value_INR]],0)</f>
        <v>0.4642857142857143</v>
      </c>
      <c r="T303">
        <f>IFERROR(365/Table1[[#This Row],[Inventory_Turnover]],0)</f>
        <v>786.15384615384608</v>
      </c>
      <c r="U303" t="str">
        <f>IF(Table1[[#This Row],[Consumption]]=0,"Non-Moving", IF(Table1[[#This Row],[Days_Since_Last_Movement]]&gt;90,"Slow-Moving","Active"))</f>
        <v>Slow-Moving</v>
      </c>
      <c r="V303">
        <f>SUM($Q$2:Q303)</f>
        <v>71442620</v>
      </c>
      <c r="W303">
        <f>Table1[[#This Row],[Cumulative_Inventory_Value]]/$AP$3</f>
        <v>0.9438175677059244</v>
      </c>
      <c r="X303" t="str">
        <f>IF(Table1[[#This Row],[Cumulative_Value_%]]&lt;80%,"A", IF(Table1[[#This Row],[Cumulative_Value_%]]&lt;=95%,"B","C"))</f>
        <v>B</v>
      </c>
      <c r="Y303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303">
        <f>Table1[[#This Row],[Consumption]]/365</f>
        <v>7.1232876712328766E-2</v>
      </c>
      <c r="AA303">
        <f>Table1[[#This Row],[Avg_Daily_Consumption]]*Table1[[#This Row],[Lead_Time_Days]]+Table1[[#This Row],[Safety_Stock]]</f>
        <v>3.4958904109589044</v>
      </c>
      <c r="AB303">
        <f>IFERROR(Table1[[#This Row],[Closing_Stock]]/Table1[[#This Row],[Avg_Daily_Consumption]],9999)</f>
        <v>786.15384615384619</v>
      </c>
      <c r="AC303">
        <f>MAX(1,ROUNDUP(Table1[[#This Row],[Avg_Daily_Consumption]]*Table1[[#This Row],[Lead_Time_Days]]*0.8,0))</f>
        <v>2</v>
      </c>
      <c r="AD303" t="str">
        <f>IF(Table1[[#This Row],[Closing_Stock]]&lt;Table1[[#This Row],[Reorder_Point]],"Stock-out Risk","Adequate")</f>
        <v>Adequate</v>
      </c>
      <c r="AE303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303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303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303" s="11">
        <f>MAX(0,Table1[[#This Row],[Closing_Stock]]-Table1[[#This Row],[Reorder_Point]])</f>
        <v>52.504109589041093</v>
      </c>
      <c r="AI303" s="11">
        <f>Table1[[#This Row],[Excess_Stock_Units]]*Table1[[#This Row],[Unit_Cost_INR]]</f>
        <v>41478.246575342462</v>
      </c>
      <c r="AJ303" s="11">
        <f>IF(Table1[[#This Row],[Criticality]]="Critical",0,Table1[[#This Row],[Excess_Inventory_Value_INR]])</f>
        <v>41478.246575342462</v>
      </c>
      <c r="AK303" s="11">
        <f>IF(AND(Table1[[#This Row],[Criticality]]&lt;&gt;"Critical",OR(Table1[[#This Row],[Movement_Class]]="Slow-Moving",Table1[[#This Row],[Movement_Class]]="Non-Moving")),Table1[[#This Row],[Excess_Inventory_Value_INR]],0)</f>
        <v>41478.246575342462</v>
      </c>
    </row>
    <row r="304" spans="1:37" x14ac:dyDescent="0.25">
      <c r="A304" t="s">
        <v>125</v>
      </c>
      <c r="B304" t="s">
        <v>126</v>
      </c>
      <c r="C304" t="s">
        <v>20</v>
      </c>
      <c r="D304" t="s">
        <v>42</v>
      </c>
      <c r="E304" t="s">
        <v>22</v>
      </c>
      <c r="F304">
        <v>31</v>
      </c>
      <c r="G304">
        <v>16</v>
      </c>
      <c r="H304">
        <v>1</v>
      </c>
      <c r="I304">
        <v>42</v>
      </c>
      <c r="J304">
        <v>1050</v>
      </c>
      <c r="K304">
        <v>42</v>
      </c>
      <c r="L304">
        <v>0</v>
      </c>
      <c r="M304">
        <v>169</v>
      </c>
      <c r="N304" t="s">
        <v>29</v>
      </c>
      <c r="O304">
        <v>0.27700000000000002</v>
      </c>
      <c r="P304">
        <v>12215.7</v>
      </c>
      <c r="Q304">
        <f>(Table1[[#This Row],[Closing_Stock]]*Table1[[#This Row],[Unit_Cost_INR]])</f>
        <v>44100</v>
      </c>
      <c r="R304">
        <f>(Table1[[#This Row],[Unit_Cost_INR]]*Table1[[#This Row],[Consumption]])</f>
        <v>1050</v>
      </c>
      <c r="S304">
        <f>IFERROR(Table1[[#This Row],[Annual_Consumption_Value_INR]]/Table1[[#This Row],[Inventory_Value_INR]],0)</f>
        <v>2.3809523809523808E-2</v>
      </c>
      <c r="T304">
        <f>IFERROR(365/Table1[[#This Row],[Inventory_Turnover]],0)</f>
        <v>15330</v>
      </c>
      <c r="U304" t="str">
        <f>IF(Table1[[#This Row],[Consumption]]=0,"Non-Moving", IF(Table1[[#This Row],[Days_Since_Last_Movement]]&gt;90,"Slow-Moving","Active"))</f>
        <v>Slow-Moving</v>
      </c>
      <c r="V304">
        <f>SUM($Q$2:Q304)</f>
        <v>71486720</v>
      </c>
      <c r="W304">
        <f>Table1[[#This Row],[Cumulative_Inventory_Value]]/$AP$3</f>
        <v>0.94440016608677646</v>
      </c>
      <c r="X304" t="str">
        <f>IF(Table1[[#This Row],[Cumulative_Value_%]]&lt;80%,"A", IF(Table1[[#This Row],[Cumulative_Value_%]]&lt;=95%,"B","C"))</f>
        <v>B</v>
      </c>
      <c r="Y304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304">
        <f>Table1[[#This Row],[Consumption]]/365</f>
        <v>2.7397260273972603E-3</v>
      </c>
      <c r="AA304">
        <f>Table1[[#This Row],[Avg_Daily_Consumption]]*Table1[[#This Row],[Lead_Time_Days]]+Table1[[#This Row],[Safety_Stock]]</f>
        <v>1.1150684931506849</v>
      </c>
      <c r="AB304">
        <f>IFERROR(Table1[[#This Row],[Closing_Stock]]/Table1[[#This Row],[Avg_Daily_Consumption]],9999)</f>
        <v>15330</v>
      </c>
      <c r="AC304">
        <f>MAX(1,ROUNDUP(Table1[[#This Row],[Avg_Daily_Consumption]]*Table1[[#This Row],[Lead_Time_Days]]*0.8,0))</f>
        <v>1</v>
      </c>
      <c r="AD304" t="str">
        <f>IF(Table1[[#This Row],[Closing_Stock]]&lt;Table1[[#This Row],[Reorder_Point]],"Stock-out Risk","Adequate")</f>
        <v>Adequate</v>
      </c>
      <c r="AE304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304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304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304" s="11">
        <f>MAX(0,Table1[[#This Row],[Closing_Stock]]-Table1[[#This Row],[Reorder_Point]])</f>
        <v>40.884931506849313</v>
      </c>
      <c r="AI304" s="11">
        <f>Table1[[#This Row],[Excess_Stock_Units]]*Table1[[#This Row],[Unit_Cost_INR]]</f>
        <v>42929.178082191778</v>
      </c>
      <c r="AJ304" s="11">
        <f>IF(Table1[[#This Row],[Criticality]]="Critical",0,Table1[[#This Row],[Excess_Inventory_Value_INR]])</f>
        <v>42929.178082191778</v>
      </c>
      <c r="AK304" s="11">
        <f>IF(AND(Table1[[#This Row],[Criticality]]&lt;&gt;"Critical",OR(Table1[[#This Row],[Movement_Class]]="Slow-Moving",Table1[[#This Row],[Movement_Class]]="Non-Moving")),Table1[[#This Row],[Excess_Inventory_Value_INR]],0)</f>
        <v>42929.178082191778</v>
      </c>
    </row>
    <row r="305" spans="1:37" x14ac:dyDescent="0.25">
      <c r="A305" t="s">
        <v>449</v>
      </c>
      <c r="B305" t="s">
        <v>129</v>
      </c>
      <c r="C305" t="s">
        <v>52</v>
      </c>
      <c r="D305" t="s">
        <v>27</v>
      </c>
      <c r="E305" t="s">
        <v>46</v>
      </c>
      <c r="F305">
        <v>29</v>
      </c>
      <c r="G305">
        <v>31</v>
      </c>
      <c r="H305">
        <v>24</v>
      </c>
      <c r="I305">
        <v>36</v>
      </c>
      <c r="J305">
        <v>1220</v>
      </c>
      <c r="K305">
        <v>21</v>
      </c>
      <c r="L305">
        <v>0</v>
      </c>
      <c r="M305">
        <v>14</v>
      </c>
      <c r="N305" t="s">
        <v>81</v>
      </c>
      <c r="O305">
        <v>0.192</v>
      </c>
      <c r="P305">
        <v>8432.64</v>
      </c>
      <c r="Q305">
        <f>(Table1[[#This Row],[Closing_Stock]]*Table1[[#This Row],[Unit_Cost_INR]])</f>
        <v>43920</v>
      </c>
      <c r="R305">
        <f>(Table1[[#This Row],[Unit_Cost_INR]]*Table1[[#This Row],[Consumption]])</f>
        <v>29280</v>
      </c>
      <c r="S305">
        <f>IFERROR(Table1[[#This Row],[Annual_Consumption_Value_INR]]/Table1[[#This Row],[Inventory_Value_INR]],0)</f>
        <v>0.66666666666666663</v>
      </c>
      <c r="T305">
        <f>IFERROR(365/Table1[[#This Row],[Inventory_Turnover]],0)</f>
        <v>547.5</v>
      </c>
      <c r="U305" t="str">
        <f>IF(Table1[[#This Row],[Consumption]]=0,"Non-Moving", IF(Table1[[#This Row],[Days_Since_Last_Movement]]&gt;90,"Slow-Moving","Active"))</f>
        <v>Active</v>
      </c>
      <c r="V305">
        <f>SUM($Q$2:Q305)</f>
        <v>71530640</v>
      </c>
      <c r="W305">
        <f>Table1[[#This Row],[Cumulative_Inventory_Value]]/$AP$3</f>
        <v>0.94498038651505367</v>
      </c>
      <c r="X305" t="str">
        <f>IF(Table1[[#This Row],[Cumulative_Value_%]]&lt;80%,"A", IF(Table1[[#This Row],[Cumulative_Value_%]]&lt;=95%,"B","C"))</f>
        <v>B</v>
      </c>
      <c r="Y305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305">
        <f>Table1[[#This Row],[Consumption]]/365</f>
        <v>6.575342465753424E-2</v>
      </c>
      <c r="AA305">
        <f>Table1[[#This Row],[Avg_Daily_Consumption]]*Table1[[#This Row],[Lead_Time_Days]]+Table1[[#This Row],[Safety_Stock]]</f>
        <v>3.3808219178082188</v>
      </c>
      <c r="AB305">
        <f>IFERROR(Table1[[#This Row],[Closing_Stock]]/Table1[[#This Row],[Avg_Daily_Consumption]],9999)</f>
        <v>547.5</v>
      </c>
      <c r="AC305">
        <f>MAX(1,ROUNDUP(Table1[[#This Row],[Avg_Daily_Consumption]]*Table1[[#This Row],[Lead_Time_Days]]*0.8,0))</f>
        <v>2</v>
      </c>
      <c r="AD305" t="str">
        <f>IF(Table1[[#This Row],[Closing_Stock]]&lt;Table1[[#This Row],[Reorder_Point]],"Stock-out Risk","Adequate")</f>
        <v>Adequate</v>
      </c>
      <c r="AE305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305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305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305" s="11">
        <f>MAX(0,Table1[[#This Row],[Closing_Stock]]-Table1[[#This Row],[Reorder_Point]])</f>
        <v>32.61917808219178</v>
      </c>
      <c r="AI305" s="11">
        <f>Table1[[#This Row],[Excess_Stock_Units]]*Table1[[#This Row],[Unit_Cost_INR]]</f>
        <v>39795.397260273974</v>
      </c>
      <c r="AJ305" s="11">
        <f>IF(Table1[[#This Row],[Criticality]]="Critical",0,Table1[[#This Row],[Excess_Inventory_Value_INR]])</f>
        <v>39795.397260273974</v>
      </c>
      <c r="AK305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306" spans="1:37" x14ac:dyDescent="0.25">
      <c r="A306" t="s">
        <v>448</v>
      </c>
      <c r="B306" t="s">
        <v>99</v>
      </c>
      <c r="C306" t="s">
        <v>20</v>
      </c>
      <c r="D306" t="s">
        <v>27</v>
      </c>
      <c r="E306" t="s">
        <v>28</v>
      </c>
      <c r="F306">
        <v>31</v>
      </c>
      <c r="G306">
        <v>47</v>
      </c>
      <c r="H306">
        <v>6</v>
      </c>
      <c r="I306">
        <v>35</v>
      </c>
      <c r="J306">
        <v>1250</v>
      </c>
      <c r="K306">
        <v>24</v>
      </c>
      <c r="L306">
        <v>0</v>
      </c>
      <c r="M306">
        <v>111</v>
      </c>
      <c r="N306" t="s">
        <v>29</v>
      </c>
      <c r="O306">
        <v>0.156</v>
      </c>
      <c r="P306">
        <v>6825</v>
      </c>
      <c r="Q306">
        <f>(Table1[[#This Row],[Closing_Stock]]*Table1[[#This Row],[Unit_Cost_INR]])</f>
        <v>43750</v>
      </c>
      <c r="R306">
        <f>(Table1[[#This Row],[Unit_Cost_INR]]*Table1[[#This Row],[Consumption]])</f>
        <v>7500</v>
      </c>
      <c r="S306">
        <f>IFERROR(Table1[[#This Row],[Annual_Consumption_Value_INR]]/Table1[[#This Row],[Inventory_Value_INR]],0)</f>
        <v>0.17142857142857143</v>
      </c>
      <c r="T306">
        <f>IFERROR(365/Table1[[#This Row],[Inventory_Turnover]],0)</f>
        <v>2129.1666666666665</v>
      </c>
      <c r="U306" t="str">
        <f>IF(Table1[[#This Row],[Consumption]]=0,"Non-Moving", IF(Table1[[#This Row],[Days_Since_Last_Movement]]&gt;90,"Slow-Moving","Active"))</f>
        <v>Slow-Moving</v>
      </c>
      <c r="V306">
        <f>SUM($Q$2:Q306)</f>
        <v>71574390</v>
      </c>
      <c r="W306">
        <f>Table1[[#This Row],[Cumulative_Inventory_Value]]/$AP$3</f>
        <v>0.9455583610992323</v>
      </c>
      <c r="X306" t="str">
        <f>IF(Table1[[#This Row],[Cumulative_Value_%]]&lt;80%,"A", IF(Table1[[#This Row],[Cumulative_Value_%]]&lt;=95%,"B","C"))</f>
        <v>B</v>
      </c>
      <c r="Y306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306">
        <f>Table1[[#This Row],[Consumption]]/365</f>
        <v>1.643835616438356E-2</v>
      </c>
      <c r="AA306">
        <f>Table1[[#This Row],[Avg_Daily_Consumption]]*Table1[[#This Row],[Lead_Time_Days]]+Table1[[#This Row],[Safety_Stock]]</f>
        <v>1.3945205479452054</v>
      </c>
      <c r="AB306">
        <f>IFERROR(Table1[[#This Row],[Closing_Stock]]/Table1[[#This Row],[Avg_Daily_Consumption]],9999)</f>
        <v>2129.166666666667</v>
      </c>
      <c r="AC306">
        <f>MAX(1,ROUNDUP(Table1[[#This Row],[Avg_Daily_Consumption]]*Table1[[#This Row],[Lead_Time_Days]]*0.8,0))</f>
        <v>1</v>
      </c>
      <c r="AD306" t="str">
        <f>IF(Table1[[#This Row],[Closing_Stock]]&lt;Table1[[#This Row],[Reorder_Point]],"Stock-out Risk","Adequate")</f>
        <v>Adequate</v>
      </c>
      <c r="AE306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306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306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306" s="11">
        <f>MAX(0,Table1[[#This Row],[Closing_Stock]]-Table1[[#This Row],[Reorder_Point]])</f>
        <v>33.605479452054794</v>
      </c>
      <c r="AI306" s="11">
        <f>Table1[[#This Row],[Excess_Stock_Units]]*Table1[[#This Row],[Unit_Cost_INR]]</f>
        <v>42006.849315068495</v>
      </c>
      <c r="AJ306" s="11">
        <f>IF(Table1[[#This Row],[Criticality]]="Critical",0,Table1[[#This Row],[Excess_Inventory_Value_INR]])</f>
        <v>42006.849315068495</v>
      </c>
      <c r="AK306" s="11">
        <f>IF(AND(Table1[[#This Row],[Criticality]]&lt;&gt;"Critical",OR(Table1[[#This Row],[Movement_Class]]="Slow-Moving",Table1[[#This Row],[Movement_Class]]="Non-Moving")),Table1[[#This Row],[Excess_Inventory_Value_INR]],0)</f>
        <v>42006.849315068495</v>
      </c>
    </row>
    <row r="307" spans="1:37" x14ac:dyDescent="0.25">
      <c r="A307" t="s">
        <v>486</v>
      </c>
      <c r="B307" t="s">
        <v>75</v>
      </c>
      <c r="C307" t="s">
        <v>36</v>
      </c>
      <c r="D307" t="s">
        <v>21</v>
      </c>
      <c r="E307" t="s">
        <v>37</v>
      </c>
      <c r="F307">
        <v>69</v>
      </c>
      <c r="G307">
        <v>148</v>
      </c>
      <c r="H307">
        <v>4</v>
      </c>
      <c r="I307">
        <v>64</v>
      </c>
      <c r="J307">
        <v>680</v>
      </c>
      <c r="K307">
        <v>25</v>
      </c>
      <c r="L307">
        <v>1</v>
      </c>
      <c r="M307">
        <v>130</v>
      </c>
      <c r="N307" t="s">
        <v>23</v>
      </c>
      <c r="O307">
        <v>0.28999999999999998</v>
      </c>
      <c r="P307">
        <v>12620.8</v>
      </c>
      <c r="Q307">
        <f>(Table1[[#This Row],[Closing_Stock]]*Table1[[#This Row],[Unit_Cost_INR]])</f>
        <v>43520</v>
      </c>
      <c r="R307">
        <f>(Table1[[#This Row],[Unit_Cost_INR]]*Table1[[#This Row],[Consumption]])</f>
        <v>2720</v>
      </c>
      <c r="S307">
        <f>IFERROR(Table1[[#This Row],[Annual_Consumption_Value_INR]]/Table1[[#This Row],[Inventory_Value_INR]],0)</f>
        <v>6.25E-2</v>
      </c>
      <c r="T307">
        <f>IFERROR(365/Table1[[#This Row],[Inventory_Turnover]],0)</f>
        <v>5840</v>
      </c>
      <c r="U307" t="str">
        <f>IF(Table1[[#This Row],[Consumption]]=0,"Non-Moving", IF(Table1[[#This Row],[Days_Since_Last_Movement]]&gt;90,"Slow-Moving","Active"))</f>
        <v>Slow-Moving</v>
      </c>
      <c r="V307">
        <f>SUM($Q$2:Q307)</f>
        <v>71617910</v>
      </c>
      <c r="W307">
        <f>Table1[[#This Row],[Cumulative_Inventory_Value]]/$AP$3</f>
        <v>0.94613329718845418</v>
      </c>
      <c r="X307" t="str">
        <f>IF(Table1[[#This Row],[Cumulative_Value_%]]&lt;80%,"A", IF(Table1[[#This Row],[Cumulative_Value_%]]&lt;=95%,"B","C"))</f>
        <v>B</v>
      </c>
      <c r="Y307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307">
        <f>Table1[[#This Row],[Consumption]]/365</f>
        <v>1.0958904109589041E-2</v>
      </c>
      <c r="AA307">
        <f>Table1[[#This Row],[Avg_Daily_Consumption]]*Table1[[#This Row],[Lead_Time_Days]]+Table1[[#This Row],[Safety_Stock]]</f>
        <v>1.273972602739726</v>
      </c>
      <c r="AB307">
        <f>IFERROR(Table1[[#This Row],[Closing_Stock]]/Table1[[#This Row],[Avg_Daily_Consumption]],9999)</f>
        <v>5840</v>
      </c>
      <c r="AC307">
        <f>MAX(1,ROUNDUP(Table1[[#This Row],[Avg_Daily_Consumption]]*Table1[[#This Row],[Lead_Time_Days]]*0.8,0))</f>
        <v>1</v>
      </c>
      <c r="AD307" t="str">
        <f>IF(Table1[[#This Row],[Closing_Stock]]&lt;Table1[[#This Row],[Reorder_Point]],"Stock-out Risk","Adequate")</f>
        <v>Adequate</v>
      </c>
      <c r="AE307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307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307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307" s="11">
        <f>MAX(0,Table1[[#This Row],[Closing_Stock]]-Table1[[#This Row],[Reorder_Point]])</f>
        <v>62.726027397260275</v>
      </c>
      <c r="AI307" s="11">
        <f>Table1[[#This Row],[Excess_Stock_Units]]*Table1[[#This Row],[Unit_Cost_INR]]</f>
        <v>42653.698630136983</v>
      </c>
      <c r="AJ307" s="11">
        <f>IF(Table1[[#This Row],[Criticality]]="Critical",0,Table1[[#This Row],[Excess_Inventory_Value_INR]])</f>
        <v>0</v>
      </c>
      <c r="AK307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308" spans="1:37" x14ac:dyDescent="0.25">
      <c r="A308" t="s">
        <v>109</v>
      </c>
      <c r="B308" t="s">
        <v>75</v>
      </c>
      <c r="C308" t="s">
        <v>36</v>
      </c>
      <c r="D308" t="s">
        <v>21</v>
      </c>
      <c r="E308" t="s">
        <v>22</v>
      </c>
      <c r="F308">
        <v>28</v>
      </c>
      <c r="G308">
        <v>31</v>
      </c>
      <c r="H308">
        <v>35</v>
      </c>
      <c r="I308">
        <v>24</v>
      </c>
      <c r="J308">
        <v>1810</v>
      </c>
      <c r="K308">
        <v>3</v>
      </c>
      <c r="L308">
        <v>0</v>
      </c>
      <c r="M308">
        <v>83</v>
      </c>
      <c r="N308" t="s">
        <v>23</v>
      </c>
      <c r="O308">
        <v>0.219</v>
      </c>
      <c r="P308">
        <v>9513.36</v>
      </c>
      <c r="Q308">
        <f>(Table1[[#This Row],[Closing_Stock]]*Table1[[#This Row],[Unit_Cost_INR]])</f>
        <v>43440</v>
      </c>
      <c r="R308">
        <f>(Table1[[#This Row],[Unit_Cost_INR]]*Table1[[#This Row],[Consumption]])</f>
        <v>63350</v>
      </c>
      <c r="S308">
        <f>IFERROR(Table1[[#This Row],[Annual_Consumption_Value_INR]]/Table1[[#This Row],[Inventory_Value_INR]],0)</f>
        <v>1.4583333333333333</v>
      </c>
      <c r="T308">
        <f>IFERROR(365/Table1[[#This Row],[Inventory_Turnover]],0)</f>
        <v>250.28571428571431</v>
      </c>
      <c r="U308" t="str">
        <f>IF(Table1[[#This Row],[Consumption]]=0,"Non-Moving", IF(Table1[[#This Row],[Days_Since_Last_Movement]]&gt;90,"Slow-Moving","Active"))</f>
        <v>Active</v>
      </c>
      <c r="V308">
        <f>SUM($Q$2:Q308)</f>
        <v>71661350</v>
      </c>
      <c r="W308">
        <f>Table1[[#This Row],[Cumulative_Inventory_Value]]/$AP$3</f>
        <v>0.94670717640986501</v>
      </c>
      <c r="X308" t="str">
        <f>IF(Table1[[#This Row],[Cumulative_Value_%]]&lt;80%,"A", IF(Table1[[#This Row],[Cumulative_Value_%]]&lt;=95%,"B","C"))</f>
        <v>B</v>
      </c>
      <c r="Y308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308">
        <f>Table1[[#This Row],[Consumption]]/365</f>
        <v>9.5890410958904104E-2</v>
      </c>
      <c r="AA308">
        <f>Table1[[#This Row],[Avg_Daily_Consumption]]*Table1[[#This Row],[Lead_Time_Days]]+Table1[[#This Row],[Safety_Stock]]</f>
        <v>1.2876712328767124</v>
      </c>
      <c r="AB308">
        <f>IFERROR(Table1[[#This Row],[Closing_Stock]]/Table1[[#This Row],[Avg_Daily_Consumption]],9999)</f>
        <v>250.28571428571431</v>
      </c>
      <c r="AC308">
        <f>MAX(1,ROUNDUP(Table1[[#This Row],[Avg_Daily_Consumption]]*Table1[[#This Row],[Lead_Time_Days]]*0.8,0))</f>
        <v>1</v>
      </c>
      <c r="AD308" t="str">
        <f>IF(Table1[[#This Row],[Closing_Stock]]&lt;Table1[[#This Row],[Reorder_Point]],"Stock-out Risk","Adequate")</f>
        <v>Adequate</v>
      </c>
      <c r="AE308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308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308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308" s="11">
        <f>MAX(0,Table1[[#This Row],[Closing_Stock]]-Table1[[#This Row],[Reorder_Point]])</f>
        <v>22.712328767123289</v>
      </c>
      <c r="AI308" s="11">
        <f>Table1[[#This Row],[Excess_Stock_Units]]*Table1[[#This Row],[Unit_Cost_INR]]</f>
        <v>41109.315068493153</v>
      </c>
      <c r="AJ308" s="11">
        <f>IF(Table1[[#This Row],[Criticality]]="Critical",0,Table1[[#This Row],[Excess_Inventory_Value_INR]])</f>
        <v>41109.315068493153</v>
      </c>
      <c r="AK308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309" spans="1:37" x14ac:dyDescent="0.25">
      <c r="A309" t="s">
        <v>432</v>
      </c>
      <c r="B309" t="s">
        <v>150</v>
      </c>
      <c r="C309" t="s">
        <v>36</v>
      </c>
      <c r="D309" t="s">
        <v>60</v>
      </c>
      <c r="E309" t="s">
        <v>22</v>
      </c>
      <c r="F309">
        <v>25</v>
      </c>
      <c r="G309">
        <v>68</v>
      </c>
      <c r="H309">
        <v>61</v>
      </c>
      <c r="I309">
        <v>32</v>
      </c>
      <c r="J309">
        <v>1350</v>
      </c>
      <c r="K309">
        <v>18</v>
      </c>
      <c r="L309">
        <v>0</v>
      </c>
      <c r="M309">
        <v>33</v>
      </c>
      <c r="N309" t="s">
        <v>61</v>
      </c>
      <c r="O309">
        <v>0.28699999999999998</v>
      </c>
      <c r="P309">
        <v>12398.4</v>
      </c>
      <c r="Q309">
        <f>(Table1[[#This Row],[Closing_Stock]]*Table1[[#This Row],[Unit_Cost_INR]])</f>
        <v>43200</v>
      </c>
      <c r="R309">
        <f>(Table1[[#This Row],[Unit_Cost_INR]]*Table1[[#This Row],[Consumption]])</f>
        <v>82350</v>
      </c>
      <c r="S309">
        <f>IFERROR(Table1[[#This Row],[Annual_Consumption_Value_INR]]/Table1[[#This Row],[Inventory_Value_INR]],0)</f>
        <v>1.90625</v>
      </c>
      <c r="T309">
        <f>IFERROR(365/Table1[[#This Row],[Inventory_Turnover]],0)</f>
        <v>191.47540983606558</v>
      </c>
      <c r="U309" t="str">
        <f>IF(Table1[[#This Row],[Consumption]]=0,"Non-Moving", IF(Table1[[#This Row],[Days_Since_Last_Movement]]&gt;90,"Slow-Moving","Active"))</f>
        <v>Active</v>
      </c>
      <c r="V309">
        <f>SUM($Q$2:Q309)</f>
        <v>71704550</v>
      </c>
      <c r="W309">
        <f>Table1[[#This Row],[Cumulative_Inventory_Value]]/$AP$3</f>
        <v>0.94727788502784249</v>
      </c>
      <c r="X309" t="str">
        <f>IF(Table1[[#This Row],[Cumulative_Value_%]]&lt;80%,"A", IF(Table1[[#This Row],[Cumulative_Value_%]]&lt;=95%,"B","C"))</f>
        <v>B</v>
      </c>
      <c r="Y309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309">
        <f>Table1[[#This Row],[Consumption]]/365</f>
        <v>0.16712328767123288</v>
      </c>
      <c r="AA309">
        <f>Table1[[#This Row],[Avg_Daily_Consumption]]*Table1[[#This Row],[Lead_Time_Days]]+Table1[[#This Row],[Safety_Stock]]</f>
        <v>6.0082191780821921</v>
      </c>
      <c r="AB309">
        <f>IFERROR(Table1[[#This Row],[Closing_Stock]]/Table1[[#This Row],[Avg_Daily_Consumption]],9999)</f>
        <v>191.47540983606555</v>
      </c>
      <c r="AC309">
        <f>MAX(1,ROUNDUP(Table1[[#This Row],[Avg_Daily_Consumption]]*Table1[[#This Row],[Lead_Time_Days]]*0.8,0))</f>
        <v>3</v>
      </c>
      <c r="AD309" t="str">
        <f>IF(Table1[[#This Row],[Closing_Stock]]&lt;Table1[[#This Row],[Reorder_Point]],"Stock-out Risk","Adequate")</f>
        <v>Adequate</v>
      </c>
      <c r="AE309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309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309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309" s="11">
        <f>MAX(0,Table1[[#This Row],[Closing_Stock]]-Table1[[#This Row],[Reorder_Point]])</f>
        <v>25.991780821917807</v>
      </c>
      <c r="AI309" s="11">
        <f>Table1[[#This Row],[Excess_Stock_Units]]*Table1[[#This Row],[Unit_Cost_INR]]</f>
        <v>35088.904109589042</v>
      </c>
      <c r="AJ309" s="11">
        <f>IF(Table1[[#This Row],[Criticality]]="Critical",0,Table1[[#This Row],[Excess_Inventory_Value_INR]])</f>
        <v>35088.904109589042</v>
      </c>
      <c r="AK309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310" spans="1:37" x14ac:dyDescent="0.25">
      <c r="A310" t="s">
        <v>343</v>
      </c>
      <c r="B310" t="s">
        <v>51</v>
      </c>
      <c r="C310" t="s">
        <v>52</v>
      </c>
      <c r="D310" t="s">
        <v>45</v>
      </c>
      <c r="E310" t="s">
        <v>28</v>
      </c>
      <c r="F310">
        <v>23</v>
      </c>
      <c r="G310">
        <v>5</v>
      </c>
      <c r="H310">
        <v>6</v>
      </c>
      <c r="I310">
        <v>22</v>
      </c>
      <c r="J310">
        <v>1930</v>
      </c>
      <c r="K310">
        <v>3</v>
      </c>
      <c r="L310">
        <v>0</v>
      </c>
      <c r="M310">
        <v>4</v>
      </c>
      <c r="N310" t="s">
        <v>61</v>
      </c>
      <c r="O310">
        <v>0.25800000000000001</v>
      </c>
      <c r="P310">
        <v>10954.68</v>
      </c>
      <c r="Q310">
        <f>(Table1[[#This Row],[Closing_Stock]]*Table1[[#This Row],[Unit_Cost_INR]])</f>
        <v>42460</v>
      </c>
      <c r="R310">
        <f>(Table1[[#This Row],[Unit_Cost_INR]]*Table1[[#This Row],[Consumption]])</f>
        <v>11580</v>
      </c>
      <c r="S310">
        <f>IFERROR(Table1[[#This Row],[Annual_Consumption_Value_INR]]/Table1[[#This Row],[Inventory_Value_INR]],0)</f>
        <v>0.27272727272727271</v>
      </c>
      <c r="T310">
        <f>IFERROR(365/Table1[[#This Row],[Inventory_Turnover]],0)</f>
        <v>1338.3333333333335</v>
      </c>
      <c r="U310" t="str">
        <f>IF(Table1[[#This Row],[Consumption]]=0,"Non-Moving", IF(Table1[[#This Row],[Days_Since_Last_Movement]]&gt;90,"Slow-Moving","Active"))</f>
        <v>Active</v>
      </c>
      <c r="V310">
        <f>SUM($Q$2:Q310)</f>
        <v>71747010</v>
      </c>
      <c r="W310">
        <f>Table1[[#This Row],[Cumulative_Inventory_Value]]/$AP$3</f>
        <v>0.9478388176185677</v>
      </c>
      <c r="X310" t="str">
        <f>IF(Table1[[#This Row],[Cumulative_Value_%]]&lt;80%,"A", IF(Table1[[#This Row],[Cumulative_Value_%]]&lt;=95%,"B","C"))</f>
        <v>B</v>
      </c>
      <c r="Y310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310">
        <f>Table1[[#This Row],[Consumption]]/365</f>
        <v>1.643835616438356E-2</v>
      </c>
      <c r="AA310">
        <f>Table1[[#This Row],[Avg_Daily_Consumption]]*Table1[[#This Row],[Lead_Time_Days]]+Table1[[#This Row],[Safety_Stock]]</f>
        <v>1.0493150684931507</v>
      </c>
      <c r="AB310">
        <f>IFERROR(Table1[[#This Row],[Closing_Stock]]/Table1[[#This Row],[Avg_Daily_Consumption]],9999)</f>
        <v>1338.3333333333335</v>
      </c>
      <c r="AC310">
        <f>MAX(1,ROUNDUP(Table1[[#This Row],[Avg_Daily_Consumption]]*Table1[[#This Row],[Lead_Time_Days]]*0.8,0))</f>
        <v>1</v>
      </c>
      <c r="AD310" t="str">
        <f>IF(Table1[[#This Row],[Closing_Stock]]&lt;Table1[[#This Row],[Reorder_Point]],"Stock-out Risk","Adequate")</f>
        <v>Adequate</v>
      </c>
      <c r="AE310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310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310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310" s="11">
        <f>MAX(0,Table1[[#This Row],[Closing_Stock]]-Table1[[#This Row],[Reorder_Point]])</f>
        <v>20.950684931506849</v>
      </c>
      <c r="AI310" s="11">
        <f>Table1[[#This Row],[Excess_Stock_Units]]*Table1[[#This Row],[Unit_Cost_INR]]</f>
        <v>40434.821917808222</v>
      </c>
      <c r="AJ310" s="11">
        <f>IF(Table1[[#This Row],[Criticality]]="Critical",0,Table1[[#This Row],[Excess_Inventory_Value_INR]])</f>
        <v>40434.821917808222</v>
      </c>
      <c r="AK310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311" spans="1:37" x14ac:dyDescent="0.25">
      <c r="A311" t="s">
        <v>496</v>
      </c>
      <c r="B311" t="s">
        <v>71</v>
      </c>
      <c r="C311" t="s">
        <v>20</v>
      </c>
      <c r="D311" t="s">
        <v>42</v>
      </c>
      <c r="E311" t="s">
        <v>22</v>
      </c>
      <c r="F311">
        <v>32</v>
      </c>
      <c r="G311">
        <v>24</v>
      </c>
      <c r="H311">
        <v>20</v>
      </c>
      <c r="I311">
        <v>36</v>
      </c>
      <c r="J311">
        <v>1170</v>
      </c>
      <c r="K311">
        <v>22</v>
      </c>
      <c r="L311">
        <v>0</v>
      </c>
      <c r="M311">
        <v>23</v>
      </c>
      <c r="N311" t="s">
        <v>29</v>
      </c>
      <c r="O311">
        <v>0.157</v>
      </c>
      <c r="P311">
        <v>6612.84</v>
      </c>
      <c r="Q311">
        <f>(Table1[[#This Row],[Closing_Stock]]*Table1[[#This Row],[Unit_Cost_INR]])</f>
        <v>42120</v>
      </c>
      <c r="R311">
        <f>(Table1[[#This Row],[Unit_Cost_INR]]*Table1[[#This Row],[Consumption]])</f>
        <v>23400</v>
      </c>
      <c r="S311">
        <f>IFERROR(Table1[[#This Row],[Annual_Consumption_Value_INR]]/Table1[[#This Row],[Inventory_Value_INR]],0)</f>
        <v>0.55555555555555558</v>
      </c>
      <c r="T311">
        <f>IFERROR(365/Table1[[#This Row],[Inventory_Turnover]],0)</f>
        <v>657</v>
      </c>
      <c r="U311" t="str">
        <f>IF(Table1[[#This Row],[Consumption]]=0,"Non-Moving", IF(Table1[[#This Row],[Days_Since_Last_Movement]]&gt;90,"Slow-Moving","Active"))</f>
        <v>Active</v>
      </c>
      <c r="V311">
        <f>SUM($Q$2:Q311)</f>
        <v>71789130</v>
      </c>
      <c r="W311">
        <f>Table1[[#This Row],[Cumulative_Inventory_Value]]/$AP$3</f>
        <v>0.94839525852109585</v>
      </c>
      <c r="X311" t="str">
        <f>IF(Table1[[#This Row],[Cumulative_Value_%]]&lt;80%,"A", IF(Table1[[#This Row],[Cumulative_Value_%]]&lt;=95%,"B","C"))</f>
        <v>B</v>
      </c>
      <c r="Y311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311">
        <f>Table1[[#This Row],[Consumption]]/365</f>
        <v>5.4794520547945202E-2</v>
      </c>
      <c r="AA311">
        <f>Table1[[#This Row],[Avg_Daily_Consumption]]*Table1[[#This Row],[Lead_Time_Days]]+Table1[[#This Row],[Safety_Stock]]</f>
        <v>2.2054794520547945</v>
      </c>
      <c r="AB311">
        <f>IFERROR(Table1[[#This Row],[Closing_Stock]]/Table1[[#This Row],[Avg_Daily_Consumption]],9999)</f>
        <v>657</v>
      </c>
      <c r="AC311">
        <f>MAX(1,ROUNDUP(Table1[[#This Row],[Avg_Daily_Consumption]]*Table1[[#This Row],[Lead_Time_Days]]*0.8,0))</f>
        <v>1</v>
      </c>
      <c r="AD311" t="str">
        <f>IF(Table1[[#This Row],[Closing_Stock]]&lt;Table1[[#This Row],[Reorder_Point]],"Stock-out Risk","Adequate")</f>
        <v>Adequate</v>
      </c>
      <c r="AE311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311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311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311" s="11">
        <f>MAX(0,Table1[[#This Row],[Closing_Stock]]-Table1[[#This Row],[Reorder_Point]])</f>
        <v>33.794520547945204</v>
      </c>
      <c r="AI311" s="11">
        <f>Table1[[#This Row],[Excess_Stock_Units]]*Table1[[#This Row],[Unit_Cost_INR]]</f>
        <v>39539.589041095889</v>
      </c>
      <c r="AJ311" s="11">
        <f>IF(Table1[[#This Row],[Criticality]]="Critical",0,Table1[[#This Row],[Excess_Inventory_Value_INR]])</f>
        <v>39539.589041095889</v>
      </c>
      <c r="AK311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312" spans="1:37" x14ac:dyDescent="0.25">
      <c r="A312" t="s">
        <v>464</v>
      </c>
      <c r="B312" t="s">
        <v>71</v>
      </c>
      <c r="C312" t="s">
        <v>20</v>
      </c>
      <c r="D312" t="s">
        <v>45</v>
      </c>
      <c r="E312" t="s">
        <v>37</v>
      </c>
      <c r="F312">
        <v>18</v>
      </c>
      <c r="G312">
        <v>4</v>
      </c>
      <c r="H312">
        <v>3</v>
      </c>
      <c r="I312">
        <v>19</v>
      </c>
      <c r="J312">
        <v>2210</v>
      </c>
      <c r="K312">
        <v>22</v>
      </c>
      <c r="L312">
        <v>0</v>
      </c>
      <c r="M312">
        <v>34</v>
      </c>
      <c r="N312" t="s">
        <v>49</v>
      </c>
      <c r="O312">
        <v>0.223</v>
      </c>
      <c r="P312">
        <v>9363.77</v>
      </c>
      <c r="Q312">
        <f>(Table1[[#This Row],[Closing_Stock]]*Table1[[#This Row],[Unit_Cost_INR]])</f>
        <v>41990</v>
      </c>
      <c r="R312">
        <f>(Table1[[#This Row],[Unit_Cost_INR]]*Table1[[#This Row],[Consumption]])</f>
        <v>6630</v>
      </c>
      <c r="S312">
        <f>IFERROR(Table1[[#This Row],[Annual_Consumption_Value_INR]]/Table1[[#This Row],[Inventory_Value_INR]],0)</f>
        <v>0.15789473684210525</v>
      </c>
      <c r="T312">
        <f>IFERROR(365/Table1[[#This Row],[Inventory_Turnover]],0)</f>
        <v>2311.666666666667</v>
      </c>
      <c r="U312" t="str">
        <f>IF(Table1[[#This Row],[Consumption]]=0,"Non-Moving", IF(Table1[[#This Row],[Days_Since_Last_Movement]]&gt;90,"Slow-Moving","Active"))</f>
        <v>Active</v>
      </c>
      <c r="V312">
        <f>SUM($Q$2:Q312)</f>
        <v>71831120</v>
      </c>
      <c r="W312">
        <f>Table1[[#This Row],[Cumulative_Inventory_Value]]/$AP$3</f>
        <v>0.94894998201343095</v>
      </c>
      <c r="X312" t="str">
        <f>IF(Table1[[#This Row],[Cumulative_Value_%]]&lt;80%,"A", IF(Table1[[#This Row],[Cumulative_Value_%]]&lt;=95%,"B","C"))</f>
        <v>B</v>
      </c>
      <c r="Y312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312">
        <f>Table1[[#This Row],[Consumption]]/365</f>
        <v>8.21917808219178E-3</v>
      </c>
      <c r="AA312">
        <f>Table1[[#This Row],[Avg_Daily_Consumption]]*Table1[[#This Row],[Lead_Time_Days]]+Table1[[#This Row],[Safety_Stock]]</f>
        <v>1.1808219178082191</v>
      </c>
      <c r="AB312">
        <f>IFERROR(Table1[[#This Row],[Closing_Stock]]/Table1[[#This Row],[Avg_Daily_Consumption]],9999)</f>
        <v>2311.666666666667</v>
      </c>
      <c r="AC312">
        <f>MAX(1,ROUNDUP(Table1[[#This Row],[Avg_Daily_Consumption]]*Table1[[#This Row],[Lead_Time_Days]]*0.8,0))</f>
        <v>1</v>
      </c>
      <c r="AD312" t="str">
        <f>IF(Table1[[#This Row],[Closing_Stock]]&lt;Table1[[#This Row],[Reorder_Point]],"Stock-out Risk","Adequate")</f>
        <v>Adequate</v>
      </c>
      <c r="AE312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312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312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312" s="11">
        <f>MAX(0,Table1[[#This Row],[Closing_Stock]]-Table1[[#This Row],[Reorder_Point]])</f>
        <v>17.81917808219178</v>
      </c>
      <c r="AI312" s="11">
        <f>Table1[[#This Row],[Excess_Stock_Units]]*Table1[[#This Row],[Unit_Cost_INR]]</f>
        <v>39380.38356164383</v>
      </c>
      <c r="AJ312" s="11">
        <f>IF(Table1[[#This Row],[Criticality]]="Critical",0,Table1[[#This Row],[Excess_Inventory_Value_INR]])</f>
        <v>0</v>
      </c>
      <c r="AK312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313" spans="1:37" x14ac:dyDescent="0.25">
      <c r="A313" t="s">
        <v>39</v>
      </c>
      <c r="B313" t="s">
        <v>40</v>
      </c>
      <c r="C313" t="s">
        <v>41</v>
      </c>
      <c r="D313" t="s">
        <v>42</v>
      </c>
      <c r="E313" t="s">
        <v>28</v>
      </c>
      <c r="F313">
        <v>51</v>
      </c>
      <c r="G313">
        <v>73</v>
      </c>
      <c r="H313">
        <v>1</v>
      </c>
      <c r="I313">
        <v>45</v>
      </c>
      <c r="J313">
        <v>930</v>
      </c>
      <c r="K313">
        <v>48</v>
      </c>
      <c r="L313">
        <v>0</v>
      </c>
      <c r="M313">
        <v>201</v>
      </c>
      <c r="N313" t="s">
        <v>23</v>
      </c>
      <c r="O313">
        <v>0.29299999999999998</v>
      </c>
      <c r="P313">
        <v>12262.05</v>
      </c>
      <c r="Q313">
        <f>(Table1[[#This Row],[Closing_Stock]]*Table1[[#This Row],[Unit_Cost_INR]])</f>
        <v>41850</v>
      </c>
      <c r="R313">
        <f>(Table1[[#This Row],[Unit_Cost_INR]]*Table1[[#This Row],[Consumption]])</f>
        <v>930</v>
      </c>
      <c r="S313">
        <f>IFERROR(Table1[[#This Row],[Annual_Consumption_Value_INR]]/Table1[[#This Row],[Inventory_Value_INR]],0)</f>
        <v>2.2222222222222223E-2</v>
      </c>
      <c r="T313">
        <f>IFERROR(365/Table1[[#This Row],[Inventory_Turnover]],0)</f>
        <v>16425</v>
      </c>
      <c r="U313" t="str">
        <f>IF(Table1[[#This Row],[Consumption]]=0,"Non-Moving", IF(Table1[[#This Row],[Days_Since_Last_Movement]]&gt;90,"Slow-Moving","Active"))</f>
        <v>Slow-Moving</v>
      </c>
      <c r="V313">
        <f>SUM($Q$2:Q313)</f>
        <v>71872970</v>
      </c>
      <c r="W313">
        <f>Table1[[#This Row],[Cumulative_Inventory_Value]]/$AP$3</f>
        <v>0.94950285598709672</v>
      </c>
      <c r="X313" t="str">
        <f>IF(Table1[[#This Row],[Cumulative_Value_%]]&lt;80%,"A", IF(Table1[[#This Row],[Cumulative_Value_%]]&lt;=95%,"B","C"))</f>
        <v>B</v>
      </c>
      <c r="Y313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313">
        <f>Table1[[#This Row],[Consumption]]/365</f>
        <v>2.7397260273972603E-3</v>
      </c>
      <c r="AA313">
        <f>Table1[[#This Row],[Avg_Daily_Consumption]]*Table1[[#This Row],[Lead_Time_Days]]+Table1[[#This Row],[Safety_Stock]]</f>
        <v>1.1315068493150684</v>
      </c>
      <c r="AB313">
        <f>IFERROR(Table1[[#This Row],[Closing_Stock]]/Table1[[#This Row],[Avg_Daily_Consumption]],9999)</f>
        <v>16425</v>
      </c>
      <c r="AC313">
        <f>MAX(1,ROUNDUP(Table1[[#This Row],[Avg_Daily_Consumption]]*Table1[[#This Row],[Lead_Time_Days]]*0.8,0))</f>
        <v>1</v>
      </c>
      <c r="AD313" t="str">
        <f>IF(Table1[[#This Row],[Closing_Stock]]&lt;Table1[[#This Row],[Reorder_Point]],"Stock-out Risk","Adequate")</f>
        <v>Adequate</v>
      </c>
      <c r="AE313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313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313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313" s="11">
        <f>MAX(0,Table1[[#This Row],[Closing_Stock]]-Table1[[#This Row],[Reorder_Point]])</f>
        <v>43.868493150684934</v>
      </c>
      <c r="AI313" s="11">
        <f>Table1[[#This Row],[Excess_Stock_Units]]*Table1[[#This Row],[Unit_Cost_INR]]</f>
        <v>40797.698630136991</v>
      </c>
      <c r="AJ313" s="11">
        <f>IF(Table1[[#This Row],[Criticality]]="Critical",0,Table1[[#This Row],[Excess_Inventory_Value_INR]])</f>
        <v>40797.698630136991</v>
      </c>
      <c r="AK313" s="11">
        <f>IF(AND(Table1[[#This Row],[Criticality]]&lt;&gt;"Critical",OR(Table1[[#This Row],[Movement_Class]]="Slow-Moving",Table1[[#This Row],[Movement_Class]]="Non-Moving")),Table1[[#This Row],[Excess_Inventory_Value_INR]],0)</f>
        <v>40797.698630136991</v>
      </c>
    </row>
    <row r="314" spans="1:37" x14ac:dyDescent="0.25">
      <c r="A314" t="s">
        <v>227</v>
      </c>
      <c r="B314" t="s">
        <v>95</v>
      </c>
      <c r="C314" t="s">
        <v>26</v>
      </c>
      <c r="D314" t="s">
        <v>42</v>
      </c>
      <c r="E314" t="s">
        <v>22</v>
      </c>
      <c r="F314">
        <v>16</v>
      </c>
      <c r="G314">
        <v>7</v>
      </c>
      <c r="H314">
        <v>6</v>
      </c>
      <c r="I314">
        <v>17</v>
      </c>
      <c r="J314">
        <v>2460</v>
      </c>
      <c r="K314">
        <v>4</v>
      </c>
      <c r="L314">
        <v>0</v>
      </c>
      <c r="M314">
        <v>48</v>
      </c>
      <c r="N314" t="s">
        <v>29</v>
      </c>
      <c r="O314">
        <v>0.17299999999999999</v>
      </c>
      <c r="P314">
        <v>7234.86</v>
      </c>
      <c r="Q314">
        <f>(Table1[[#This Row],[Closing_Stock]]*Table1[[#This Row],[Unit_Cost_INR]])</f>
        <v>41820</v>
      </c>
      <c r="R314">
        <f>(Table1[[#This Row],[Unit_Cost_INR]]*Table1[[#This Row],[Consumption]])</f>
        <v>14760</v>
      </c>
      <c r="S314">
        <f>IFERROR(Table1[[#This Row],[Annual_Consumption_Value_INR]]/Table1[[#This Row],[Inventory_Value_INR]],0)</f>
        <v>0.35294117647058826</v>
      </c>
      <c r="T314">
        <f>IFERROR(365/Table1[[#This Row],[Inventory_Turnover]],0)</f>
        <v>1034.1666666666665</v>
      </c>
      <c r="U314" t="str">
        <f>IF(Table1[[#This Row],[Consumption]]=0,"Non-Moving", IF(Table1[[#This Row],[Days_Since_Last_Movement]]&gt;90,"Slow-Moving","Active"))</f>
        <v>Active</v>
      </c>
      <c r="V314">
        <f>SUM($Q$2:Q314)</f>
        <v>71914790</v>
      </c>
      <c r="W314">
        <f>Table1[[#This Row],[Cumulative_Inventory_Value]]/$AP$3</f>
        <v>0.95005533363533334</v>
      </c>
      <c r="X314" t="str">
        <f>IF(Table1[[#This Row],[Cumulative_Value_%]]&lt;80%,"A", IF(Table1[[#This Row],[Cumulative_Value_%]]&lt;=95%,"B","C"))</f>
        <v>C</v>
      </c>
      <c r="Y314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314">
        <f>Table1[[#This Row],[Consumption]]/365</f>
        <v>1.643835616438356E-2</v>
      </c>
      <c r="AA314">
        <f>Table1[[#This Row],[Avg_Daily_Consumption]]*Table1[[#This Row],[Lead_Time_Days]]+Table1[[#This Row],[Safety_Stock]]</f>
        <v>1.0657534246575342</v>
      </c>
      <c r="AB314">
        <f>IFERROR(Table1[[#This Row],[Closing_Stock]]/Table1[[#This Row],[Avg_Daily_Consumption]],9999)</f>
        <v>1034.1666666666667</v>
      </c>
      <c r="AC314">
        <f>MAX(1,ROUNDUP(Table1[[#This Row],[Avg_Daily_Consumption]]*Table1[[#This Row],[Lead_Time_Days]]*0.8,0))</f>
        <v>1</v>
      </c>
      <c r="AD314" t="str">
        <f>IF(Table1[[#This Row],[Closing_Stock]]&lt;Table1[[#This Row],[Reorder_Point]],"Stock-out Risk","Adequate")</f>
        <v>Adequate</v>
      </c>
      <c r="AE314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314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314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314" s="11">
        <f>MAX(0,Table1[[#This Row],[Closing_Stock]]-Table1[[#This Row],[Reorder_Point]])</f>
        <v>15.934246575342465</v>
      </c>
      <c r="AI314" s="11">
        <f>Table1[[#This Row],[Excess_Stock_Units]]*Table1[[#This Row],[Unit_Cost_INR]]</f>
        <v>39198.246575342462</v>
      </c>
      <c r="AJ314" s="11">
        <f>IF(Table1[[#This Row],[Criticality]]="Critical",0,Table1[[#This Row],[Excess_Inventory_Value_INR]])</f>
        <v>39198.246575342462</v>
      </c>
      <c r="AK314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315" spans="1:37" x14ac:dyDescent="0.25">
      <c r="A315" t="s">
        <v>102</v>
      </c>
      <c r="B315" t="s">
        <v>80</v>
      </c>
      <c r="C315" t="s">
        <v>20</v>
      </c>
      <c r="D315" t="s">
        <v>27</v>
      </c>
      <c r="E315" t="s">
        <v>37</v>
      </c>
      <c r="F315">
        <v>36</v>
      </c>
      <c r="G315">
        <v>35</v>
      </c>
      <c r="H315">
        <v>39</v>
      </c>
      <c r="I315">
        <v>32</v>
      </c>
      <c r="J315">
        <v>1290</v>
      </c>
      <c r="K315">
        <v>29</v>
      </c>
      <c r="L315">
        <v>1</v>
      </c>
      <c r="M315">
        <v>225</v>
      </c>
      <c r="N315" t="s">
        <v>58</v>
      </c>
      <c r="O315">
        <v>0.19400000000000001</v>
      </c>
      <c r="P315">
        <v>8008.3200000000006</v>
      </c>
      <c r="Q315">
        <f>(Table1[[#This Row],[Closing_Stock]]*Table1[[#This Row],[Unit_Cost_INR]])</f>
        <v>41280</v>
      </c>
      <c r="R315">
        <f>(Table1[[#This Row],[Unit_Cost_INR]]*Table1[[#This Row],[Consumption]])</f>
        <v>50310</v>
      </c>
      <c r="S315">
        <f>IFERROR(Table1[[#This Row],[Annual_Consumption_Value_INR]]/Table1[[#This Row],[Inventory_Value_INR]],0)</f>
        <v>1.21875</v>
      </c>
      <c r="T315">
        <f>IFERROR(365/Table1[[#This Row],[Inventory_Turnover]],0)</f>
        <v>299.4871794871795</v>
      </c>
      <c r="U315" t="str">
        <f>IF(Table1[[#This Row],[Consumption]]=0,"Non-Moving", IF(Table1[[#This Row],[Days_Since_Last_Movement]]&gt;90,"Slow-Moving","Active"))</f>
        <v>Slow-Moving</v>
      </c>
      <c r="V315">
        <f>SUM($Q$2:Q315)</f>
        <v>71956070</v>
      </c>
      <c r="W315">
        <f>Table1[[#This Row],[Cumulative_Inventory_Value]]/$AP$3</f>
        <v>0.9506006774258452</v>
      </c>
      <c r="X315" t="str">
        <f>IF(Table1[[#This Row],[Cumulative_Value_%]]&lt;80%,"A", IF(Table1[[#This Row],[Cumulative_Value_%]]&lt;=95%,"B","C"))</f>
        <v>C</v>
      </c>
      <c r="Y315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315">
        <f>Table1[[#This Row],[Consumption]]/365</f>
        <v>0.10684931506849316</v>
      </c>
      <c r="AA315">
        <f>Table1[[#This Row],[Avg_Daily_Consumption]]*Table1[[#This Row],[Lead_Time_Days]]+Table1[[#This Row],[Safety_Stock]]</f>
        <v>6.0986301369863014</v>
      </c>
      <c r="AB315">
        <f>IFERROR(Table1[[#This Row],[Closing_Stock]]/Table1[[#This Row],[Avg_Daily_Consumption]],9999)</f>
        <v>299.48717948717945</v>
      </c>
      <c r="AC315">
        <f>MAX(1,ROUNDUP(Table1[[#This Row],[Avg_Daily_Consumption]]*Table1[[#This Row],[Lead_Time_Days]]*0.8,0))</f>
        <v>3</v>
      </c>
      <c r="AD315" t="str">
        <f>IF(Table1[[#This Row],[Closing_Stock]]&lt;Table1[[#This Row],[Reorder_Point]],"Stock-out Risk","Adequate")</f>
        <v>Adequate</v>
      </c>
      <c r="AE315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315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315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315" s="11">
        <f>MAX(0,Table1[[#This Row],[Closing_Stock]]-Table1[[#This Row],[Reorder_Point]])</f>
        <v>25.901369863013699</v>
      </c>
      <c r="AI315" s="11">
        <f>Table1[[#This Row],[Excess_Stock_Units]]*Table1[[#This Row],[Unit_Cost_INR]]</f>
        <v>33412.767123287675</v>
      </c>
      <c r="AJ315" s="11">
        <f>IF(Table1[[#This Row],[Criticality]]="Critical",0,Table1[[#This Row],[Excess_Inventory_Value_INR]])</f>
        <v>0</v>
      </c>
      <c r="AK315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316" spans="1:37" x14ac:dyDescent="0.25">
      <c r="A316" t="s">
        <v>519</v>
      </c>
      <c r="B316" t="s">
        <v>184</v>
      </c>
      <c r="C316" t="s">
        <v>26</v>
      </c>
      <c r="D316" t="s">
        <v>21</v>
      </c>
      <c r="E316" t="s">
        <v>22</v>
      </c>
      <c r="F316">
        <v>13</v>
      </c>
      <c r="G316">
        <v>24</v>
      </c>
      <c r="H316">
        <v>16</v>
      </c>
      <c r="I316">
        <v>21</v>
      </c>
      <c r="J316">
        <v>1940</v>
      </c>
      <c r="K316">
        <v>49</v>
      </c>
      <c r="L316">
        <v>0</v>
      </c>
      <c r="M316">
        <v>2</v>
      </c>
      <c r="N316" t="s">
        <v>49</v>
      </c>
      <c r="O316">
        <v>0.22800000000000001</v>
      </c>
      <c r="P316">
        <v>9288.7200000000012</v>
      </c>
      <c r="Q316">
        <f>(Table1[[#This Row],[Closing_Stock]]*Table1[[#This Row],[Unit_Cost_INR]])</f>
        <v>40740</v>
      </c>
      <c r="R316">
        <f>(Table1[[#This Row],[Unit_Cost_INR]]*Table1[[#This Row],[Consumption]])</f>
        <v>31040</v>
      </c>
      <c r="S316">
        <f>IFERROR(Table1[[#This Row],[Annual_Consumption_Value_INR]]/Table1[[#This Row],[Inventory_Value_INR]],0)</f>
        <v>0.76190476190476186</v>
      </c>
      <c r="T316">
        <f>IFERROR(365/Table1[[#This Row],[Inventory_Turnover]],0)</f>
        <v>479.0625</v>
      </c>
      <c r="U316" t="str">
        <f>IF(Table1[[#This Row],[Consumption]]=0,"Non-Moving", IF(Table1[[#This Row],[Days_Since_Last_Movement]]&gt;90,"Slow-Moving","Active"))</f>
        <v>Active</v>
      </c>
      <c r="V316">
        <f>SUM($Q$2:Q316)</f>
        <v>71996810</v>
      </c>
      <c r="W316">
        <f>Table1[[#This Row],[Cumulative_Inventory_Value]]/$AP$3</f>
        <v>0.95113888735863239</v>
      </c>
      <c r="X316" t="str">
        <f>IF(Table1[[#This Row],[Cumulative_Value_%]]&lt;80%,"A", IF(Table1[[#This Row],[Cumulative_Value_%]]&lt;=95%,"B","C"))</f>
        <v>C</v>
      </c>
      <c r="Y316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316">
        <f>Table1[[#This Row],[Consumption]]/365</f>
        <v>4.3835616438356165E-2</v>
      </c>
      <c r="AA316">
        <f>Table1[[#This Row],[Avg_Daily_Consumption]]*Table1[[#This Row],[Lead_Time_Days]]+Table1[[#This Row],[Safety_Stock]]</f>
        <v>4.1479452054794521</v>
      </c>
      <c r="AB316">
        <f>IFERROR(Table1[[#This Row],[Closing_Stock]]/Table1[[#This Row],[Avg_Daily_Consumption]],9999)</f>
        <v>479.0625</v>
      </c>
      <c r="AC316">
        <f>MAX(1,ROUNDUP(Table1[[#This Row],[Avg_Daily_Consumption]]*Table1[[#This Row],[Lead_Time_Days]]*0.8,0))</f>
        <v>2</v>
      </c>
      <c r="AD316" t="str">
        <f>IF(Table1[[#This Row],[Closing_Stock]]&lt;Table1[[#This Row],[Reorder_Point]],"Stock-out Risk","Adequate")</f>
        <v>Adequate</v>
      </c>
      <c r="AE316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316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316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316" s="11">
        <f>MAX(0,Table1[[#This Row],[Closing_Stock]]-Table1[[#This Row],[Reorder_Point]])</f>
        <v>16.852054794520548</v>
      </c>
      <c r="AI316" s="11">
        <f>Table1[[#This Row],[Excess_Stock_Units]]*Table1[[#This Row],[Unit_Cost_INR]]</f>
        <v>32692.986301369863</v>
      </c>
      <c r="AJ316" s="11">
        <f>IF(Table1[[#This Row],[Criticality]]="Critical",0,Table1[[#This Row],[Excess_Inventory_Value_INR]])</f>
        <v>32692.986301369863</v>
      </c>
      <c r="AK316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317" spans="1:37" x14ac:dyDescent="0.25">
      <c r="A317" t="s">
        <v>65</v>
      </c>
      <c r="B317" t="s">
        <v>48</v>
      </c>
      <c r="C317" t="s">
        <v>41</v>
      </c>
      <c r="D317" t="s">
        <v>66</v>
      </c>
      <c r="E317" t="s">
        <v>22</v>
      </c>
      <c r="F317">
        <v>19</v>
      </c>
      <c r="G317">
        <v>15</v>
      </c>
      <c r="H317">
        <v>11</v>
      </c>
      <c r="I317">
        <v>23</v>
      </c>
      <c r="J317">
        <v>1760</v>
      </c>
      <c r="K317">
        <v>19</v>
      </c>
      <c r="L317">
        <v>0</v>
      </c>
      <c r="M317">
        <v>54</v>
      </c>
      <c r="N317" t="s">
        <v>29</v>
      </c>
      <c r="O317">
        <v>0.154</v>
      </c>
      <c r="P317">
        <v>6233.92</v>
      </c>
      <c r="Q317">
        <f>(Table1[[#This Row],[Closing_Stock]]*Table1[[#This Row],[Unit_Cost_INR]])</f>
        <v>40480</v>
      </c>
      <c r="R317">
        <f>(Table1[[#This Row],[Unit_Cost_INR]]*Table1[[#This Row],[Consumption]])</f>
        <v>19360</v>
      </c>
      <c r="S317">
        <f>IFERROR(Table1[[#This Row],[Annual_Consumption_Value_INR]]/Table1[[#This Row],[Inventory_Value_INR]],0)</f>
        <v>0.47826086956521741</v>
      </c>
      <c r="T317">
        <f>IFERROR(365/Table1[[#This Row],[Inventory_Turnover]],0)</f>
        <v>763.18181818181813</v>
      </c>
      <c r="U317" t="str">
        <f>IF(Table1[[#This Row],[Consumption]]=0,"Non-Moving", IF(Table1[[#This Row],[Days_Since_Last_Movement]]&gt;90,"Slow-Moving","Active"))</f>
        <v>Active</v>
      </c>
      <c r="V317">
        <f>SUM($Q$2:Q317)</f>
        <v>72037290</v>
      </c>
      <c r="W317">
        <f>Table1[[#This Row],[Cumulative_Inventory_Value]]/$AP$3</f>
        <v>0.95167366247103358</v>
      </c>
      <c r="X317" t="str">
        <f>IF(Table1[[#This Row],[Cumulative_Value_%]]&lt;80%,"A", IF(Table1[[#This Row],[Cumulative_Value_%]]&lt;=95%,"B","C"))</f>
        <v>C</v>
      </c>
      <c r="Y317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317">
        <f>Table1[[#This Row],[Consumption]]/365</f>
        <v>3.0136986301369864E-2</v>
      </c>
      <c r="AA317">
        <f>Table1[[#This Row],[Avg_Daily_Consumption]]*Table1[[#This Row],[Lead_Time_Days]]+Table1[[#This Row],[Safety_Stock]]</f>
        <v>1.5726027397260274</v>
      </c>
      <c r="AB317">
        <f>IFERROR(Table1[[#This Row],[Closing_Stock]]/Table1[[#This Row],[Avg_Daily_Consumption]],9999)</f>
        <v>763.18181818181813</v>
      </c>
      <c r="AC317">
        <f>MAX(1,ROUNDUP(Table1[[#This Row],[Avg_Daily_Consumption]]*Table1[[#This Row],[Lead_Time_Days]]*0.8,0))</f>
        <v>1</v>
      </c>
      <c r="AD317" t="str">
        <f>IF(Table1[[#This Row],[Closing_Stock]]&lt;Table1[[#This Row],[Reorder_Point]],"Stock-out Risk","Adequate")</f>
        <v>Adequate</v>
      </c>
      <c r="AE317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317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317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317" s="11">
        <f>MAX(0,Table1[[#This Row],[Closing_Stock]]-Table1[[#This Row],[Reorder_Point]])</f>
        <v>21.427397260273974</v>
      </c>
      <c r="AI317" s="11">
        <f>Table1[[#This Row],[Excess_Stock_Units]]*Table1[[#This Row],[Unit_Cost_INR]]</f>
        <v>37712.219178082196</v>
      </c>
      <c r="AJ317" s="11">
        <f>IF(Table1[[#This Row],[Criticality]]="Critical",0,Table1[[#This Row],[Excess_Inventory_Value_INR]])</f>
        <v>37712.219178082196</v>
      </c>
      <c r="AK317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318" spans="1:37" x14ac:dyDescent="0.25">
      <c r="A318" t="s">
        <v>503</v>
      </c>
      <c r="B318" t="s">
        <v>48</v>
      </c>
      <c r="C318" t="s">
        <v>41</v>
      </c>
      <c r="D318" t="s">
        <v>66</v>
      </c>
      <c r="E318" t="s">
        <v>37</v>
      </c>
      <c r="F318">
        <v>10</v>
      </c>
      <c r="G318">
        <v>100</v>
      </c>
      <c r="H318">
        <v>72</v>
      </c>
      <c r="I318">
        <v>38</v>
      </c>
      <c r="J318">
        <v>1060</v>
      </c>
      <c r="K318">
        <v>42</v>
      </c>
      <c r="L318">
        <v>0</v>
      </c>
      <c r="M318">
        <v>2</v>
      </c>
      <c r="N318" t="s">
        <v>23</v>
      </c>
      <c r="O318">
        <v>0.26</v>
      </c>
      <c r="P318">
        <v>10472.799999999999</v>
      </c>
      <c r="Q318">
        <f>(Table1[[#This Row],[Closing_Stock]]*Table1[[#This Row],[Unit_Cost_INR]])</f>
        <v>40280</v>
      </c>
      <c r="R318">
        <f>(Table1[[#This Row],[Unit_Cost_INR]]*Table1[[#This Row],[Consumption]])</f>
        <v>76320</v>
      </c>
      <c r="S318">
        <f>IFERROR(Table1[[#This Row],[Annual_Consumption_Value_INR]]/Table1[[#This Row],[Inventory_Value_INR]],0)</f>
        <v>1.8947368421052631</v>
      </c>
      <c r="T318">
        <f>IFERROR(365/Table1[[#This Row],[Inventory_Turnover]],0)</f>
        <v>192.63888888888889</v>
      </c>
      <c r="U318" t="str">
        <f>IF(Table1[[#This Row],[Consumption]]=0,"Non-Moving", IF(Table1[[#This Row],[Days_Since_Last_Movement]]&gt;90,"Slow-Moving","Active"))</f>
        <v>Active</v>
      </c>
      <c r="V318">
        <f>SUM($Q$2:Q318)</f>
        <v>72077570</v>
      </c>
      <c r="W318">
        <f>Table1[[#This Row],[Cumulative_Inventory_Value]]/$AP$3</f>
        <v>0.95220579541390704</v>
      </c>
      <c r="X318" t="str">
        <f>IF(Table1[[#This Row],[Cumulative_Value_%]]&lt;80%,"A", IF(Table1[[#This Row],[Cumulative_Value_%]]&lt;=95%,"B","C"))</f>
        <v>C</v>
      </c>
      <c r="Y318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318">
        <f>Table1[[#This Row],[Consumption]]/365</f>
        <v>0.19726027397260273</v>
      </c>
      <c r="AA318">
        <f>Table1[[#This Row],[Avg_Daily_Consumption]]*Table1[[#This Row],[Lead_Time_Days]]+Table1[[#This Row],[Safety_Stock]]</f>
        <v>15.284931506849315</v>
      </c>
      <c r="AB318">
        <f>IFERROR(Table1[[#This Row],[Closing_Stock]]/Table1[[#This Row],[Avg_Daily_Consumption]],9999)</f>
        <v>192.63888888888889</v>
      </c>
      <c r="AC318">
        <f>MAX(1,ROUNDUP(Table1[[#This Row],[Avg_Daily_Consumption]]*Table1[[#This Row],[Lead_Time_Days]]*0.8,0))</f>
        <v>7</v>
      </c>
      <c r="AD318" t="str">
        <f>IF(Table1[[#This Row],[Closing_Stock]]&lt;Table1[[#This Row],[Reorder_Point]],"Stock-out Risk","Adequate")</f>
        <v>Adequate</v>
      </c>
      <c r="AE318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318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318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318" s="11">
        <f>MAX(0,Table1[[#This Row],[Closing_Stock]]-Table1[[#This Row],[Reorder_Point]])</f>
        <v>22.715068493150685</v>
      </c>
      <c r="AI318" s="11">
        <f>Table1[[#This Row],[Excess_Stock_Units]]*Table1[[#This Row],[Unit_Cost_INR]]</f>
        <v>24077.972602739726</v>
      </c>
      <c r="AJ318" s="11">
        <f>IF(Table1[[#This Row],[Criticality]]="Critical",0,Table1[[#This Row],[Excess_Inventory_Value_INR]])</f>
        <v>0</v>
      </c>
      <c r="AK318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319" spans="1:37" x14ac:dyDescent="0.25">
      <c r="A319" t="s">
        <v>169</v>
      </c>
      <c r="B319" t="s">
        <v>44</v>
      </c>
      <c r="C319" t="s">
        <v>41</v>
      </c>
      <c r="D319" t="s">
        <v>21</v>
      </c>
      <c r="E319" t="s">
        <v>22</v>
      </c>
      <c r="F319">
        <v>23</v>
      </c>
      <c r="G319">
        <v>23</v>
      </c>
      <c r="H319">
        <v>14</v>
      </c>
      <c r="I319">
        <v>32</v>
      </c>
      <c r="J319">
        <v>1250</v>
      </c>
      <c r="K319">
        <v>24</v>
      </c>
      <c r="L319">
        <v>0</v>
      </c>
      <c r="M319">
        <v>117</v>
      </c>
      <c r="N319" t="s">
        <v>23</v>
      </c>
      <c r="O319">
        <v>0.26700000000000002</v>
      </c>
      <c r="P319">
        <v>10680</v>
      </c>
      <c r="Q319">
        <f>(Table1[[#This Row],[Closing_Stock]]*Table1[[#This Row],[Unit_Cost_INR]])</f>
        <v>40000</v>
      </c>
      <c r="R319">
        <f>(Table1[[#This Row],[Unit_Cost_INR]]*Table1[[#This Row],[Consumption]])</f>
        <v>17500</v>
      </c>
      <c r="S319">
        <f>IFERROR(Table1[[#This Row],[Annual_Consumption_Value_INR]]/Table1[[#This Row],[Inventory_Value_INR]],0)</f>
        <v>0.4375</v>
      </c>
      <c r="T319">
        <f>IFERROR(365/Table1[[#This Row],[Inventory_Turnover]],0)</f>
        <v>834.28571428571433</v>
      </c>
      <c r="U319" t="str">
        <f>IF(Table1[[#This Row],[Consumption]]=0,"Non-Moving", IF(Table1[[#This Row],[Days_Since_Last_Movement]]&gt;90,"Slow-Moving","Active"))</f>
        <v>Slow-Moving</v>
      </c>
      <c r="V319">
        <f>SUM($Q$2:Q319)</f>
        <v>72117570</v>
      </c>
      <c r="W319">
        <f>Table1[[#This Row],[Cumulative_Inventory_Value]]/$AP$3</f>
        <v>0.95273422931944185</v>
      </c>
      <c r="X319" t="str">
        <f>IF(Table1[[#This Row],[Cumulative_Value_%]]&lt;80%,"A", IF(Table1[[#This Row],[Cumulative_Value_%]]&lt;=95%,"B","C"))</f>
        <v>C</v>
      </c>
      <c r="Y319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319">
        <f>Table1[[#This Row],[Consumption]]/365</f>
        <v>3.8356164383561646E-2</v>
      </c>
      <c r="AA319">
        <f>Table1[[#This Row],[Avg_Daily_Consumption]]*Table1[[#This Row],[Lead_Time_Days]]+Table1[[#This Row],[Safety_Stock]]</f>
        <v>1.9205479452054794</v>
      </c>
      <c r="AB319">
        <f>IFERROR(Table1[[#This Row],[Closing_Stock]]/Table1[[#This Row],[Avg_Daily_Consumption]],9999)</f>
        <v>834.28571428571422</v>
      </c>
      <c r="AC319">
        <f>MAX(1,ROUNDUP(Table1[[#This Row],[Avg_Daily_Consumption]]*Table1[[#This Row],[Lead_Time_Days]]*0.8,0))</f>
        <v>1</v>
      </c>
      <c r="AD319" t="str">
        <f>IF(Table1[[#This Row],[Closing_Stock]]&lt;Table1[[#This Row],[Reorder_Point]],"Stock-out Risk","Adequate")</f>
        <v>Adequate</v>
      </c>
      <c r="AE319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319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319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319" s="11">
        <f>MAX(0,Table1[[#This Row],[Closing_Stock]]-Table1[[#This Row],[Reorder_Point]])</f>
        <v>30.079452054794519</v>
      </c>
      <c r="AI319" s="11">
        <f>Table1[[#This Row],[Excess_Stock_Units]]*Table1[[#This Row],[Unit_Cost_INR]]</f>
        <v>37599.315068493146</v>
      </c>
      <c r="AJ319" s="11">
        <f>IF(Table1[[#This Row],[Criticality]]="Critical",0,Table1[[#This Row],[Excess_Inventory_Value_INR]])</f>
        <v>37599.315068493146</v>
      </c>
      <c r="AK319" s="11">
        <f>IF(AND(Table1[[#This Row],[Criticality]]&lt;&gt;"Critical",OR(Table1[[#This Row],[Movement_Class]]="Slow-Moving",Table1[[#This Row],[Movement_Class]]="Non-Moving")),Table1[[#This Row],[Excess_Inventory_Value_INR]],0)</f>
        <v>37599.315068493146</v>
      </c>
    </row>
    <row r="320" spans="1:37" x14ac:dyDescent="0.25">
      <c r="A320" t="s">
        <v>367</v>
      </c>
      <c r="B320" t="s">
        <v>48</v>
      </c>
      <c r="C320" t="s">
        <v>41</v>
      </c>
      <c r="D320" t="s">
        <v>45</v>
      </c>
      <c r="E320" t="s">
        <v>28</v>
      </c>
      <c r="F320">
        <v>57</v>
      </c>
      <c r="G320">
        <v>86</v>
      </c>
      <c r="H320">
        <v>79</v>
      </c>
      <c r="I320">
        <v>64</v>
      </c>
      <c r="J320">
        <v>620</v>
      </c>
      <c r="K320">
        <v>29</v>
      </c>
      <c r="L320">
        <v>1</v>
      </c>
      <c r="M320">
        <v>217</v>
      </c>
      <c r="N320" t="s">
        <v>58</v>
      </c>
      <c r="O320">
        <v>0.23400000000000001</v>
      </c>
      <c r="P320">
        <v>9285.1200000000008</v>
      </c>
      <c r="Q320">
        <f>(Table1[[#This Row],[Closing_Stock]]*Table1[[#This Row],[Unit_Cost_INR]])</f>
        <v>39680</v>
      </c>
      <c r="R320">
        <f>(Table1[[#This Row],[Unit_Cost_INR]]*Table1[[#This Row],[Consumption]])</f>
        <v>48980</v>
      </c>
      <c r="S320">
        <f>IFERROR(Table1[[#This Row],[Annual_Consumption_Value_INR]]/Table1[[#This Row],[Inventory_Value_INR]],0)</f>
        <v>1.234375</v>
      </c>
      <c r="T320">
        <f>IFERROR(365/Table1[[#This Row],[Inventory_Turnover]],0)</f>
        <v>295.69620253164555</v>
      </c>
      <c r="U320" t="str">
        <f>IF(Table1[[#This Row],[Consumption]]=0,"Non-Moving", IF(Table1[[#This Row],[Days_Since_Last_Movement]]&gt;90,"Slow-Moving","Active"))</f>
        <v>Slow-Moving</v>
      </c>
      <c r="V320">
        <f>SUM($Q$2:Q320)</f>
        <v>72157250</v>
      </c>
      <c r="W320">
        <f>Table1[[#This Row],[Cumulative_Inventory_Value]]/$AP$3</f>
        <v>0.95325843575373237</v>
      </c>
      <c r="X320" t="str">
        <f>IF(Table1[[#This Row],[Cumulative_Value_%]]&lt;80%,"A", IF(Table1[[#This Row],[Cumulative_Value_%]]&lt;=95%,"B","C"))</f>
        <v>C</v>
      </c>
      <c r="Y320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320">
        <f>Table1[[#This Row],[Consumption]]/365</f>
        <v>0.21643835616438356</v>
      </c>
      <c r="AA320">
        <f>Table1[[#This Row],[Avg_Daily_Consumption]]*Table1[[#This Row],[Lead_Time_Days]]+Table1[[#This Row],[Safety_Stock]]</f>
        <v>12.276712328767124</v>
      </c>
      <c r="AB320">
        <f>IFERROR(Table1[[#This Row],[Closing_Stock]]/Table1[[#This Row],[Avg_Daily_Consumption]],9999)</f>
        <v>295.69620253164555</v>
      </c>
      <c r="AC320">
        <f>MAX(1,ROUNDUP(Table1[[#This Row],[Avg_Daily_Consumption]]*Table1[[#This Row],[Lead_Time_Days]]*0.8,0))</f>
        <v>6</v>
      </c>
      <c r="AD320" t="str">
        <f>IF(Table1[[#This Row],[Closing_Stock]]&lt;Table1[[#This Row],[Reorder_Point]],"Stock-out Risk","Adequate")</f>
        <v>Adequate</v>
      </c>
      <c r="AE320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320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320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320" s="11">
        <f>MAX(0,Table1[[#This Row],[Closing_Stock]]-Table1[[#This Row],[Reorder_Point]])</f>
        <v>51.723287671232875</v>
      </c>
      <c r="AI320" s="11">
        <f>Table1[[#This Row],[Excess_Stock_Units]]*Table1[[#This Row],[Unit_Cost_INR]]</f>
        <v>32068.438356164381</v>
      </c>
      <c r="AJ320" s="11">
        <f>IF(Table1[[#This Row],[Criticality]]="Critical",0,Table1[[#This Row],[Excess_Inventory_Value_INR]])</f>
        <v>32068.438356164381</v>
      </c>
      <c r="AK320" s="11">
        <f>IF(AND(Table1[[#This Row],[Criticality]]&lt;&gt;"Critical",OR(Table1[[#This Row],[Movement_Class]]="Slow-Moving",Table1[[#This Row],[Movement_Class]]="Non-Moving")),Table1[[#This Row],[Excess_Inventory_Value_INR]],0)</f>
        <v>32068.438356164381</v>
      </c>
    </row>
    <row r="321" spans="1:37" x14ac:dyDescent="0.25">
      <c r="A321" t="s">
        <v>280</v>
      </c>
      <c r="B321" t="s">
        <v>54</v>
      </c>
      <c r="C321" t="s">
        <v>36</v>
      </c>
      <c r="D321" t="s">
        <v>66</v>
      </c>
      <c r="E321" t="s">
        <v>28</v>
      </c>
      <c r="F321">
        <v>20</v>
      </c>
      <c r="G321">
        <v>10</v>
      </c>
      <c r="H321">
        <v>8</v>
      </c>
      <c r="I321">
        <v>22</v>
      </c>
      <c r="J321">
        <v>1800</v>
      </c>
      <c r="K321">
        <v>21</v>
      </c>
      <c r="L321">
        <v>0</v>
      </c>
      <c r="M321">
        <v>312</v>
      </c>
      <c r="N321" t="s">
        <v>33</v>
      </c>
      <c r="O321">
        <v>0.27500000000000002</v>
      </c>
      <c r="P321">
        <v>10890</v>
      </c>
      <c r="Q321">
        <f>(Table1[[#This Row],[Closing_Stock]]*Table1[[#This Row],[Unit_Cost_INR]])</f>
        <v>39600</v>
      </c>
      <c r="R321">
        <f>(Table1[[#This Row],[Unit_Cost_INR]]*Table1[[#This Row],[Consumption]])</f>
        <v>14400</v>
      </c>
      <c r="S321">
        <f>IFERROR(Table1[[#This Row],[Annual_Consumption_Value_INR]]/Table1[[#This Row],[Inventory_Value_INR]],0)</f>
        <v>0.36363636363636365</v>
      </c>
      <c r="T321">
        <f>IFERROR(365/Table1[[#This Row],[Inventory_Turnover]],0)</f>
        <v>1003.75</v>
      </c>
      <c r="U321" t="str">
        <f>IF(Table1[[#This Row],[Consumption]]=0,"Non-Moving", IF(Table1[[#This Row],[Days_Since_Last_Movement]]&gt;90,"Slow-Moving","Active"))</f>
        <v>Slow-Moving</v>
      </c>
      <c r="V321">
        <f>SUM($Q$2:Q321)</f>
        <v>72196850</v>
      </c>
      <c r="W321">
        <f>Table1[[#This Row],[Cumulative_Inventory_Value]]/$AP$3</f>
        <v>0.95378158532021184</v>
      </c>
      <c r="X321" t="str">
        <f>IF(Table1[[#This Row],[Cumulative_Value_%]]&lt;80%,"A", IF(Table1[[#This Row],[Cumulative_Value_%]]&lt;=95%,"B","C"))</f>
        <v>C</v>
      </c>
      <c r="Y321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321">
        <f>Table1[[#This Row],[Consumption]]/365</f>
        <v>2.1917808219178082E-2</v>
      </c>
      <c r="AA321">
        <f>Table1[[#This Row],[Avg_Daily_Consumption]]*Table1[[#This Row],[Lead_Time_Days]]+Table1[[#This Row],[Safety_Stock]]</f>
        <v>1.4602739726027396</v>
      </c>
      <c r="AB321">
        <f>IFERROR(Table1[[#This Row],[Closing_Stock]]/Table1[[#This Row],[Avg_Daily_Consumption]],9999)</f>
        <v>1003.75</v>
      </c>
      <c r="AC321">
        <f>MAX(1,ROUNDUP(Table1[[#This Row],[Avg_Daily_Consumption]]*Table1[[#This Row],[Lead_Time_Days]]*0.8,0))</f>
        <v>1</v>
      </c>
      <c r="AD321" t="str">
        <f>IF(Table1[[#This Row],[Closing_Stock]]&lt;Table1[[#This Row],[Reorder_Point]],"Stock-out Risk","Adequate")</f>
        <v>Adequate</v>
      </c>
      <c r="AE321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321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321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321" s="11">
        <f>MAX(0,Table1[[#This Row],[Closing_Stock]]-Table1[[#This Row],[Reorder_Point]])</f>
        <v>20.539726027397261</v>
      </c>
      <c r="AI321" s="11">
        <f>Table1[[#This Row],[Excess_Stock_Units]]*Table1[[#This Row],[Unit_Cost_INR]]</f>
        <v>36971.506849315068</v>
      </c>
      <c r="AJ321" s="11">
        <f>IF(Table1[[#This Row],[Criticality]]="Critical",0,Table1[[#This Row],[Excess_Inventory_Value_INR]])</f>
        <v>36971.506849315068</v>
      </c>
      <c r="AK321" s="11">
        <f>IF(AND(Table1[[#This Row],[Criticality]]&lt;&gt;"Critical",OR(Table1[[#This Row],[Movement_Class]]="Slow-Moving",Table1[[#This Row],[Movement_Class]]="Non-Moving")),Table1[[#This Row],[Excess_Inventory_Value_INR]],0)</f>
        <v>36971.506849315068</v>
      </c>
    </row>
    <row r="322" spans="1:37" x14ac:dyDescent="0.25">
      <c r="A322" t="s">
        <v>485</v>
      </c>
      <c r="B322" t="s">
        <v>137</v>
      </c>
      <c r="C322" t="s">
        <v>26</v>
      </c>
      <c r="D322" t="s">
        <v>21</v>
      </c>
      <c r="E322" t="s">
        <v>46</v>
      </c>
      <c r="F322">
        <v>19</v>
      </c>
      <c r="G322">
        <v>18</v>
      </c>
      <c r="H322">
        <v>12</v>
      </c>
      <c r="I322">
        <v>25</v>
      </c>
      <c r="J322">
        <v>1580</v>
      </c>
      <c r="K322">
        <v>21</v>
      </c>
      <c r="L322">
        <v>1</v>
      </c>
      <c r="M322">
        <v>89</v>
      </c>
      <c r="N322" t="s">
        <v>38</v>
      </c>
      <c r="O322">
        <v>0.191</v>
      </c>
      <c r="P322">
        <v>7544.5</v>
      </c>
      <c r="Q322">
        <f>(Table1[[#This Row],[Closing_Stock]]*Table1[[#This Row],[Unit_Cost_INR]])</f>
        <v>39500</v>
      </c>
      <c r="R322">
        <f>(Table1[[#This Row],[Unit_Cost_INR]]*Table1[[#This Row],[Consumption]])</f>
        <v>18960</v>
      </c>
      <c r="S322">
        <f>IFERROR(Table1[[#This Row],[Annual_Consumption_Value_INR]]/Table1[[#This Row],[Inventory_Value_INR]],0)</f>
        <v>0.48</v>
      </c>
      <c r="T322">
        <f>IFERROR(365/Table1[[#This Row],[Inventory_Turnover]],0)</f>
        <v>760.41666666666674</v>
      </c>
      <c r="U322" t="str">
        <f>IF(Table1[[#This Row],[Consumption]]=0,"Non-Moving", IF(Table1[[#This Row],[Days_Since_Last_Movement]]&gt;90,"Slow-Moving","Active"))</f>
        <v>Active</v>
      </c>
      <c r="V322">
        <f>SUM($Q$2:Q322)</f>
        <v>72236350</v>
      </c>
      <c r="W322">
        <f>Table1[[#This Row],[Cumulative_Inventory_Value]]/$AP$3</f>
        <v>0.9543034138019274</v>
      </c>
      <c r="X322" t="str">
        <f>IF(Table1[[#This Row],[Cumulative_Value_%]]&lt;80%,"A", IF(Table1[[#This Row],[Cumulative_Value_%]]&lt;=95%,"B","C"))</f>
        <v>C</v>
      </c>
      <c r="Y322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322">
        <f>Table1[[#This Row],[Consumption]]/365</f>
        <v>3.287671232876712E-2</v>
      </c>
      <c r="AA322">
        <f>Table1[[#This Row],[Avg_Daily_Consumption]]*Table1[[#This Row],[Lead_Time_Days]]+Table1[[#This Row],[Safety_Stock]]</f>
        <v>1.6904109589041094</v>
      </c>
      <c r="AB322">
        <f>IFERROR(Table1[[#This Row],[Closing_Stock]]/Table1[[#This Row],[Avg_Daily_Consumption]],9999)</f>
        <v>760.41666666666674</v>
      </c>
      <c r="AC322">
        <f>MAX(1,ROUNDUP(Table1[[#This Row],[Avg_Daily_Consumption]]*Table1[[#This Row],[Lead_Time_Days]]*0.8,0))</f>
        <v>1</v>
      </c>
      <c r="AD322" t="str">
        <f>IF(Table1[[#This Row],[Closing_Stock]]&lt;Table1[[#This Row],[Reorder_Point]],"Stock-out Risk","Adequate")</f>
        <v>Adequate</v>
      </c>
      <c r="AE322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322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322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322" s="11">
        <f>MAX(0,Table1[[#This Row],[Closing_Stock]]-Table1[[#This Row],[Reorder_Point]])</f>
        <v>23.30958904109589</v>
      </c>
      <c r="AI322" s="11">
        <f>Table1[[#This Row],[Excess_Stock_Units]]*Table1[[#This Row],[Unit_Cost_INR]]</f>
        <v>36829.150684931505</v>
      </c>
      <c r="AJ322" s="11">
        <f>IF(Table1[[#This Row],[Criticality]]="Critical",0,Table1[[#This Row],[Excess_Inventory_Value_INR]])</f>
        <v>36829.150684931505</v>
      </c>
      <c r="AK322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323" spans="1:37" x14ac:dyDescent="0.25">
      <c r="A323" t="s">
        <v>427</v>
      </c>
      <c r="B323" t="s">
        <v>104</v>
      </c>
      <c r="C323" t="s">
        <v>41</v>
      </c>
      <c r="D323" t="s">
        <v>60</v>
      </c>
      <c r="E323" t="s">
        <v>46</v>
      </c>
      <c r="F323">
        <v>8</v>
      </c>
      <c r="G323">
        <v>9</v>
      </c>
      <c r="H323">
        <v>5</v>
      </c>
      <c r="I323">
        <v>12</v>
      </c>
      <c r="J323">
        <v>3230</v>
      </c>
      <c r="K323">
        <v>23</v>
      </c>
      <c r="L323">
        <v>0</v>
      </c>
      <c r="M323">
        <v>220</v>
      </c>
      <c r="N323" t="s">
        <v>58</v>
      </c>
      <c r="O323">
        <v>0.16800000000000001</v>
      </c>
      <c r="P323">
        <v>6511.68</v>
      </c>
      <c r="Q323">
        <f>(Table1[[#This Row],[Closing_Stock]]*Table1[[#This Row],[Unit_Cost_INR]])</f>
        <v>38760</v>
      </c>
      <c r="R323">
        <f>(Table1[[#This Row],[Unit_Cost_INR]]*Table1[[#This Row],[Consumption]])</f>
        <v>16150</v>
      </c>
      <c r="S323">
        <f>IFERROR(Table1[[#This Row],[Annual_Consumption_Value_INR]]/Table1[[#This Row],[Inventory_Value_INR]],0)</f>
        <v>0.41666666666666669</v>
      </c>
      <c r="T323">
        <f>IFERROR(365/Table1[[#This Row],[Inventory_Turnover]],0)</f>
        <v>876</v>
      </c>
      <c r="U323" t="str">
        <f>IF(Table1[[#This Row],[Consumption]]=0,"Non-Moving", IF(Table1[[#This Row],[Days_Since_Last_Movement]]&gt;90,"Slow-Moving","Active"))</f>
        <v>Slow-Moving</v>
      </c>
      <c r="V323">
        <f>SUM($Q$2:Q323)</f>
        <v>72275110</v>
      </c>
      <c r="W323">
        <f>Table1[[#This Row],[Cumulative_Inventory_Value]]/$AP$3</f>
        <v>0.95481546625639058</v>
      </c>
      <c r="X323" t="str">
        <f>IF(Table1[[#This Row],[Cumulative_Value_%]]&lt;80%,"A", IF(Table1[[#This Row],[Cumulative_Value_%]]&lt;=95%,"B","C"))</f>
        <v>C</v>
      </c>
      <c r="Y323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323">
        <f>Table1[[#This Row],[Consumption]]/365</f>
        <v>1.3698630136986301E-2</v>
      </c>
      <c r="AA323">
        <f>Table1[[#This Row],[Avg_Daily_Consumption]]*Table1[[#This Row],[Lead_Time_Days]]+Table1[[#This Row],[Safety_Stock]]</f>
        <v>1.3150684931506849</v>
      </c>
      <c r="AB323">
        <f>IFERROR(Table1[[#This Row],[Closing_Stock]]/Table1[[#This Row],[Avg_Daily_Consumption]],9999)</f>
        <v>876</v>
      </c>
      <c r="AC323">
        <f>MAX(1,ROUNDUP(Table1[[#This Row],[Avg_Daily_Consumption]]*Table1[[#This Row],[Lead_Time_Days]]*0.8,0))</f>
        <v>1</v>
      </c>
      <c r="AD323" t="str">
        <f>IF(Table1[[#This Row],[Closing_Stock]]&lt;Table1[[#This Row],[Reorder_Point]],"Stock-out Risk","Adequate")</f>
        <v>Adequate</v>
      </c>
      <c r="AE323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323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323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323" s="11">
        <f>MAX(0,Table1[[#This Row],[Closing_Stock]]-Table1[[#This Row],[Reorder_Point]])</f>
        <v>10.684931506849315</v>
      </c>
      <c r="AI323" s="11">
        <f>Table1[[#This Row],[Excess_Stock_Units]]*Table1[[#This Row],[Unit_Cost_INR]]</f>
        <v>34512.32876712329</v>
      </c>
      <c r="AJ323" s="11">
        <f>IF(Table1[[#This Row],[Criticality]]="Critical",0,Table1[[#This Row],[Excess_Inventory_Value_INR]])</f>
        <v>34512.32876712329</v>
      </c>
      <c r="AK323" s="11">
        <f>IF(AND(Table1[[#This Row],[Criticality]]&lt;&gt;"Critical",OR(Table1[[#This Row],[Movement_Class]]="Slow-Moving",Table1[[#This Row],[Movement_Class]]="Non-Moving")),Table1[[#This Row],[Excess_Inventory_Value_INR]],0)</f>
        <v>34512.32876712329</v>
      </c>
    </row>
    <row r="324" spans="1:37" x14ac:dyDescent="0.25">
      <c r="A324" t="s">
        <v>487</v>
      </c>
      <c r="B324" t="s">
        <v>113</v>
      </c>
      <c r="C324" t="s">
        <v>36</v>
      </c>
      <c r="D324" t="s">
        <v>42</v>
      </c>
      <c r="E324" t="s">
        <v>37</v>
      </c>
      <c r="F324">
        <v>7</v>
      </c>
      <c r="G324">
        <v>6</v>
      </c>
      <c r="H324">
        <v>6</v>
      </c>
      <c r="I324">
        <v>7</v>
      </c>
      <c r="J324">
        <v>5470</v>
      </c>
      <c r="K324">
        <v>10</v>
      </c>
      <c r="L324">
        <v>1</v>
      </c>
      <c r="M324">
        <v>71</v>
      </c>
      <c r="N324" t="s">
        <v>23</v>
      </c>
      <c r="O324">
        <v>0.20499999999999999</v>
      </c>
      <c r="P324">
        <v>7849.45</v>
      </c>
      <c r="Q324">
        <f>(Table1[[#This Row],[Closing_Stock]]*Table1[[#This Row],[Unit_Cost_INR]])</f>
        <v>38290</v>
      </c>
      <c r="R324">
        <f>(Table1[[#This Row],[Unit_Cost_INR]]*Table1[[#This Row],[Consumption]])</f>
        <v>32820</v>
      </c>
      <c r="S324">
        <f>IFERROR(Table1[[#This Row],[Annual_Consumption_Value_INR]]/Table1[[#This Row],[Inventory_Value_INR]],0)</f>
        <v>0.8571428571428571</v>
      </c>
      <c r="T324">
        <f>IFERROR(365/Table1[[#This Row],[Inventory_Turnover]],0)</f>
        <v>425.83333333333337</v>
      </c>
      <c r="U324" t="str">
        <f>IF(Table1[[#This Row],[Consumption]]=0,"Non-Moving", IF(Table1[[#This Row],[Days_Since_Last_Movement]]&gt;90,"Slow-Moving","Active"))</f>
        <v>Active</v>
      </c>
      <c r="V324">
        <f>SUM($Q$2:Q324)</f>
        <v>72313400</v>
      </c>
      <c r="W324">
        <f>Table1[[#This Row],[Cumulative_Inventory_Value]]/$AP$3</f>
        <v>0.95532130961246375</v>
      </c>
      <c r="X324" t="str">
        <f>IF(Table1[[#This Row],[Cumulative_Value_%]]&lt;80%,"A", IF(Table1[[#This Row],[Cumulative_Value_%]]&lt;=95%,"B","C"))</f>
        <v>C</v>
      </c>
      <c r="Y324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324">
        <f>Table1[[#This Row],[Consumption]]/365</f>
        <v>1.643835616438356E-2</v>
      </c>
      <c r="AA324">
        <f>Table1[[#This Row],[Avg_Daily_Consumption]]*Table1[[#This Row],[Lead_Time_Days]]+Table1[[#This Row],[Safety_Stock]]</f>
        <v>1.1643835616438356</v>
      </c>
      <c r="AB324">
        <f>IFERROR(Table1[[#This Row],[Closing_Stock]]/Table1[[#This Row],[Avg_Daily_Consumption]],9999)</f>
        <v>425.83333333333337</v>
      </c>
      <c r="AC324">
        <f>MAX(1,ROUNDUP(Table1[[#This Row],[Avg_Daily_Consumption]]*Table1[[#This Row],[Lead_Time_Days]]*0.8,0))</f>
        <v>1</v>
      </c>
      <c r="AD324" t="str">
        <f>IF(Table1[[#This Row],[Closing_Stock]]&lt;Table1[[#This Row],[Reorder_Point]],"Stock-out Risk","Adequate")</f>
        <v>Adequate</v>
      </c>
      <c r="AE324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324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324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324" s="11">
        <f>MAX(0,Table1[[#This Row],[Closing_Stock]]-Table1[[#This Row],[Reorder_Point]])</f>
        <v>5.8356164383561646</v>
      </c>
      <c r="AI324" s="11">
        <f>Table1[[#This Row],[Excess_Stock_Units]]*Table1[[#This Row],[Unit_Cost_INR]]</f>
        <v>31920.821917808222</v>
      </c>
      <c r="AJ324" s="11">
        <f>IF(Table1[[#This Row],[Criticality]]="Critical",0,Table1[[#This Row],[Excess_Inventory_Value_INR]])</f>
        <v>0</v>
      </c>
      <c r="AK324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325" spans="1:37" x14ac:dyDescent="0.25">
      <c r="A325" t="s">
        <v>106</v>
      </c>
      <c r="B325" t="s">
        <v>85</v>
      </c>
      <c r="C325" t="s">
        <v>41</v>
      </c>
      <c r="D325" t="s">
        <v>60</v>
      </c>
      <c r="E325" t="s">
        <v>22</v>
      </c>
      <c r="F325">
        <v>31</v>
      </c>
      <c r="G325">
        <v>17</v>
      </c>
      <c r="H325">
        <v>17</v>
      </c>
      <c r="I325">
        <v>31</v>
      </c>
      <c r="J325">
        <v>1230</v>
      </c>
      <c r="K325">
        <v>25</v>
      </c>
      <c r="L325">
        <v>0</v>
      </c>
      <c r="M325">
        <v>63</v>
      </c>
      <c r="N325" t="s">
        <v>81</v>
      </c>
      <c r="O325">
        <v>0.159</v>
      </c>
      <c r="P325">
        <v>6062.67</v>
      </c>
      <c r="Q325">
        <f>(Table1[[#This Row],[Closing_Stock]]*Table1[[#This Row],[Unit_Cost_INR]])</f>
        <v>38130</v>
      </c>
      <c r="R325">
        <f>(Table1[[#This Row],[Unit_Cost_INR]]*Table1[[#This Row],[Consumption]])</f>
        <v>20910</v>
      </c>
      <c r="S325">
        <f>IFERROR(Table1[[#This Row],[Annual_Consumption_Value_INR]]/Table1[[#This Row],[Inventory_Value_INR]],0)</f>
        <v>0.54838709677419351</v>
      </c>
      <c r="T325">
        <f>IFERROR(365/Table1[[#This Row],[Inventory_Turnover]],0)</f>
        <v>665.58823529411768</v>
      </c>
      <c r="U325" t="str">
        <f>IF(Table1[[#This Row],[Consumption]]=0,"Non-Moving", IF(Table1[[#This Row],[Days_Since_Last_Movement]]&gt;90,"Slow-Moving","Active"))</f>
        <v>Active</v>
      </c>
      <c r="V325">
        <f>SUM($Q$2:Q325)</f>
        <v>72351530</v>
      </c>
      <c r="W325">
        <f>Table1[[#This Row],[Cumulative_Inventory_Value]]/$AP$3</f>
        <v>0.95582503923291473</v>
      </c>
      <c r="X325" t="str">
        <f>IF(Table1[[#This Row],[Cumulative_Value_%]]&lt;80%,"A", IF(Table1[[#This Row],[Cumulative_Value_%]]&lt;=95%,"B","C"))</f>
        <v>C</v>
      </c>
      <c r="Y325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325">
        <f>Table1[[#This Row],[Consumption]]/365</f>
        <v>4.6575342465753428E-2</v>
      </c>
      <c r="AA325">
        <f>Table1[[#This Row],[Avg_Daily_Consumption]]*Table1[[#This Row],[Lead_Time_Days]]+Table1[[#This Row],[Safety_Stock]]</f>
        <v>2.1643835616438354</v>
      </c>
      <c r="AB325">
        <f>IFERROR(Table1[[#This Row],[Closing_Stock]]/Table1[[#This Row],[Avg_Daily_Consumption]],9999)</f>
        <v>665.58823529411757</v>
      </c>
      <c r="AC325">
        <f>MAX(1,ROUNDUP(Table1[[#This Row],[Avg_Daily_Consumption]]*Table1[[#This Row],[Lead_Time_Days]]*0.8,0))</f>
        <v>1</v>
      </c>
      <c r="AD325" t="str">
        <f>IF(Table1[[#This Row],[Closing_Stock]]&lt;Table1[[#This Row],[Reorder_Point]],"Stock-out Risk","Adequate")</f>
        <v>Adequate</v>
      </c>
      <c r="AE325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325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325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325" s="11">
        <f>MAX(0,Table1[[#This Row],[Closing_Stock]]-Table1[[#This Row],[Reorder_Point]])</f>
        <v>28.835616438356166</v>
      </c>
      <c r="AI325" s="11">
        <f>Table1[[#This Row],[Excess_Stock_Units]]*Table1[[#This Row],[Unit_Cost_INR]]</f>
        <v>35467.808219178085</v>
      </c>
      <c r="AJ325" s="11">
        <f>IF(Table1[[#This Row],[Criticality]]="Critical",0,Table1[[#This Row],[Excess_Inventory_Value_INR]])</f>
        <v>35467.808219178085</v>
      </c>
      <c r="AK325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326" spans="1:37" x14ac:dyDescent="0.25">
      <c r="A326" t="s">
        <v>119</v>
      </c>
      <c r="B326" t="s">
        <v>54</v>
      </c>
      <c r="C326" t="s">
        <v>36</v>
      </c>
      <c r="D326" t="s">
        <v>42</v>
      </c>
      <c r="E326" t="s">
        <v>22</v>
      </c>
      <c r="F326">
        <v>36</v>
      </c>
      <c r="G326">
        <v>96</v>
      </c>
      <c r="H326">
        <v>64</v>
      </c>
      <c r="I326">
        <v>68</v>
      </c>
      <c r="J326">
        <v>560</v>
      </c>
      <c r="K326">
        <v>17</v>
      </c>
      <c r="L326">
        <v>0</v>
      </c>
      <c r="M326">
        <v>40</v>
      </c>
      <c r="N326" t="s">
        <v>23</v>
      </c>
      <c r="O326">
        <v>0.182</v>
      </c>
      <c r="P326">
        <v>6930.5599999999986</v>
      </c>
      <c r="Q326">
        <f>(Table1[[#This Row],[Closing_Stock]]*Table1[[#This Row],[Unit_Cost_INR]])</f>
        <v>38080</v>
      </c>
      <c r="R326">
        <f>(Table1[[#This Row],[Unit_Cost_INR]]*Table1[[#This Row],[Consumption]])</f>
        <v>35840</v>
      </c>
      <c r="S326">
        <f>IFERROR(Table1[[#This Row],[Annual_Consumption_Value_INR]]/Table1[[#This Row],[Inventory_Value_INR]],0)</f>
        <v>0.94117647058823528</v>
      </c>
      <c r="T326">
        <f>IFERROR(365/Table1[[#This Row],[Inventory_Turnover]],0)</f>
        <v>387.8125</v>
      </c>
      <c r="U326" t="str">
        <f>IF(Table1[[#This Row],[Consumption]]=0,"Non-Moving", IF(Table1[[#This Row],[Days_Since_Last_Movement]]&gt;90,"Slow-Moving","Active"))</f>
        <v>Active</v>
      </c>
      <c r="V326">
        <f>SUM($Q$2:Q326)</f>
        <v>72389610</v>
      </c>
      <c r="W326">
        <f>Table1[[#This Row],[Cumulative_Inventory_Value]]/$AP$3</f>
        <v>0.95632810831098392</v>
      </c>
      <c r="X326" t="str">
        <f>IF(Table1[[#This Row],[Cumulative_Value_%]]&lt;80%,"A", IF(Table1[[#This Row],[Cumulative_Value_%]]&lt;=95%,"B","C"))</f>
        <v>C</v>
      </c>
      <c r="Y326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326">
        <f>Table1[[#This Row],[Consumption]]/365</f>
        <v>0.17534246575342466</v>
      </c>
      <c r="AA326">
        <f>Table1[[#This Row],[Avg_Daily_Consumption]]*Table1[[#This Row],[Lead_Time_Days]]+Table1[[#This Row],[Safety_Stock]]</f>
        <v>5.9808219178082194</v>
      </c>
      <c r="AB326">
        <f>IFERROR(Table1[[#This Row],[Closing_Stock]]/Table1[[#This Row],[Avg_Daily_Consumption]],9999)</f>
        <v>387.8125</v>
      </c>
      <c r="AC326">
        <f>MAX(1,ROUNDUP(Table1[[#This Row],[Avg_Daily_Consumption]]*Table1[[#This Row],[Lead_Time_Days]]*0.8,0))</f>
        <v>3</v>
      </c>
      <c r="AD326" t="str">
        <f>IF(Table1[[#This Row],[Closing_Stock]]&lt;Table1[[#This Row],[Reorder_Point]],"Stock-out Risk","Adequate")</f>
        <v>Adequate</v>
      </c>
      <c r="AE326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326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326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326" s="11">
        <f>MAX(0,Table1[[#This Row],[Closing_Stock]]-Table1[[#This Row],[Reorder_Point]])</f>
        <v>62.019178082191779</v>
      </c>
      <c r="AI326" s="11">
        <f>Table1[[#This Row],[Excess_Stock_Units]]*Table1[[#This Row],[Unit_Cost_INR]]</f>
        <v>34730.739726027394</v>
      </c>
      <c r="AJ326" s="11">
        <f>IF(Table1[[#This Row],[Criticality]]="Critical",0,Table1[[#This Row],[Excess_Inventory_Value_INR]])</f>
        <v>34730.739726027394</v>
      </c>
      <c r="AK326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327" spans="1:37" x14ac:dyDescent="0.25">
      <c r="A327" t="s">
        <v>237</v>
      </c>
      <c r="B327" t="s">
        <v>85</v>
      </c>
      <c r="C327" t="s">
        <v>41</v>
      </c>
      <c r="D327" t="s">
        <v>27</v>
      </c>
      <c r="E327" t="s">
        <v>28</v>
      </c>
      <c r="F327">
        <v>21</v>
      </c>
      <c r="G327">
        <v>23</v>
      </c>
      <c r="H327">
        <v>20</v>
      </c>
      <c r="I327">
        <v>24</v>
      </c>
      <c r="J327">
        <v>1570</v>
      </c>
      <c r="K327">
        <v>24</v>
      </c>
      <c r="L327">
        <v>0</v>
      </c>
      <c r="M327">
        <v>49</v>
      </c>
      <c r="N327" t="s">
        <v>81</v>
      </c>
      <c r="O327">
        <v>0.219</v>
      </c>
      <c r="P327">
        <v>8251.92</v>
      </c>
      <c r="Q327">
        <f>(Table1[[#This Row],[Closing_Stock]]*Table1[[#This Row],[Unit_Cost_INR]])</f>
        <v>37680</v>
      </c>
      <c r="R327">
        <f>(Table1[[#This Row],[Unit_Cost_INR]]*Table1[[#This Row],[Consumption]])</f>
        <v>31400</v>
      </c>
      <c r="S327">
        <f>IFERROR(Table1[[#This Row],[Annual_Consumption_Value_INR]]/Table1[[#This Row],[Inventory_Value_INR]],0)</f>
        <v>0.83333333333333337</v>
      </c>
      <c r="T327">
        <f>IFERROR(365/Table1[[#This Row],[Inventory_Turnover]],0)</f>
        <v>438</v>
      </c>
      <c r="U327" t="str">
        <f>IF(Table1[[#This Row],[Consumption]]=0,"Non-Moving", IF(Table1[[#This Row],[Days_Since_Last_Movement]]&gt;90,"Slow-Moving","Active"))</f>
        <v>Active</v>
      </c>
      <c r="V327">
        <f>SUM($Q$2:Q327)</f>
        <v>72427290</v>
      </c>
      <c r="W327">
        <f>Table1[[#This Row],[Cumulative_Inventory_Value]]/$AP$3</f>
        <v>0.95682589304999766</v>
      </c>
      <c r="X327" t="str">
        <f>IF(Table1[[#This Row],[Cumulative_Value_%]]&lt;80%,"A", IF(Table1[[#This Row],[Cumulative_Value_%]]&lt;=95%,"B","C"))</f>
        <v>C</v>
      </c>
      <c r="Y327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327">
        <f>Table1[[#This Row],[Consumption]]/365</f>
        <v>5.4794520547945202E-2</v>
      </c>
      <c r="AA327">
        <f>Table1[[#This Row],[Avg_Daily_Consumption]]*Table1[[#This Row],[Lead_Time_Days]]+Table1[[#This Row],[Safety_Stock]]</f>
        <v>3.3150684931506849</v>
      </c>
      <c r="AB327">
        <f>IFERROR(Table1[[#This Row],[Closing_Stock]]/Table1[[#This Row],[Avg_Daily_Consumption]],9999)</f>
        <v>438</v>
      </c>
      <c r="AC327">
        <f>MAX(1,ROUNDUP(Table1[[#This Row],[Avg_Daily_Consumption]]*Table1[[#This Row],[Lead_Time_Days]]*0.8,0))</f>
        <v>2</v>
      </c>
      <c r="AD327" t="str">
        <f>IF(Table1[[#This Row],[Closing_Stock]]&lt;Table1[[#This Row],[Reorder_Point]],"Stock-out Risk","Adequate")</f>
        <v>Adequate</v>
      </c>
      <c r="AE327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327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327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327" s="11">
        <f>MAX(0,Table1[[#This Row],[Closing_Stock]]-Table1[[#This Row],[Reorder_Point]])</f>
        <v>20.684931506849317</v>
      </c>
      <c r="AI327" s="11">
        <f>Table1[[#This Row],[Excess_Stock_Units]]*Table1[[#This Row],[Unit_Cost_INR]]</f>
        <v>32475.342465753427</v>
      </c>
      <c r="AJ327" s="11">
        <f>IF(Table1[[#This Row],[Criticality]]="Critical",0,Table1[[#This Row],[Excess_Inventory_Value_INR]])</f>
        <v>32475.342465753427</v>
      </c>
      <c r="AK327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328" spans="1:37" x14ac:dyDescent="0.25">
      <c r="A328" t="s">
        <v>118</v>
      </c>
      <c r="B328" t="s">
        <v>25</v>
      </c>
      <c r="C328" t="s">
        <v>26</v>
      </c>
      <c r="D328" t="s">
        <v>42</v>
      </c>
      <c r="E328" t="s">
        <v>46</v>
      </c>
      <c r="F328">
        <v>23</v>
      </c>
      <c r="G328">
        <v>14</v>
      </c>
      <c r="H328">
        <v>11</v>
      </c>
      <c r="I328">
        <v>26</v>
      </c>
      <c r="J328">
        <v>1440</v>
      </c>
      <c r="K328">
        <v>30</v>
      </c>
      <c r="L328">
        <v>1</v>
      </c>
      <c r="M328">
        <v>19</v>
      </c>
      <c r="N328" t="s">
        <v>58</v>
      </c>
      <c r="O328">
        <v>0.251</v>
      </c>
      <c r="P328">
        <v>9397.44</v>
      </c>
      <c r="Q328">
        <f>(Table1[[#This Row],[Closing_Stock]]*Table1[[#This Row],[Unit_Cost_INR]])</f>
        <v>37440</v>
      </c>
      <c r="R328">
        <f>(Table1[[#This Row],[Unit_Cost_INR]]*Table1[[#This Row],[Consumption]])</f>
        <v>15840</v>
      </c>
      <c r="S328">
        <f>IFERROR(Table1[[#This Row],[Annual_Consumption_Value_INR]]/Table1[[#This Row],[Inventory_Value_INR]],0)</f>
        <v>0.42307692307692307</v>
      </c>
      <c r="T328">
        <f>IFERROR(365/Table1[[#This Row],[Inventory_Turnover]],0)</f>
        <v>862.72727272727275</v>
      </c>
      <c r="U328" t="str">
        <f>IF(Table1[[#This Row],[Consumption]]=0,"Non-Moving", IF(Table1[[#This Row],[Days_Since_Last_Movement]]&gt;90,"Slow-Moving","Active"))</f>
        <v>Active</v>
      </c>
      <c r="V328">
        <f>SUM($Q$2:Q328)</f>
        <v>72464730</v>
      </c>
      <c r="W328">
        <f>Table1[[#This Row],[Cumulative_Inventory_Value]]/$AP$3</f>
        <v>0.95732050718557815</v>
      </c>
      <c r="X328" t="str">
        <f>IF(Table1[[#This Row],[Cumulative_Value_%]]&lt;80%,"A", IF(Table1[[#This Row],[Cumulative_Value_%]]&lt;=95%,"B","C"))</f>
        <v>C</v>
      </c>
      <c r="Y328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328">
        <f>Table1[[#This Row],[Consumption]]/365</f>
        <v>3.0136986301369864E-2</v>
      </c>
      <c r="AA328">
        <f>Table1[[#This Row],[Avg_Daily_Consumption]]*Table1[[#This Row],[Lead_Time_Days]]+Table1[[#This Row],[Safety_Stock]]</f>
        <v>1.904109589041096</v>
      </c>
      <c r="AB328">
        <f>IFERROR(Table1[[#This Row],[Closing_Stock]]/Table1[[#This Row],[Avg_Daily_Consumption]],9999)</f>
        <v>862.72727272727275</v>
      </c>
      <c r="AC328">
        <f>MAX(1,ROUNDUP(Table1[[#This Row],[Avg_Daily_Consumption]]*Table1[[#This Row],[Lead_Time_Days]]*0.8,0))</f>
        <v>1</v>
      </c>
      <c r="AD328" t="str">
        <f>IF(Table1[[#This Row],[Closing_Stock]]&lt;Table1[[#This Row],[Reorder_Point]],"Stock-out Risk","Adequate")</f>
        <v>Adequate</v>
      </c>
      <c r="AE328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328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328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328" s="11">
        <f>MAX(0,Table1[[#This Row],[Closing_Stock]]-Table1[[#This Row],[Reorder_Point]])</f>
        <v>24.095890410958905</v>
      </c>
      <c r="AI328" s="11">
        <f>Table1[[#This Row],[Excess_Stock_Units]]*Table1[[#This Row],[Unit_Cost_INR]]</f>
        <v>34698.082191780821</v>
      </c>
      <c r="AJ328" s="11">
        <f>IF(Table1[[#This Row],[Criticality]]="Critical",0,Table1[[#This Row],[Excess_Inventory_Value_INR]])</f>
        <v>34698.082191780821</v>
      </c>
      <c r="AK328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329" spans="1:37" x14ac:dyDescent="0.25">
      <c r="A329" t="s">
        <v>311</v>
      </c>
      <c r="B329" t="s">
        <v>150</v>
      </c>
      <c r="C329" t="s">
        <v>36</v>
      </c>
      <c r="D329" t="s">
        <v>66</v>
      </c>
      <c r="E329" t="s">
        <v>22</v>
      </c>
      <c r="F329">
        <v>25</v>
      </c>
      <c r="G329">
        <v>18</v>
      </c>
      <c r="H329">
        <v>10</v>
      </c>
      <c r="I329">
        <v>33</v>
      </c>
      <c r="J329">
        <v>1130</v>
      </c>
      <c r="K329">
        <v>38</v>
      </c>
      <c r="L329">
        <v>0</v>
      </c>
      <c r="M329">
        <v>43</v>
      </c>
      <c r="N329" t="s">
        <v>38</v>
      </c>
      <c r="O329">
        <v>0.27700000000000002</v>
      </c>
      <c r="P329">
        <v>10329.33</v>
      </c>
      <c r="Q329">
        <f>(Table1[[#This Row],[Closing_Stock]]*Table1[[#This Row],[Unit_Cost_INR]])</f>
        <v>37290</v>
      </c>
      <c r="R329">
        <f>(Table1[[#This Row],[Unit_Cost_INR]]*Table1[[#This Row],[Consumption]])</f>
        <v>11300</v>
      </c>
      <c r="S329">
        <f>IFERROR(Table1[[#This Row],[Annual_Consumption_Value_INR]]/Table1[[#This Row],[Inventory_Value_INR]],0)</f>
        <v>0.30303030303030304</v>
      </c>
      <c r="T329">
        <f>IFERROR(365/Table1[[#This Row],[Inventory_Turnover]],0)</f>
        <v>1204.5</v>
      </c>
      <c r="U329" t="str">
        <f>IF(Table1[[#This Row],[Consumption]]=0,"Non-Moving", IF(Table1[[#This Row],[Days_Since_Last_Movement]]&gt;90,"Slow-Moving","Active"))</f>
        <v>Active</v>
      </c>
      <c r="V329">
        <f>SUM($Q$2:Q329)</f>
        <v>72502020</v>
      </c>
      <c r="W329">
        <f>Table1[[#This Row],[Cumulative_Inventory_Value]]/$AP$3</f>
        <v>0.95781313969401294</v>
      </c>
      <c r="X329" t="str">
        <f>IF(Table1[[#This Row],[Cumulative_Value_%]]&lt;80%,"A", IF(Table1[[#This Row],[Cumulative_Value_%]]&lt;=95%,"B","C"))</f>
        <v>C</v>
      </c>
      <c r="Y329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329">
        <f>Table1[[#This Row],[Consumption]]/365</f>
        <v>2.7397260273972601E-2</v>
      </c>
      <c r="AA329">
        <f>Table1[[#This Row],[Avg_Daily_Consumption]]*Table1[[#This Row],[Lead_Time_Days]]+Table1[[#This Row],[Safety_Stock]]</f>
        <v>2.0410958904109586</v>
      </c>
      <c r="AB329">
        <f>IFERROR(Table1[[#This Row],[Closing_Stock]]/Table1[[#This Row],[Avg_Daily_Consumption]],9999)</f>
        <v>1204.5</v>
      </c>
      <c r="AC329">
        <f>MAX(1,ROUNDUP(Table1[[#This Row],[Avg_Daily_Consumption]]*Table1[[#This Row],[Lead_Time_Days]]*0.8,0))</f>
        <v>1</v>
      </c>
      <c r="AD329" t="str">
        <f>IF(Table1[[#This Row],[Closing_Stock]]&lt;Table1[[#This Row],[Reorder_Point]],"Stock-out Risk","Adequate")</f>
        <v>Adequate</v>
      </c>
      <c r="AE329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329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329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329" s="11">
        <f>MAX(0,Table1[[#This Row],[Closing_Stock]]-Table1[[#This Row],[Reorder_Point]])</f>
        <v>30.958904109589042</v>
      </c>
      <c r="AI329" s="11">
        <f>Table1[[#This Row],[Excess_Stock_Units]]*Table1[[#This Row],[Unit_Cost_INR]]</f>
        <v>34983.561643835616</v>
      </c>
      <c r="AJ329" s="11">
        <f>IF(Table1[[#This Row],[Criticality]]="Critical",0,Table1[[#This Row],[Excess_Inventory_Value_INR]])</f>
        <v>34983.561643835616</v>
      </c>
      <c r="AK329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330" spans="1:37" x14ac:dyDescent="0.25">
      <c r="A330" t="s">
        <v>553</v>
      </c>
      <c r="B330" t="s">
        <v>150</v>
      </c>
      <c r="C330" t="s">
        <v>36</v>
      </c>
      <c r="D330" t="s">
        <v>21</v>
      </c>
      <c r="E330" t="s">
        <v>22</v>
      </c>
      <c r="F330">
        <v>26</v>
      </c>
      <c r="G330">
        <v>15</v>
      </c>
      <c r="H330">
        <v>4</v>
      </c>
      <c r="I330">
        <v>38</v>
      </c>
      <c r="J330">
        <v>980</v>
      </c>
      <c r="K330">
        <v>33</v>
      </c>
      <c r="L330">
        <v>0</v>
      </c>
      <c r="M330">
        <v>113</v>
      </c>
      <c r="N330" t="s">
        <v>61</v>
      </c>
      <c r="O330">
        <v>0.23799999999999999</v>
      </c>
      <c r="P330">
        <v>8863.119999999999</v>
      </c>
      <c r="Q330">
        <f>(Table1[[#This Row],[Closing_Stock]]*Table1[[#This Row],[Unit_Cost_INR]])</f>
        <v>37240</v>
      </c>
      <c r="R330">
        <f>(Table1[[#This Row],[Unit_Cost_INR]]*Table1[[#This Row],[Consumption]])</f>
        <v>3920</v>
      </c>
      <c r="S330">
        <f>IFERROR(Table1[[#This Row],[Annual_Consumption_Value_INR]]/Table1[[#This Row],[Inventory_Value_INR]],0)</f>
        <v>0.10526315789473684</v>
      </c>
      <c r="T330">
        <f>IFERROR(365/Table1[[#This Row],[Inventory_Turnover]],0)</f>
        <v>3467.5</v>
      </c>
      <c r="U330" t="str">
        <f>IF(Table1[[#This Row],[Consumption]]=0,"Non-Moving", IF(Table1[[#This Row],[Days_Since_Last_Movement]]&gt;90,"Slow-Moving","Active"))</f>
        <v>Slow-Moving</v>
      </c>
      <c r="V330">
        <f>SUM($Q$2:Q330)</f>
        <v>72539260</v>
      </c>
      <c r="W330">
        <f>Table1[[#This Row],[Cumulative_Inventory_Value]]/$AP$3</f>
        <v>0.95830511166006582</v>
      </c>
      <c r="X330" t="str">
        <f>IF(Table1[[#This Row],[Cumulative_Value_%]]&lt;80%,"A", IF(Table1[[#This Row],[Cumulative_Value_%]]&lt;=95%,"B","C"))</f>
        <v>C</v>
      </c>
      <c r="Y330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330">
        <f>Table1[[#This Row],[Consumption]]/365</f>
        <v>1.0958904109589041E-2</v>
      </c>
      <c r="AA330">
        <f>Table1[[#This Row],[Avg_Daily_Consumption]]*Table1[[#This Row],[Lead_Time_Days]]+Table1[[#This Row],[Safety_Stock]]</f>
        <v>1.3616438356164384</v>
      </c>
      <c r="AB330">
        <f>IFERROR(Table1[[#This Row],[Closing_Stock]]/Table1[[#This Row],[Avg_Daily_Consumption]],9999)</f>
        <v>3467.5</v>
      </c>
      <c r="AC330">
        <f>MAX(1,ROUNDUP(Table1[[#This Row],[Avg_Daily_Consumption]]*Table1[[#This Row],[Lead_Time_Days]]*0.8,0))</f>
        <v>1</v>
      </c>
      <c r="AD330" t="str">
        <f>IF(Table1[[#This Row],[Closing_Stock]]&lt;Table1[[#This Row],[Reorder_Point]],"Stock-out Risk","Adequate")</f>
        <v>Adequate</v>
      </c>
      <c r="AE330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330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330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330" s="11">
        <f>MAX(0,Table1[[#This Row],[Closing_Stock]]-Table1[[#This Row],[Reorder_Point]])</f>
        <v>36.638356164383559</v>
      </c>
      <c r="AI330" s="11">
        <f>Table1[[#This Row],[Excess_Stock_Units]]*Table1[[#This Row],[Unit_Cost_INR]]</f>
        <v>35905.589041095889</v>
      </c>
      <c r="AJ330" s="11">
        <f>IF(Table1[[#This Row],[Criticality]]="Critical",0,Table1[[#This Row],[Excess_Inventory_Value_INR]])</f>
        <v>35905.589041095889</v>
      </c>
      <c r="AK330" s="11">
        <f>IF(AND(Table1[[#This Row],[Criticality]]&lt;&gt;"Critical",OR(Table1[[#This Row],[Movement_Class]]="Slow-Moving",Table1[[#This Row],[Movement_Class]]="Non-Moving")),Table1[[#This Row],[Excess_Inventory_Value_INR]],0)</f>
        <v>35905.589041095889</v>
      </c>
    </row>
    <row r="331" spans="1:37" x14ac:dyDescent="0.25">
      <c r="A331" t="s">
        <v>178</v>
      </c>
      <c r="B331" t="s">
        <v>56</v>
      </c>
      <c r="C331" t="s">
        <v>32</v>
      </c>
      <c r="D331" t="s">
        <v>60</v>
      </c>
      <c r="E331" t="s">
        <v>22</v>
      </c>
      <c r="F331">
        <v>7</v>
      </c>
      <c r="G331">
        <v>14</v>
      </c>
      <c r="H331">
        <v>11</v>
      </c>
      <c r="I331">
        <v>10</v>
      </c>
      <c r="J331">
        <v>3710</v>
      </c>
      <c r="K331">
        <v>29</v>
      </c>
      <c r="L331">
        <v>1</v>
      </c>
      <c r="M331">
        <v>36</v>
      </c>
      <c r="N331" t="s">
        <v>61</v>
      </c>
      <c r="O331">
        <v>0.27100000000000002</v>
      </c>
      <c r="P331">
        <v>10054.1</v>
      </c>
      <c r="Q331">
        <f>(Table1[[#This Row],[Closing_Stock]]*Table1[[#This Row],[Unit_Cost_INR]])</f>
        <v>37100</v>
      </c>
      <c r="R331">
        <f>(Table1[[#This Row],[Unit_Cost_INR]]*Table1[[#This Row],[Consumption]])</f>
        <v>40810</v>
      </c>
      <c r="S331">
        <f>IFERROR(Table1[[#This Row],[Annual_Consumption_Value_INR]]/Table1[[#This Row],[Inventory_Value_INR]],0)</f>
        <v>1.1000000000000001</v>
      </c>
      <c r="T331">
        <f>IFERROR(365/Table1[[#This Row],[Inventory_Turnover]],0)</f>
        <v>331.81818181818181</v>
      </c>
      <c r="U331" t="str">
        <f>IF(Table1[[#This Row],[Consumption]]=0,"Non-Moving", IF(Table1[[#This Row],[Days_Since_Last_Movement]]&gt;90,"Slow-Moving","Active"))</f>
        <v>Active</v>
      </c>
      <c r="V331">
        <f>SUM($Q$2:Q331)</f>
        <v>72576360</v>
      </c>
      <c r="W331">
        <f>Table1[[#This Row],[Cumulative_Inventory_Value]]/$AP$3</f>
        <v>0.95879523410744938</v>
      </c>
      <c r="X331" t="str">
        <f>IF(Table1[[#This Row],[Cumulative_Value_%]]&lt;80%,"A", IF(Table1[[#This Row],[Cumulative_Value_%]]&lt;=95%,"B","C"))</f>
        <v>C</v>
      </c>
      <c r="Y331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331">
        <f>Table1[[#This Row],[Consumption]]/365</f>
        <v>3.0136986301369864E-2</v>
      </c>
      <c r="AA331">
        <f>Table1[[#This Row],[Avg_Daily_Consumption]]*Table1[[#This Row],[Lead_Time_Days]]+Table1[[#This Row],[Safety_Stock]]</f>
        <v>1.8739726027397261</v>
      </c>
      <c r="AB331">
        <f>IFERROR(Table1[[#This Row],[Closing_Stock]]/Table1[[#This Row],[Avg_Daily_Consumption]],9999)</f>
        <v>331.81818181818181</v>
      </c>
      <c r="AC331">
        <f>MAX(1,ROUNDUP(Table1[[#This Row],[Avg_Daily_Consumption]]*Table1[[#This Row],[Lead_Time_Days]]*0.8,0))</f>
        <v>1</v>
      </c>
      <c r="AD331" t="str">
        <f>IF(Table1[[#This Row],[Closing_Stock]]&lt;Table1[[#This Row],[Reorder_Point]],"Stock-out Risk","Adequate")</f>
        <v>Adequate</v>
      </c>
      <c r="AE331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331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331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331" s="11">
        <f>MAX(0,Table1[[#This Row],[Closing_Stock]]-Table1[[#This Row],[Reorder_Point]])</f>
        <v>8.1260273972602732</v>
      </c>
      <c r="AI331" s="11">
        <f>Table1[[#This Row],[Excess_Stock_Units]]*Table1[[#This Row],[Unit_Cost_INR]]</f>
        <v>30147.561643835612</v>
      </c>
      <c r="AJ331" s="11">
        <f>IF(Table1[[#This Row],[Criticality]]="Critical",0,Table1[[#This Row],[Excess_Inventory_Value_INR]])</f>
        <v>30147.561643835612</v>
      </c>
      <c r="AK331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332" spans="1:37" x14ac:dyDescent="0.25">
      <c r="A332" t="s">
        <v>395</v>
      </c>
      <c r="B332" t="s">
        <v>54</v>
      </c>
      <c r="C332" t="s">
        <v>36</v>
      </c>
      <c r="D332" t="s">
        <v>42</v>
      </c>
      <c r="E332" t="s">
        <v>37</v>
      </c>
      <c r="F332">
        <v>23</v>
      </c>
      <c r="G332">
        <v>38</v>
      </c>
      <c r="H332">
        <v>30</v>
      </c>
      <c r="I332">
        <v>31</v>
      </c>
      <c r="J332">
        <v>1180</v>
      </c>
      <c r="K332">
        <v>3</v>
      </c>
      <c r="L332">
        <v>0</v>
      </c>
      <c r="M332">
        <v>16</v>
      </c>
      <c r="N332" t="s">
        <v>23</v>
      </c>
      <c r="O332">
        <v>0.247</v>
      </c>
      <c r="P332">
        <v>9035.26</v>
      </c>
      <c r="Q332">
        <f>(Table1[[#This Row],[Closing_Stock]]*Table1[[#This Row],[Unit_Cost_INR]])</f>
        <v>36580</v>
      </c>
      <c r="R332">
        <f>(Table1[[#This Row],[Unit_Cost_INR]]*Table1[[#This Row],[Consumption]])</f>
        <v>35400</v>
      </c>
      <c r="S332">
        <f>IFERROR(Table1[[#This Row],[Annual_Consumption_Value_INR]]/Table1[[#This Row],[Inventory_Value_INR]],0)</f>
        <v>0.967741935483871</v>
      </c>
      <c r="T332">
        <f>IFERROR(365/Table1[[#This Row],[Inventory_Turnover]],0)</f>
        <v>377.16666666666663</v>
      </c>
      <c r="U332" t="str">
        <f>IF(Table1[[#This Row],[Consumption]]=0,"Non-Moving", IF(Table1[[#This Row],[Days_Since_Last_Movement]]&gt;90,"Slow-Moving","Active"))</f>
        <v>Active</v>
      </c>
      <c r="V332">
        <f>SUM($Q$2:Q332)</f>
        <v>72612940</v>
      </c>
      <c r="W332">
        <f>Table1[[#This Row],[Cumulative_Inventory_Value]]/$AP$3</f>
        <v>0.95927848691406092</v>
      </c>
      <c r="X332" t="str">
        <f>IF(Table1[[#This Row],[Cumulative_Value_%]]&lt;80%,"A", IF(Table1[[#This Row],[Cumulative_Value_%]]&lt;=95%,"B","C"))</f>
        <v>C</v>
      </c>
      <c r="Y332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332">
        <f>Table1[[#This Row],[Consumption]]/365</f>
        <v>8.2191780821917804E-2</v>
      </c>
      <c r="AA332">
        <f>Table1[[#This Row],[Avg_Daily_Consumption]]*Table1[[#This Row],[Lead_Time_Days]]+Table1[[#This Row],[Safety_Stock]]</f>
        <v>1.2465753424657535</v>
      </c>
      <c r="AB332">
        <f>IFERROR(Table1[[#This Row],[Closing_Stock]]/Table1[[#This Row],[Avg_Daily_Consumption]],9999)</f>
        <v>377.16666666666669</v>
      </c>
      <c r="AC332">
        <f>MAX(1,ROUNDUP(Table1[[#This Row],[Avg_Daily_Consumption]]*Table1[[#This Row],[Lead_Time_Days]]*0.8,0))</f>
        <v>1</v>
      </c>
      <c r="AD332" t="str">
        <f>IF(Table1[[#This Row],[Closing_Stock]]&lt;Table1[[#This Row],[Reorder_Point]],"Stock-out Risk","Adequate")</f>
        <v>Adequate</v>
      </c>
      <c r="AE332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332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332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332" s="11">
        <f>MAX(0,Table1[[#This Row],[Closing_Stock]]-Table1[[#This Row],[Reorder_Point]])</f>
        <v>29.753424657534246</v>
      </c>
      <c r="AI332" s="11">
        <f>Table1[[#This Row],[Excess_Stock_Units]]*Table1[[#This Row],[Unit_Cost_INR]]</f>
        <v>35109.04109589041</v>
      </c>
      <c r="AJ332" s="11">
        <f>IF(Table1[[#This Row],[Criticality]]="Critical",0,Table1[[#This Row],[Excess_Inventory_Value_INR]])</f>
        <v>0</v>
      </c>
      <c r="AK332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333" spans="1:37" x14ac:dyDescent="0.25">
      <c r="A333" t="s">
        <v>313</v>
      </c>
      <c r="B333" t="s">
        <v>184</v>
      </c>
      <c r="C333" t="s">
        <v>26</v>
      </c>
      <c r="D333" t="s">
        <v>42</v>
      </c>
      <c r="E333" t="s">
        <v>22</v>
      </c>
      <c r="F333">
        <v>21</v>
      </c>
      <c r="G333">
        <v>62</v>
      </c>
      <c r="H333">
        <v>71</v>
      </c>
      <c r="I333">
        <v>12</v>
      </c>
      <c r="J333">
        <v>3020</v>
      </c>
      <c r="K333">
        <v>30</v>
      </c>
      <c r="L333">
        <v>1</v>
      </c>
      <c r="M333">
        <v>93</v>
      </c>
      <c r="N333" t="s">
        <v>49</v>
      </c>
      <c r="O333">
        <v>0.24</v>
      </c>
      <c r="P333">
        <v>8697.6</v>
      </c>
      <c r="Q333">
        <f>(Table1[[#This Row],[Closing_Stock]]*Table1[[#This Row],[Unit_Cost_INR]])</f>
        <v>36240</v>
      </c>
      <c r="R333">
        <f>(Table1[[#This Row],[Unit_Cost_INR]]*Table1[[#This Row],[Consumption]])</f>
        <v>214420</v>
      </c>
      <c r="S333">
        <f>IFERROR(Table1[[#This Row],[Annual_Consumption_Value_INR]]/Table1[[#This Row],[Inventory_Value_INR]],0)</f>
        <v>5.916666666666667</v>
      </c>
      <c r="T333">
        <f>IFERROR(365/Table1[[#This Row],[Inventory_Turnover]],0)</f>
        <v>61.690140845070417</v>
      </c>
      <c r="U333" t="str">
        <f>IF(Table1[[#This Row],[Consumption]]=0,"Non-Moving", IF(Table1[[#This Row],[Days_Since_Last_Movement]]&gt;90,"Slow-Moving","Active"))</f>
        <v>Slow-Moving</v>
      </c>
      <c r="V333">
        <f>SUM($Q$2:Q333)</f>
        <v>72649180</v>
      </c>
      <c r="W333">
        <f>Table1[[#This Row],[Cumulative_Inventory_Value]]/$AP$3</f>
        <v>0.95975724803247542</v>
      </c>
      <c r="X333" t="str">
        <f>IF(Table1[[#This Row],[Cumulative_Value_%]]&lt;80%,"A", IF(Table1[[#This Row],[Cumulative_Value_%]]&lt;=95%,"B","C"))</f>
        <v>C</v>
      </c>
      <c r="Y333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333">
        <f>Table1[[#This Row],[Consumption]]/365</f>
        <v>0.19452054794520549</v>
      </c>
      <c r="AA333">
        <f>Table1[[#This Row],[Avg_Daily_Consumption]]*Table1[[#This Row],[Lead_Time_Days]]+Table1[[#This Row],[Safety_Stock]]</f>
        <v>10.835616438356166</v>
      </c>
      <c r="AB333">
        <f>IFERROR(Table1[[#This Row],[Closing_Stock]]/Table1[[#This Row],[Avg_Daily_Consumption]],9999)</f>
        <v>61.690140845070424</v>
      </c>
      <c r="AC333">
        <f>MAX(1,ROUNDUP(Table1[[#This Row],[Avg_Daily_Consumption]]*Table1[[#This Row],[Lead_Time_Days]]*0.8,0))</f>
        <v>5</v>
      </c>
      <c r="AD333" t="str">
        <f>IF(Table1[[#This Row],[Closing_Stock]]&lt;Table1[[#This Row],[Reorder_Point]],"Stock-out Risk","Adequate")</f>
        <v>Adequate</v>
      </c>
      <c r="AE333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333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333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333" s="11">
        <f>MAX(0,Table1[[#This Row],[Closing_Stock]]-Table1[[#This Row],[Reorder_Point]])</f>
        <v>1.1643835616438345</v>
      </c>
      <c r="AI333" s="11">
        <f>Table1[[#This Row],[Excess_Stock_Units]]*Table1[[#This Row],[Unit_Cost_INR]]</f>
        <v>3516.4383561643804</v>
      </c>
      <c r="AJ333" s="11">
        <f>IF(Table1[[#This Row],[Criticality]]="Critical",0,Table1[[#This Row],[Excess_Inventory_Value_INR]])</f>
        <v>3516.4383561643804</v>
      </c>
      <c r="AK333" s="11">
        <f>IF(AND(Table1[[#This Row],[Criticality]]&lt;&gt;"Critical",OR(Table1[[#This Row],[Movement_Class]]="Slow-Moving",Table1[[#This Row],[Movement_Class]]="Non-Moving")),Table1[[#This Row],[Excess_Inventory_Value_INR]],0)</f>
        <v>3516.4383561643804</v>
      </c>
    </row>
    <row r="334" spans="1:37" x14ac:dyDescent="0.25">
      <c r="A334" t="s">
        <v>327</v>
      </c>
      <c r="B334" t="s">
        <v>44</v>
      </c>
      <c r="C334" t="s">
        <v>41</v>
      </c>
      <c r="D334" t="s">
        <v>42</v>
      </c>
      <c r="E334" t="s">
        <v>22</v>
      </c>
      <c r="F334">
        <v>21</v>
      </c>
      <c r="G334">
        <v>4</v>
      </c>
      <c r="H334">
        <v>3</v>
      </c>
      <c r="I334">
        <v>22</v>
      </c>
      <c r="J334">
        <v>1640</v>
      </c>
      <c r="K334">
        <v>35</v>
      </c>
      <c r="L334">
        <v>0</v>
      </c>
      <c r="M334">
        <v>105</v>
      </c>
      <c r="N334" t="s">
        <v>58</v>
      </c>
      <c r="O334">
        <v>0.17199999999999999</v>
      </c>
      <c r="P334">
        <v>6205.7599999999993</v>
      </c>
      <c r="Q334">
        <f>(Table1[[#This Row],[Closing_Stock]]*Table1[[#This Row],[Unit_Cost_INR]])</f>
        <v>36080</v>
      </c>
      <c r="R334">
        <f>(Table1[[#This Row],[Unit_Cost_INR]]*Table1[[#This Row],[Consumption]])</f>
        <v>4920</v>
      </c>
      <c r="S334">
        <f>IFERROR(Table1[[#This Row],[Annual_Consumption_Value_INR]]/Table1[[#This Row],[Inventory_Value_INR]],0)</f>
        <v>0.13636363636363635</v>
      </c>
      <c r="T334">
        <f>IFERROR(365/Table1[[#This Row],[Inventory_Turnover]],0)</f>
        <v>2676.666666666667</v>
      </c>
      <c r="U334" t="str">
        <f>IF(Table1[[#This Row],[Consumption]]=0,"Non-Moving", IF(Table1[[#This Row],[Days_Since_Last_Movement]]&gt;90,"Slow-Moving","Active"))</f>
        <v>Slow-Moving</v>
      </c>
      <c r="V334">
        <f>SUM($Q$2:Q334)</f>
        <v>72685260</v>
      </c>
      <c r="W334">
        <f>Table1[[#This Row],[Cumulative_Inventory_Value]]/$AP$3</f>
        <v>0.96023389541526782</v>
      </c>
      <c r="X334" t="str">
        <f>IF(Table1[[#This Row],[Cumulative_Value_%]]&lt;80%,"A", IF(Table1[[#This Row],[Cumulative_Value_%]]&lt;=95%,"B","C"))</f>
        <v>C</v>
      </c>
      <c r="Y334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334">
        <f>Table1[[#This Row],[Consumption]]/365</f>
        <v>8.21917808219178E-3</v>
      </c>
      <c r="AA334">
        <f>Table1[[#This Row],[Avg_Daily_Consumption]]*Table1[[#This Row],[Lead_Time_Days]]+Table1[[#This Row],[Safety_Stock]]</f>
        <v>1.2876712328767124</v>
      </c>
      <c r="AB334">
        <f>IFERROR(Table1[[#This Row],[Closing_Stock]]/Table1[[#This Row],[Avg_Daily_Consumption]],9999)</f>
        <v>2676.666666666667</v>
      </c>
      <c r="AC334">
        <f>MAX(1,ROUNDUP(Table1[[#This Row],[Avg_Daily_Consumption]]*Table1[[#This Row],[Lead_Time_Days]]*0.8,0))</f>
        <v>1</v>
      </c>
      <c r="AD334" t="str">
        <f>IF(Table1[[#This Row],[Closing_Stock]]&lt;Table1[[#This Row],[Reorder_Point]],"Stock-out Risk","Adequate")</f>
        <v>Adequate</v>
      </c>
      <c r="AE334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334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334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334" s="11">
        <f>MAX(0,Table1[[#This Row],[Closing_Stock]]-Table1[[#This Row],[Reorder_Point]])</f>
        <v>20.712328767123289</v>
      </c>
      <c r="AI334" s="11">
        <f>Table1[[#This Row],[Excess_Stock_Units]]*Table1[[#This Row],[Unit_Cost_INR]]</f>
        <v>33968.219178082196</v>
      </c>
      <c r="AJ334" s="11">
        <f>IF(Table1[[#This Row],[Criticality]]="Critical",0,Table1[[#This Row],[Excess_Inventory_Value_INR]])</f>
        <v>33968.219178082196</v>
      </c>
      <c r="AK334" s="11">
        <f>IF(AND(Table1[[#This Row],[Criticality]]&lt;&gt;"Critical",OR(Table1[[#This Row],[Movement_Class]]="Slow-Moving",Table1[[#This Row],[Movement_Class]]="Non-Moving")),Table1[[#This Row],[Excess_Inventory_Value_INR]],0)</f>
        <v>33968.219178082196</v>
      </c>
    </row>
    <row r="335" spans="1:37" x14ac:dyDescent="0.25">
      <c r="A335" t="s">
        <v>514</v>
      </c>
      <c r="B335" t="s">
        <v>95</v>
      </c>
      <c r="C335" t="s">
        <v>26</v>
      </c>
      <c r="D335" t="s">
        <v>21</v>
      </c>
      <c r="E335" t="s">
        <v>22</v>
      </c>
      <c r="F335">
        <v>43</v>
      </c>
      <c r="G335">
        <v>45</v>
      </c>
      <c r="H335">
        <v>31</v>
      </c>
      <c r="I335">
        <v>57</v>
      </c>
      <c r="J335">
        <v>620</v>
      </c>
      <c r="K335">
        <v>14</v>
      </c>
      <c r="L335">
        <v>0</v>
      </c>
      <c r="M335">
        <v>59</v>
      </c>
      <c r="N335" t="s">
        <v>49</v>
      </c>
      <c r="O335">
        <v>0.218</v>
      </c>
      <c r="P335">
        <v>7704.12</v>
      </c>
      <c r="Q335">
        <f>(Table1[[#This Row],[Closing_Stock]]*Table1[[#This Row],[Unit_Cost_INR]])</f>
        <v>35340</v>
      </c>
      <c r="R335">
        <f>(Table1[[#This Row],[Unit_Cost_INR]]*Table1[[#This Row],[Consumption]])</f>
        <v>19220</v>
      </c>
      <c r="S335">
        <f>IFERROR(Table1[[#This Row],[Annual_Consumption_Value_INR]]/Table1[[#This Row],[Inventory_Value_INR]],0)</f>
        <v>0.54385964912280704</v>
      </c>
      <c r="T335">
        <f>IFERROR(365/Table1[[#This Row],[Inventory_Turnover]],0)</f>
        <v>671.12903225806451</v>
      </c>
      <c r="U335" t="str">
        <f>IF(Table1[[#This Row],[Consumption]]=0,"Non-Moving", IF(Table1[[#This Row],[Days_Since_Last_Movement]]&gt;90,"Slow-Moving","Active"))</f>
        <v>Active</v>
      </c>
      <c r="V335">
        <f>SUM($Q$2:Q335)</f>
        <v>72720600</v>
      </c>
      <c r="W335">
        <f>Table1[[#This Row],[Cumulative_Inventory_Value]]/$AP$3</f>
        <v>0.96070076677080773</v>
      </c>
      <c r="X335" t="str">
        <f>IF(Table1[[#This Row],[Cumulative_Value_%]]&lt;80%,"A", IF(Table1[[#This Row],[Cumulative_Value_%]]&lt;=95%,"B","C"))</f>
        <v>C</v>
      </c>
      <c r="Y335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335">
        <f>Table1[[#This Row],[Consumption]]/365</f>
        <v>8.4931506849315067E-2</v>
      </c>
      <c r="AA335">
        <f>Table1[[#This Row],[Avg_Daily_Consumption]]*Table1[[#This Row],[Lead_Time_Days]]+Table1[[#This Row],[Safety_Stock]]</f>
        <v>2.1890410958904107</v>
      </c>
      <c r="AB335">
        <f>IFERROR(Table1[[#This Row],[Closing_Stock]]/Table1[[#This Row],[Avg_Daily_Consumption]],9999)</f>
        <v>671.12903225806451</v>
      </c>
      <c r="AC335">
        <f>MAX(1,ROUNDUP(Table1[[#This Row],[Avg_Daily_Consumption]]*Table1[[#This Row],[Lead_Time_Days]]*0.8,0))</f>
        <v>1</v>
      </c>
      <c r="AD335" t="str">
        <f>IF(Table1[[#This Row],[Closing_Stock]]&lt;Table1[[#This Row],[Reorder_Point]],"Stock-out Risk","Adequate")</f>
        <v>Adequate</v>
      </c>
      <c r="AE335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335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335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335" s="11">
        <f>MAX(0,Table1[[#This Row],[Closing_Stock]]-Table1[[#This Row],[Reorder_Point]])</f>
        <v>54.81095890410959</v>
      </c>
      <c r="AI335" s="11">
        <f>Table1[[#This Row],[Excess_Stock_Units]]*Table1[[#This Row],[Unit_Cost_INR]]</f>
        <v>33982.794520547948</v>
      </c>
      <c r="AJ335" s="11">
        <f>IF(Table1[[#This Row],[Criticality]]="Critical",0,Table1[[#This Row],[Excess_Inventory_Value_INR]])</f>
        <v>33982.794520547948</v>
      </c>
      <c r="AK335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336" spans="1:37" x14ac:dyDescent="0.25">
      <c r="A336" t="s">
        <v>238</v>
      </c>
      <c r="B336" t="s">
        <v>63</v>
      </c>
      <c r="C336" t="s">
        <v>52</v>
      </c>
      <c r="D336" t="s">
        <v>45</v>
      </c>
      <c r="E336" t="s">
        <v>37</v>
      </c>
      <c r="F336">
        <v>49</v>
      </c>
      <c r="G336">
        <v>70</v>
      </c>
      <c r="H336">
        <v>53</v>
      </c>
      <c r="I336">
        <v>66</v>
      </c>
      <c r="J336">
        <v>530</v>
      </c>
      <c r="K336">
        <v>28</v>
      </c>
      <c r="L336">
        <v>0</v>
      </c>
      <c r="M336">
        <v>191</v>
      </c>
      <c r="N336" t="s">
        <v>23</v>
      </c>
      <c r="O336">
        <v>0.186</v>
      </c>
      <c r="P336">
        <v>6506.28</v>
      </c>
      <c r="Q336">
        <f>(Table1[[#This Row],[Closing_Stock]]*Table1[[#This Row],[Unit_Cost_INR]])</f>
        <v>34980</v>
      </c>
      <c r="R336">
        <f>(Table1[[#This Row],[Unit_Cost_INR]]*Table1[[#This Row],[Consumption]])</f>
        <v>28090</v>
      </c>
      <c r="S336">
        <f>IFERROR(Table1[[#This Row],[Annual_Consumption_Value_INR]]/Table1[[#This Row],[Inventory_Value_INR]],0)</f>
        <v>0.80303030303030298</v>
      </c>
      <c r="T336">
        <f>IFERROR(365/Table1[[#This Row],[Inventory_Turnover]],0)</f>
        <v>454.52830188679246</v>
      </c>
      <c r="U336" t="str">
        <f>IF(Table1[[#This Row],[Consumption]]=0,"Non-Moving", IF(Table1[[#This Row],[Days_Since_Last_Movement]]&gt;90,"Slow-Moving","Active"))</f>
        <v>Slow-Moving</v>
      </c>
      <c r="V336">
        <f>SUM($Q$2:Q336)</f>
        <v>72755580</v>
      </c>
      <c r="W336">
        <f>Table1[[#This Row],[Cumulative_Inventory_Value]]/$AP$3</f>
        <v>0.96116288222119795</v>
      </c>
      <c r="X336" t="str">
        <f>IF(Table1[[#This Row],[Cumulative_Value_%]]&lt;80%,"A", IF(Table1[[#This Row],[Cumulative_Value_%]]&lt;=95%,"B","C"))</f>
        <v>C</v>
      </c>
      <c r="Y336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336">
        <f>Table1[[#This Row],[Consumption]]/365</f>
        <v>0.14520547945205478</v>
      </c>
      <c r="AA336">
        <f>Table1[[#This Row],[Avg_Daily_Consumption]]*Table1[[#This Row],[Lead_Time_Days]]+Table1[[#This Row],[Safety_Stock]]</f>
        <v>8.0657534246575331</v>
      </c>
      <c r="AB336">
        <f>IFERROR(Table1[[#This Row],[Closing_Stock]]/Table1[[#This Row],[Avg_Daily_Consumption]],9999)</f>
        <v>454.52830188679252</v>
      </c>
      <c r="AC336">
        <f>MAX(1,ROUNDUP(Table1[[#This Row],[Avg_Daily_Consumption]]*Table1[[#This Row],[Lead_Time_Days]]*0.8,0))</f>
        <v>4</v>
      </c>
      <c r="AD336" t="str">
        <f>IF(Table1[[#This Row],[Closing_Stock]]&lt;Table1[[#This Row],[Reorder_Point]],"Stock-out Risk","Adequate")</f>
        <v>Adequate</v>
      </c>
      <c r="AE336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336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336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336" s="11">
        <f>MAX(0,Table1[[#This Row],[Closing_Stock]]-Table1[[#This Row],[Reorder_Point]])</f>
        <v>57.93424657534247</v>
      </c>
      <c r="AI336" s="11">
        <f>Table1[[#This Row],[Excess_Stock_Units]]*Table1[[#This Row],[Unit_Cost_INR]]</f>
        <v>30705.150684931508</v>
      </c>
      <c r="AJ336" s="11">
        <f>IF(Table1[[#This Row],[Criticality]]="Critical",0,Table1[[#This Row],[Excess_Inventory_Value_INR]])</f>
        <v>0</v>
      </c>
      <c r="AK336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337" spans="1:37" x14ac:dyDescent="0.25">
      <c r="A337" t="s">
        <v>498</v>
      </c>
      <c r="B337" t="s">
        <v>35</v>
      </c>
      <c r="C337" t="s">
        <v>36</v>
      </c>
      <c r="D337" t="s">
        <v>60</v>
      </c>
      <c r="E337" t="s">
        <v>22</v>
      </c>
      <c r="F337">
        <v>22</v>
      </c>
      <c r="G337">
        <v>13</v>
      </c>
      <c r="H337">
        <v>10</v>
      </c>
      <c r="I337">
        <v>25</v>
      </c>
      <c r="J337">
        <v>1390</v>
      </c>
      <c r="K337">
        <v>17</v>
      </c>
      <c r="L337">
        <v>0</v>
      </c>
      <c r="M337">
        <v>76</v>
      </c>
      <c r="N337" t="s">
        <v>58</v>
      </c>
      <c r="O337">
        <v>0.25600000000000001</v>
      </c>
      <c r="P337">
        <v>8896</v>
      </c>
      <c r="Q337">
        <f>(Table1[[#This Row],[Closing_Stock]]*Table1[[#This Row],[Unit_Cost_INR]])</f>
        <v>34750</v>
      </c>
      <c r="R337">
        <f>(Table1[[#This Row],[Unit_Cost_INR]]*Table1[[#This Row],[Consumption]])</f>
        <v>13900</v>
      </c>
      <c r="S337">
        <f>IFERROR(Table1[[#This Row],[Annual_Consumption_Value_INR]]/Table1[[#This Row],[Inventory_Value_INR]],0)</f>
        <v>0.4</v>
      </c>
      <c r="T337">
        <f>IFERROR(365/Table1[[#This Row],[Inventory_Turnover]],0)</f>
        <v>912.5</v>
      </c>
      <c r="U337" t="str">
        <f>IF(Table1[[#This Row],[Consumption]]=0,"Non-Moving", IF(Table1[[#This Row],[Days_Since_Last_Movement]]&gt;90,"Slow-Moving","Active"))</f>
        <v>Active</v>
      </c>
      <c r="V337">
        <f>SUM($Q$2:Q337)</f>
        <v>72790330</v>
      </c>
      <c r="W337">
        <f>Table1[[#This Row],[Cumulative_Inventory_Value]]/$AP$3</f>
        <v>0.96162195917663129</v>
      </c>
      <c r="X337" t="str">
        <f>IF(Table1[[#This Row],[Cumulative_Value_%]]&lt;80%,"A", IF(Table1[[#This Row],[Cumulative_Value_%]]&lt;=95%,"B","C"))</f>
        <v>C</v>
      </c>
      <c r="Y337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337">
        <f>Table1[[#This Row],[Consumption]]/365</f>
        <v>2.7397260273972601E-2</v>
      </c>
      <c r="AA337">
        <f>Table1[[#This Row],[Avg_Daily_Consumption]]*Table1[[#This Row],[Lead_Time_Days]]+Table1[[#This Row],[Safety_Stock]]</f>
        <v>1.4657534246575343</v>
      </c>
      <c r="AB337">
        <f>IFERROR(Table1[[#This Row],[Closing_Stock]]/Table1[[#This Row],[Avg_Daily_Consumption]],9999)</f>
        <v>912.5</v>
      </c>
      <c r="AC337">
        <f>MAX(1,ROUNDUP(Table1[[#This Row],[Avg_Daily_Consumption]]*Table1[[#This Row],[Lead_Time_Days]]*0.8,0))</f>
        <v>1</v>
      </c>
      <c r="AD337" t="str">
        <f>IF(Table1[[#This Row],[Closing_Stock]]&lt;Table1[[#This Row],[Reorder_Point]],"Stock-out Risk","Adequate")</f>
        <v>Adequate</v>
      </c>
      <c r="AE337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337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337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337" s="11">
        <f>MAX(0,Table1[[#This Row],[Closing_Stock]]-Table1[[#This Row],[Reorder_Point]])</f>
        <v>23.534246575342465</v>
      </c>
      <c r="AI337" s="11">
        <f>Table1[[#This Row],[Excess_Stock_Units]]*Table1[[#This Row],[Unit_Cost_INR]]</f>
        <v>32712.602739726026</v>
      </c>
      <c r="AJ337" s="11">
        <f>IF(Table1[[#This Row],[Criticality]]="Critical",0,Table1[[#This Row],[Excess_Inventory_Value_INR]])</f>
        <v>32712.602739726026</v>
      </c>
      <c r="AK337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338" spans="1:37" x14ac:dyDescent="0.25">
      <c r="A338" t="s">
        <v>87</v>
      </c>
      <c r="B338" t="s">
        <v>75</v>
      </c>
      <c r="C338" t="s">
        <v>36</v>
      </c>
      <c r="D338" t="s">
        <v>66</v>
      </c>
      <c r="E338" t="s">
        <v>22</v>
      </c>
      <c r="F338">
        <v>13</v>
      </c>
      <c r="G338">
        <v>25</v>
      </c>
      <c r="H338">
        <v>20</v>
      </c>
      <c r="I338">
        <v>18</v>
      </c>
      <c r="J338">
        <v>1930</v>
      </c>
      <c r="K338">
        <v>27</v>
      </c>
      <c r="L338">
        <v>0</v>
      </c>
      <c r="M338">
        <v>18</v>
      </c>
      <c r="N338" t="s">
        <v>61</v>
      </c>
      <c r="O338">
        <v>0.28199999999999997</v>
      </c>
      <c r="P338">
        <v>9796.6799999999985</v>
      </c>
      <c r="Q338">
        <f>(Table1[[#This Row],[Closing_Stock]]*Table1[[#This Row],[Unit_Cost_INR]])</f>
        <v>34740</v>
      </c>
      <c r="R338">
        <f>(Table1[[#This Row],[Unit_Cost_INR]]*Table1[[#This Row],[Consumption]])</f>
        <v>38600</v>
      </c>
      <c r="S338">
        <f>IFERROR(Table1[[#This Row],[Annual_Consumption_Value_INR]]/Table1[[#This Row],[Inventory_Value_INR]],0)</f>
        <v>1.1111111111111112</v>
      </c>
      <c r="T338">
        <f>IFERROR(365/Table1[[#This Row],[Inventory_Turnover]],0)</f>
        <v>328.5</v>
      </c>
      <c r="U338" t="str">
        <f>IF(Table1[[#This Row],[Consumption]]=0,"Non-Moving", IF(Table1[[#This Row],[Days_Since_Last_Movement]]&gt;90,"Slow-Moving","Active"))</f>
        <v>Active</v>
      </c>
      <c r="V338">
        <f>SUM($Q$2:Q338)</f>
        <v>72825070</v>
      </c>
      <c r="W338">
        <f>Table1[[#This Row],[Cumulative_Inventory_Value]]/$AP$3</f>
        <v>0.96208090402358826</v>
      </c>
      <c r="X338" t="str">
        <f>IF(Table1[[#This Row],[Cumulative_Value_%]]&lt;80%,"A", IF(Table1[[#This Row],[Cumulative_Value_%]]&lt;=95%,"B","C"))</f>
        <v>C</v>
      </c>
      <c r="Y338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338">
        <f>Table1[[#This Row],[Consumption]]/365</f>
        <v>5.4794520547945202E-2</v>
      </c>
      <c r="AA338">
        <f>Table1[[#This Row],[Avg_Daily_Consumption]]*Table1[[#This Row],[Lead_Time_Days]]+Table1[[#This Row],[Safety_Stock]]</f>
        <v>3.4794520547945202</v>
      </c>
      <c r="AB338">
        <f>IFERROR(Table1[[#This Row],[Closing_Stock]]/Table1[[#This Row],[Avg_Daily_Consumption]],9999)</f>
        <v>328.5</v>
      </c>
      <c r="AC338">
        <f>MAX(1,ROUNDUP(Table1[[#This Row],[Avg_Daily_Consumption]]*Table1[[#This Row],[Lead_Time_Days]]*0.8,0))</f>
        <v>2</v>
      </c>
      <c r="AD338" t="str">
        <f>IF(Table1[[#This Row],[Closing_Stock]]&lt;Table1[[#This Row],[Reorder_Point]],"Stock-out Risk","Adequate")</f>
        <v>Adequate</v>
      </c>
      <c r="AE338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338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338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338" s="11">
        <f>MAX(0,Table1[[#This Row],[Closing_Stock]]-Table1[[#This Row],[Reorder_Point]])</f>
        <v>14.520547945205479</v>
      </c>
      <c r="AI338" s="11">
        <f>Table1[[#This Row],[Excess_Stock_Units]]*Table1[[#This Row],[Unit_Cost_INR]]</f>
        <v>28024.657534246573</v>
      </c>
      <c r="AJ338" s="11">
        <f>IF(Table1[[#This Row],[Criticality]]="Critical",0,Table1[[#This Row],[Excess_Inventory_Value_INR]])</f>
        <v>28024.657534246573</v>
      </c>
      <c r="AK338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339" spans="1:37" x14ac:dyDescent="0.25">
      <c r="A339" t="s">
        <v>90</v>
      </c>
      <c r="B339" t="s">
        <v>40</v>
      </c>
      <c r="C339" t="s">
        <v>41</v>
      </c>
      <c r="D339" t="s">
        <v>42</v>
      </c>
      <c r="E339" t="s">
        <v>22</v>
      </c>
      <c r="F339">
        <v>20</v>
      </c>
      <c r="G339">
        <v>13</v>
      </c>
      <c r="H339">
        <v>11</v>
      </c>
      <c r="I339">
        <v>22</v>
      </c>
      <c r="J339">
        <v>1570</v>
      </c>
      <c r="K339">
        <v>42</v>
      </c>
      <c r="L339">
        <v>1</v>
      </c>
      <c r="M339">
        <v>30</v>
      </c>
      <c r="N339" t="s">
        <v>23</v>
      </c>
      <c r="O339">
        <v>0.21199999999999999</v>
      </c>
      <c r="P339">
        <v>7322.48</v>
      </c>
      <c r="Q339">
        <f>(Table1[[#This Row],[Closing_Stock]]*Table1[[#This Row],[Unit_Cost_INR]])</f>
        <v>34540</v>
      </c>
      <c r="R339">
        <f>(Table1[[#This Row],[Unit_Cost_INR]]*Table1[[#This Row],[Consumption]])</f>
        <v>17270</v>
      </c>
      <c r="S339">
        <f>IFERROR(Table1[[#This Row],[Annual_Consumption_Value_INR]]/Table1[[#This Row],[Inventory_Value_INR]],0)</f>
        <v>0.5</v>
      </c>
      <c r="T339">
        <f>IFERROR(365/Table1[[#This Row],[Inventory_Turnover]],0)</f>
        <v>730</v>
      </c>
      <c r="U339" t="str">
        <f>IF(Table1[[#This Row],[Consumption]]=0,"Non-Moving", IF(Table1[[#This Row],[Days_Since_Last_Movement]]&gt;90,"Slow-Moving","Active"))</f>
        <v>Active</v>
      </c>
      <c r="V339">
        <f>SUM($Q$2:Q339)</f>
        <v>72859610</v>
      </c>
      <c r="W339">
        <f>Table1[[#This Row],[Cumulative_Inventory_Value]]/$AP$3</f>
        <v>0.9625372067010175</v>
      </c>
      <c r="X339" t="str">
        <f>IF(Table1[[#This Row],[Cumulative_Value_%]]&lt;80%,"A", IF(Table1[[#This Row],[Cumulative_Value_%]]&lt;=95%,"B","C"))</f>
        <v>C</v>
      </c>
      <c r="Y339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339">
        <f>Table1[[#This Row],[Consumption]]/365</f>
        <v>3.0136986301369864E-2</v>
      </c>
      <c r="AA339">
        <f>Table1[[#This Row],[Avg_Daily_Consumption]]*Table1[[#This Row],[Lead_Time_Days]]+Table1[[#This Row],[Safety_Stock]]</f>
        <v>3.2657534246575342</v>
      </c>
      <c r="AB339">
        <f>IFERROR(Table1[[#This Row],[Closing_Stock]]/Table1[[#This Row],[Avg_Daily_Consumption]],9999)</f>
        <v>730</v>
      </c>
      <c r="AC339">
        <f>MAX(1,ROUNDUP(Table1[[#This Row],[Avg_Daily_Consumption]]*Table1[[#This Row],[Lead_Time_Days]]*0.8,0))</f>
        <v>2</v>
      </c>
      <c r="AD339" t="str">
        <f>IF(Table1[[#This Row],[Closing_Stock]]&lt;Table1[[#This Row],[Reorder_Point]],"Stock-out Risk","Adequate")</f>
        <v>Adequate</v>
      </c>
      <c r="AE339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339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339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339" s="11">
        <f>MAX(0,Table1[[#This Row],[Closing_Stock]]-Table1[[#This Row],[Reorder_Point]])</f>
        <v>18.734246575342468</v>
      </c>
      <c r="AI339" s="11">
        <f>Table1[[#This Row],[Excess_Stock_Units]]*Table1[[#This Row],[Unit_Cost_INR]]</f>
        <v>29412.767123287675</v>
      </c>
      <c r="AJ339" s="11">
        <f>IF(Table1[[#This Row],[Criticality]]="Critical",0,Table1[[#This Row],[Excess_Inventory_Value_INR]])</f>
        <v>29412.767123287675</v>
      </c>
      <c r="AK339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340" spans="1:37" x14ac:dyDescent="0.25">
      <c r="A340" t="s">
        <v>223</v>
      </c>
      <c r="B340" t="s">
        <v>95</v>
      </c>
      <c r="C340" t="s">
        <v>26</v>
      </c>
      <c r="D340" t="s">
        <v>66</v>
      </c>
      <c r="E340" t="s">
        <v>28</v>
      </c>
      <c r="F340">
        <v>30</v>
      </c>
      <c r="G340">
        <v>31</v>
      </c>
      <c r="H340">
        <v>29</v>
      </c>
      <c r="I340">
        <v>32</v>
      </c>
      <c r="J340">
        <v>1070</v>
      </c>
      <c r="K340">
        <v>30</v>
      </c>
      <c r="L340">
        <v>0</v>
      </c>
      <c r="M340">
        <v>20</v>
      </c>
      <c r="N340" t="s">
        <v>23</v>
      </c>
      <c r="O340">
        <v>0.26300000000000001</v>
      </c>
      <c r="P340">
        <v>9005.1200000000008</v>
      </c>
      <c r="Q340">
        <f>(Table1[[#This Row],[Closing_Stock]]*Table1[[#This Row],[Unit_Cost_INR]])</f>
        <v>34240</v>
      </c>
      <c r="R340">
        <f>(Table1[[#This Row],[Unit_Cost_INR]]*Table1[[#This Row],[Consumption]])</f>
        <v>31030</v>
      </c>
      <c r="S340">
        <f>IFERROR(Table1[[#This Row],[Annual_Consumption_Value_INR]]/Table1[[#This Row],[Inventory_Value_INR]],0)</f>
        <v>0.90625</v>
      </c>
      <c r="T340">
        <f>IFERROR(365/Table1[[#This Row],[Inventory_Turnover]],0)</f>
        <v>402.75862068965517</v>
      </c>
      <c r="U340" t="str">
        <f>IF(Table1[[#This Row],[Consumption]]=0,"Non-Moving", IF(Table1[[#This Row],[Days_Since_Last_Movement]]&gt;90,"Slow-Moving","Active"))</f>
        <v>Active</v>
      </c>
      <c r="V340">
        <f>SUM($Q$2:Q340)</f>
        <v>72893850</v>
      </c>
      <c r="W340">
        <f>Table1[[#This Row],[Cumulative_Inventory_Value]]/$AP$3</f>
        <v>0.96298954612415533</v>
      </c>
      <c r="X340" t="str">
        <f>IF(Table1[[#This Row],[Cumulative_Value_%]]&lt;80%,"A", IF(Table1[[#This Row],[Cumulative_Value_%]]&lt;=95%,"B","C"))</f>
        <v>C</v>
      </c>
      <c r="Y340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340">
        <f>Table1[[#This Row],[Consumption]]/365</f>
        <v>7.9452054794520555E-2</v>
      </c>
      <c r="AA340">
        <f>Table1[[#This Row],[Avg_Daily_Consumption]]*Table1[[#This Row],[Lead_Time_Days]]+Table1[[#This Row],[Safety_Stock]]</f>
        <v>4.3835616438356162</v>
      </c>
      <c r="AB340">
        <f>IFERROR(Table1[[#This Row],[Closing_Stock]]/Table1[[#This Row],[Avg_Daily_Consumption]],9999)</f>
        <v>402.75862068965512</v>
      </c>
      <c r="AC340">
        <f>MAX(1,ROUNDUP(Table1[[#This Row],[Avg_Daily_Consumption]]*Table1[[#This Row],[Lead_Time_Days]]*0.8,0))</f>
        <v>2</v>
      </c>
      <c r="AD340" t="str">
        <f>IF(Table1[[#This Row],[Closing_Stock]]&lt;Table1[[#This Row],[Reorder_Point]],"Stock-out Risk","Adequate")</f>
        <v>Adequate</v>
      </c>
      <c r="AE340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340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340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340" s="11">
        <f>MAX(0,Table1[[#This Row],[Closing_Stock]]-Table1[[#This Row],[Reorder_Point]])</f>
        <v>27.616438356164384</v>
      </c>
      <c r="AI340" s="11">
        <f>Table1[[#This Row],[Excess_Stock_Units]]*Table1[[#This Row],[Unit_Cost_INR]]</f>
        <v>29549.589041095889</v>
      </c>
      <c r="AJ340" s="11">
        <f>IF(Table1[[#This Row],[Criticality]]="Critical",0,Table1[[#This Row],[Excess_Inventory_Value_INR]])</f>
        <v>29549.589041095889</v>
      </c>
      <c r="AK340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341" spans="1:37" x14ac:dyDescent="0.25">
      <c r="A341" t="s">
        <v>420</v>
      </c>
      <c r="B341" t="s">
        <v>73</v>
      </c>
      <c r="C341" t="s">
        <v>41</v>
      </c>
      <c r="D341" t="s">
        <v>42</v>
      </c>
      <c r="E341" t="s">
        <v>37</v>
      </c>
      <c r="F341">
        <v>10</v>
      </c>
      <c r="G341">
        <v>10</v>
      </c>
      <c r="H341">
        <v>8</v>
      </c>
      <c r="I341">
        <v>12</v>
      </c>
      <c r="J341">
        <v>2840</v>
      </c>
      <c r="K341">
        <v>28</v>
      </c>
      <c r="L341">
        <v>0</v>
      </c>
      <c r="M341">
        <v>1</v>
      </c>
      <c r="N341" t="s">
        <v>23</v>
      </c>
      <c r="O341">
        <v>0.188</v>
      </c>
      <c r="P341">
        <v>6407.04</v>
      </c>
      <c r="Q341">
        <f>(Table1[[#This Row],[Closing_Stock]]*Table1[[#This Row],[Unit_Cost_INR]])</f>
        <v>34080</v>
      </c>
      <c r="R341">
        <f>(Table1[[#This Row],[Unit_Cost_INR]]*Table1[[#This Row],[Consumption]])</f>
        <v>22720</v>
      </c>
      <c r="S341">
        <f>IFERROR(Table1[[#This Row],[Annual_Consumption_Value_INR]]/Table1[[#This Row],[Inventory_Value_INR]],0)</f>
        <v>0.66666666666666663</v>
      </c>
      <c r="T341">
        <f>IFERROR(365/Table1[[#This Row],[Inventory_Turnover]],0)</f>
        <v>547.5</v>
      </c>
      <c r="U341" t="str">
        <f>IF(Table1[[#This Row],[Consumption]]=0,"Non-Moving", IF(Table1[[#This Row],[Days_Since_Last_Movement]]&gt;90,"Slow-Moving","Active"))</f>
        <v>Active</v>
      </c>
      <c r="V341">
        <f>SUM($Q$2:Q341)</f>
        <v>72927930</v>
      </c>
      <c r="W341">
        <f>Table1[[#This Row],[Cumulative_Inventory_Value]]/$AP$3</f>
        <v>0.96343977181167095</v>
      </c>
      <c r="X341" t="str">
        <f>IF(Table1[[#This Row],[Cumulative_Value_%]]&lt;80%,"A", IF(Table1[[#This Row],[Cumulative_Value_%]]&lt;=95%,"B","C"))</f>
        <v>C</v>
      </c>
      <c r="Y341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341">
        <f>Table1[[#This Row],[Consumption]]/365</f>
        <v>2.1917808219178082E-2</v>
      </c>
      <c r="AA341">
        <f>Table1[[#This Row],[Avg_Daily_Consumption]]*Table1[[#This Row],[Lead_Time_Days]]+Table1[[#This Row],[Safety_Stock]]</f>
        <v>1.6136986301369864</v>
      </c>
      <c r="AB341">
        <f>IFERROR(Table1[[#This Row],[Closing_Stock]]/Table1[[#This Row],[Avg_Daily_Consumption]],9999)</f>
        <v>547.5</v>
      </c>
      <c r="AC341">
        <f>MAX(1,ROUNDUP(Table1[[#This Row],[Avg_Daily_Consumption]]*Table1[[#This Row],[Lead_Time_Days]]*0.8,0))</f>
        <v>1</v>
      </c>
      <c r="AD341" t="str">
        <f>IF(Table1[[#This Row],[Closing_Stock]]&lt;Table1[[#This Row],[Reorder_Point]],"Stock-out Risk","Adequate")</f>
        <v>Adequate</v>
      </c>
      <c r="AE341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341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341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341" s="11">
        <f>MAX(0,Table1[[#This Row],[Closing_Stock]]-Table1[[#This Row],[Reorder_Point]])</f>
        <v>10.386301369863013</v>
      </c>
      <c r="AI341" s="11">
        <f>Table1[[#This Row],[Excess_Stock_Units]]*Table1[[#This Row],[Unit_Cost_INR]]</f>
        <v>29497.095890410958</v>
      </c>
      <c r="AJ341" s="11">
        <f>IF(Table1[[#This Row],[Criticality]]="Critical",0,Table1[[#This Row],[Excess_Inventory_Value_INR]])</f>
        <v>0</v>
      </c>
      <c r="AK341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342" spans="1:37" x14ac:dyDescent="0.25">
      <c r="A342" t="s">
        <v>213</v>
      </c>
      <c r="B342" t="s">
        <v>137</v>
      </c>
      <c r="C342" t="s">
        <v>26</v>
      </c>
      <c r="D342" t="s">
        <v>21</v>
      </c>
      <c r="E342" t="s">
        <v>22</v>
      </c>
      <c r="F342">
        <v>13</v>
      </c>
      <c r="G342">
        <v>25</v>
      </c>
      <c r="H342">
        <v>14</v>
      </c>
      <c r="I342">
        <v>24</v>
      </c>
      <c r="J342">
        <v>1410</v>
      </c>
      <c r="K342">
        <v>28</v>
      </c>
      <c r="L342">
        <v>0</v>
      </c>
      <c r="M342">
        <v>189</v>
      </c>
      <c r="N342" t="s">
        <v>58</v>
      </c>
      <c r="O342">
        <v>0.19900000000000001</v>
      </c>
      <c r="P342">
        <v>6734.1600000000008</v>
      </c>
      <c r="Q342">
        <f>(Table1[[#This Row],[Closing_Stock]]*Table1[[#This Row],[Unit_Cost_INR]])</f>
        <v>33840</v>
      </c>
      <c r="R342">
        <f>(Table1[[#This Row],[Unit_Cost_INR]]*Table1[[#This Row],[Consumption]])</f>
        <v>19740</v>
      </c>
      <c r="S342">
        <f>IFERROR(Table1[[#This Row],[Annual_Consumption_Value_INR]]/Table1[[#This Row],[Inventory_Value_INR]],0)</f>
        <v>0.58333333333333337</v>
      </c>
      <c r="T342">
        <f>IFERROR(365/Table1[[#This Row],[Inventory_Turnover]],0)</f>
        <v>625.71428571428567</v>
      </c>
      <c r="U342" t="str">
        <f>IF(Table1[[#This Row],[Consumption]]=0,"Non-Moving", IF(Table1[[#This Row],[Days_Since_Last_Movement]]&gt;90,"Slow-Moving","Active"))</f>
        <v>Slow-Moving</v>
      </c>
      <c r="V342">
        <f>SUM($Q$2:Q342)</f>
        <v>72961770</v>
      </c>
      <c r="W342">
        <f>Table1[[#This Row],[Cumulative_Inventory_Value]]/$AP$3</f>
        <v>0.96388682689575333</v>
      </c>
      <c r="X342" t="str">
        <f>IF(Table1[[#This Row],[Cumulative_Value_%]]&lt;80%,"A", IF(Table1[[#This Row],[Cumulative_Value_%]]&lt;=95%,"B","C"))</f>
        <v>C</v>
      </c>
      <c r="Y342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342">
        <f>Table1[[#This Row],[Consumption]]/365</f>
        <v>3.8356164383561646E-2</v>
      </c>
      <c r="AA342">
        <f>Table1[[#This Row],[Avg_Daily_Consumption]]*Table1[[#This Row],[Lead_Time_Days]]+Table1[[#This Row],[Safety_Stock]]</f>
        <v>2.0739726027397261</v>
      </c>
      <c r="AB342">
        <f>IFERROR(Table1[[#This Row],[Closing_Stock]]/Table1[[#This Row],[Avg_Daily_Consumption]],9999)</f>
        <v>625.71428571428567</v>
      </c>
      <c r="AC342">
        <f>MAX(1,ROUNDUP(Table1[[#This Row],[Avg_Daily_Consumption]]*Table1[[#This Row],[Lead_Time_Days]]*0.8,0))</f>
        <v>1</v>
      </c>
      <c r="AD342" t="str">
        <f>IF(Table1[[#This Row],[Closing_Stock]]&lt;Table1[[#This Row],[Reorder_Point]],"Stock-out Risk","Adequate")</f>
        <v>Adequate</v>
      </c>
      <c r="AE342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342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342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342" s="11">
        <f>MAX(0,Table1[[#This Row],[Closing_Stock]]-Table1[[#This Row],[Reorder_Point]])</f>
        <v>21.926027397260274</v>
      </c>
      <c r="AI342" s="11">
        <f>Table1[[#This Row],[Excess_Stock_Units]]*Table1[[#This Row],[Unit_Cost_INR]]</f>
        <v>30915.698630136987</v>
      </c>
      <c r="AJ342" s="11">
        <f>IF(Table1[[#This Row],[Criticality]]="Critical",0,Table1[[#This Row],[Excess_Inventory_Value_INR]])</f>
        <v>30915.698630136987</v>
      </c>
      <c r="AK342" s="11">
        <f>IF(AND(Table1[[#This Row],[Criticality]]&lt;&gt;"Critical",OR(Table1[[#This Row],[Movement_Class]]="Slow-Moving",Table1[[#This Row],[Movement_Class]]="Non-Moving")),Table1[[#This Row],[Excess_Inventory_Value_INR]],0)</f>
        <v>30915.698630136987</v>
      </c>
    </row>
    <row r="343" spans="1:37" x14ac:dyDescent="0.25">
      <c r="A343" t="s">
        <v>409</v>
      </c>
      <c r="B343" t="s">
        <v>63</v>
      </c>
      <c r="C343" t="s">
        <v>52</v>
      </c>
      <c r="D343" t="s">
        <v>21</v>
      </c>
      <c r="E343" t="s">
        <v>28</v>
      </c>
      <c r="F343">
        <v>26</v>
      </c>
      <c r="G343">
        <v>33</v>
      </c>
      <c r="H343">
        <v>24</v>
      </c>
      <c r="I343">
        <v>35</v>
      </c>
      <c r="J343">
        <v>950</v>
      </c>
      <c r="K343">
        <v>33</v>
      </c>
      <c r="L343">
        <v>0</v>
      </c>
      <c r="M343">
        <v>17</v>
      </c>
      <c r="N343" t="s">
        <v>38</v>
      </c>
      <c r="O343">
        <v>0.246</v>
      </c>
      <c r="P343">
        <v>8179.5</v>
      </c>
      <c r="Q343">
        <f>(Table1[[#This Row],[Closing_Stock]]*Table1[[#This Row],[Unit_Cost_INR]])</f>
        <v>33250</v>
      </c>
      <c r="R343">
        <f>(Table1[[#This Row],[Unit_Cost_INR]]*Table1[[#This Row],[Consumption]])</f>
        <v>22800</v>
      </c>
      <c r="S343">
        <f>IFERROR(Table1[[#This Row],[Annual_Consumption_Value_INR]]/Table1[[#This Row],[Inventory_Value_INR]],0)</f>
        <v>0.68571428571428572</v>
      </c>
      <c r="T343">
        <f>IFERROR(365/Table1[[#This Row],[Inventory_Turnover]],0)</f>
        <v>532.29166666666663</v>
      </c>
      <c r="U343" t="str">
        <f>IF(Table1[[#This Row],[Consumption]]=0,"Non-Moving", IF(Table1[[#This Row],[Days_Since_Last_Movement]]&gt;90,"Slow-Moving","Active"))</f>
        <v>Active</v>
      </c>
      <c r="V343">
        <f>SUM($Q$2:Q343)</f>
        <v>72995020</v>
      </c>
      <c r="W343">
        <f>Table1[[#This Row],[Cumulative_Inventory_Value]]/$AP$3</f>
        <v>0.96432608757972915</v>
      </c>
      <c r="X343" t="str">
        <f>IF(Table1[[#This Row],[Cumulative_Value_%]]&lt;80%,"A", IF(Table1[[#This Row],[Cumulative_Value_%]]&lt;=95%,"B","C"))</f>
        <v>C</v>
      </c>
      <c r="Y343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343">
        <f>Table1[[#This Row],[Consumption]]/365</f>
        <v>6.575342465753424E-2</v>
      </c>
      <c r="AA343">
        <f>Table1[[#This Row],[Avg_Daily_Consumption]]*Table1[[#This Row],[Lead_Time_Days]]+Table1[[#This Row],[Safety_Stock]]</f>
        <v>4.1698630136986301</v>
      </c>
      <c r="AB343">
        <f>IFERROR(Table1[[#This Row],[Closing_Stock]]/Table1[[#This Row],[Avg_Daily_Consumption]],9999)</f>
        <v>532.29166666666674</v>
      </c>
      <c r="AC343">
        <f>MAX(1,ROUNDUP(Table1[[#This Row],[Avg_Daily_Consumption]]*Table1[[#This Row],[Lead_Time_Days]]*0.8,0))</f>
        <v>2</v>
      </c>
      <c r="AD343" t="str">
        <f>IF(Table1[[#This Row],[Closing_Stock]]&lt;Table1[[#This Row],[Reorder_Point]],"Stock-out Risk","Adequate")</f>
        <v>Adequate</v>
      </c>
      <c r="AE343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343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343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343" s="11">
        <f>MAX(0,Table1[[#This Row],[Closing_Stock]]-Table1[[#This Row],[Reorder_Point]])</f>
        <v>30.830136986301369</v>
      </c>
      <c r="AI343" s="11">
        <f>Table1[[#This Row],[Excess_Stock_Units]]*Table1[[#This Row],[Unit_Cost_INR]]</f>
        <v>29288.630136986299</v>
      </c>
      <c r="AJ343" s="11">
        <f>IF(Table1[[#This Row],[Criticality]]="Critical",0,Table1[[#This Row],[Excess_Inventory_Value_INR]])</f>
        <v>29288.630136986299</v>
      </c>
      <c r="AK343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344" spans="1:37" x14ac:dyDescent="0.25">
      <c r="A344" t="s">
        <v>338</v>
      </c>
      <c r="B344" t="s">
        <v>83</v>
      </c>
      <c r="C344" t="s">
        <v>32</v>
      </c>
      <c r="D344" t="s">
        <v>60</v>
      </c>
      <c r="E344" t="s">
        <v>28</v>
      </c>
      <c r="F344">
        <v>25</v>
      </c>
      <c r="G344">
        <v>32</v>
      </c>
      <c r="H344">
        <v>19</v>
      </c>
      <c r="I344">
        <v>38</v>
      </c>
      <c r="J344">
        <v>860</v>
      </c>
      <c r="K344">
        <v>23</v>
      </c>
      <c r="L344">
        <v>1</v>
      </c>
      <c r="M344">
        <v>46</v>
      </c>
      <c r="N344" t="s">
        <v>29</v>
      </c>
      <c r="O344">
        <v>0.16700000000000001</v>
      </c>
      <c r="P344">
        <v>5457.56</v>
      </c>
      <c r="Q344">
        <f>(Table1[[#This Row],[Closing_Stock]]*Table1[[#This Row],[Unit_Cost_INR]])</f>
        <v>32680</v>
      </c>
      <c r="R344">
        <f>(Table1[[#This Row],[Unit_Cost_INR]]*Table1[[#This Row],[Consumption]])</f>
        <v>16340</v>
      </c>
      <c r="S344">
        <f>IFERROR(Table1[[#This Row],[Annual_Consumption_Value_INR]]/Table1[[#This Row],[Inventory_Value_INR]],0)</f>
        <v>0.5</v>
      </c>
      <c r="T344">
        <f>IFERROR(365/Table1[[#This Row],[Inventory_Turnover]],0)</f>
        <v>730</v>
      </c>
      <c r="U344" t="str">
        <f>IF(Table1[[#This Row],[Consumption]]=0,"Non-Moving", IF(Table1[[#This Row],[Days_Since_Last_Movement]]&gt;90,"Slow-Moving","Active"))</f>
        <v>Active</v>
      </c>
      <c r="V344">
        <f>SUM($Q$2:Q344)</f>
        <v>73027700</v>
      </c>
      <c r="W344">
        <f>Table1[[#This Row],[Cumulative_Inventory_Value]]/$AP$3</f>
        <v>0.96475781808055106</v>
      </c>
      <c r="X344" t="str">
        <f>IF(Table1[[#This Row],[Cumulative_Value_%]]&lt;80%,"A", IF(Table1[[#This Row],[Cumulative_Value_%]]&lt;=95%,"B","C"))</f>
        <v>C</v>
      </c>
      <c r="Y344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344">
        <f>Table1[[#This Row],[Consumption]]/365</f>
        <v>5.2054794520547946E-2</v>
      </c>
      <c r="AA344">
        <f>Table1[[#This Row],[Avg_Daily_Consumption]]*Table1[[#This Row],[Lead_Time_Days]]+Table1[[#This Row],[Safety_Stock]]</f>
        <v>2.1972602739726028</v>
      </c>
      <c r="AB344">
        <f>IFERROR(Table1[[#This Row],[Closing_Stock]]/Table1[[#This Row],[Avg_Daily_Consumption]],9999)</f>
        <v>730</v>
      </c>
      <c r="AC344">
        <f>MAX(1,ROUNDUP(Table1[[#This Row],[Avg_Daily_Consumption]]*Table1[[#This Row],[Lead_Time_Days]]*0.8,0))</f>
        <v>1</v>
      </c>
      <c r="AD344" t="str">
        <f>IF(Table1[[#This Row],[Closing_Stock]]&lt;Table1[[#This Row],[Reorder_Point]],"Stock-out Risk","Adequate")</f>
        <v>Adequate</v>
      </c>
      <c r="AE344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344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344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344" s="11">
        <f>MAX(0,Table1[[#This Row],[Closing_Stock]]-Table1[[#This Row],[Reorder_Point]])</f>
        <v>35.802739726027397</v>
      </c>
      <c r="AI344" s="11">
        <f>Table1[[#This Row],[Excess_Stock_Units]]*Table1[[#This Row],[Unit_Cost_INR]]</f>
        <v>30790.35616438356</v>
      </c>
      <c r="AJ344" s="11">
        <f>IF(Table1[[#This Row],[Criticality]]="Critical",0,Table1[[#This Row],[Excess_Inventory_Value_INR]])</f>
        <v>30790.35616438356</v>
      </c>
      <c r="AK344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345" spans="1:37" x14ac:dyDescent="0.25">
      <c r="A345" t="s">
        <v>569</v>
      </c>
      <c r="B345" t="s">
        <v>150</v>
      </c>
      <c r="C345" t="s">
        <v>36</v>
      </c>
      <c r="D345" t="s">
        <v>60</v>
      </c>
      <c r="E345" t="s">
        <v>46</v>
      </c>
      <c r="F345">
        <v>18</v>
      </c>
      <c r="G345">
        <v>15</v>
      </c>
      <c r="H345">
        <v>12</v>
      </c>
      <c r="I345">
        <v>21</v>
      </c>
      <c r="J345">
        <v>1540</v>
      </c>
      <c r="K345">
        <v>26</v>
      </c>
      <c r="L345">
        <v>0</v>
      </c>
      <c r="M345">
        <v>50</v>
      </c>
      <c r="N345" t="s">
        <v>29</v>
      </c>
      <c r="O345">
        <v>0.17799999999999999</v>
      </c>
      <c r="P345">
        <v>5756.52</v>
      </c>
      <c r="Q345">
        <f>(Table1[[#This Row],[Closing_Stock]]*Table1[[#This Row],[Unit_Cost_INR]])</f>
        <v>32340</v>
      </c>
      <c r="R345">
        <f>(Table1[[#This Row],[Unit_Cost_INR]]*Table1[[#This Row],[Consumption]])</f>
        <v>18480</v>
      </c>
      <c r="S345">
        <f>IFERROR(Table1[[#This Row],[Annual_Consumption_Value_INR]]/Table1[[#This Row],[Inventory_Value_INR]],0)</f>
        <v>0.5714285714285714</v>
      </c>
      <c r="T345">
        <f>IFERROR(365/Table1[[#This Row],[Inventory_Turnover]],0)</f>
        <v>638.75</v>
      </c>
      <c r="U345" t="str">
        <f>IF(Table1[[#This Row],[Consumption]]=0,"Non-Moving", IF(Table1[[#This Row],[Days_Since_Last_Movement]]&gt;90,"Slow-Moving","Active"))</f>
        <v>Active</v>
      </c>
      <c r="V345">
        <f>SUM($Q$2:Q345)</f>
        <v>73060040</v>
      </c>
      <c r="W345">
        <f>Table1[[#This Row],[Cumulative_Inventory_Value]]/$AP$3</f>
        <v>0.96518505689317591</v>
      </c>
      <c r="X345" t="str">
        <f>IF(Table1[[#This Row],[Cumulative_Value_%]]&lt;80%,"A", IF(Table1[[#This Row],[Cumulative_Value_%]]&lt;=95%,"B","C"))</f>
        <v>C</v>
      </c>
      <c r="Y345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345">
        <f>Table1[[#This Row],[Consumption]]/365</f>
        <v>3.287671232876712E-2</v>
      </c>
      <c r="AA345">
        <f>Table1[[#This Row],[Avg_Daily_Consumption]]*Table1[[#This Row],[Lead_Time_Days]]+Table1[[#This Row],[Safety_Stock]]</f>
        <v>1.8547945205479452</v>
      </c>
      <c r="AB345">
        <f>IFERROR(Table1[[#This Row],[Closing_Stock]]/Table1[[#This Row],[Avg_Daily_Consumption]],9999)</f>
        <v>638.75000000000011</v>
      </c>
      <c r="AC345">
        <f>MAX(1,ROUNDUP(Table1[[#This Row],[Avg_Daily_Consumption]]*Table1[[#This Row],[Lead_Time_Days]]*0.8,0))</f>
        <v>1</v>
      </c>
      <c r="AD345" t="str">
        <f>IF(Table1[[#This Row],[Closing_Stock]]&lt;Table1[[#This Row],[Reorder_Point]],"Stock-out Risk","Adequate")</f>
        <v>Adequate</v>
      </c>
      <c r="AE345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345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345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345" s="11">
        <f>MAX(0,Table1[[#This Row],[Closing_Stock]]-Table1[[#This Row],[Reorder_Point]])</f>
        <v>19.145205479452056</v>
      </c>
      <c r="AI345" s="11">
        <f>Table1[[#This Row],[Excess_Stock_Units]]*Table1[[#This Row],[Unit_Cost_INR]]</f>
        <v>29483.616438356166</v>
      </c>
      <c r="AJ345" s="11">
        <f>IF(Table1[[#This Row],[Criticality]]="Critical",0,Table1[[#This Row],[Excess_Inventory_Value_INR]])</f>
        <v>29483.616438356166</v>
      </c>
      <c r="AK345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346" spans="1:37" x14ac:dyDescent="0.25">
      <c r="A346" t="s">
        <v>253</v>
      </c>
      <c r="B346" t="s">
        <v>80</v>
      </c>
      <c r="C346" t="s">
        <v>20</v>
      </c>
      <c r="D346" t="s">
        <v>60</v>
      </c>
      <c r="E346" t="s">
        <v>28</v>
      </c>
      <c r="F346">
        <v>18</v>
      </c>
      <c r="G346">
        <v>14</v>
      </c>
      <c r="H346">
        <v>12</v>
      </c>
      <c r="I346">
        <v>20</v>
      </c>
      <c r="J346">
        <v>1600</v>
      </c>
      <c r="K346">
        <v>38</v>
      </c>
      <c r="L346">
        <v>0</v>
      </c>
      <c r="M346">
        <v>20</v>
      </c>
      <c r="N346" t="s">
        <v>61</v>
      </c>
      <c r="O346">
        <v>0.25</v>
      </c>
      <c r="P346">
        <v>8000</v>
      </c>
      <c r="Q346">
        <f>(Table1[[#This Row],[Closing_Stock]]*Table1[[#This Row],[Unit_Cost_INR]])</f>
        <v>32000</v>
      </c>
      <c r="R346">
        <f>(Table1[[#This Row],[Unit_Cost_INR]]*Table1[[#This Row],[Consumption]])</f>
        <v>19200</v>
      </c>
      <c r="S346">
        <f>IFERROR(Table1[[#This Row],[Annual_Consumption_Value_INR]]/Table1[[#This Row],[Inventory_Value_INR]],0)</f>
        <v>0.6</v>
      </c>
      <c r="T346">
        <f>IFERROR(365/Table1[[#This Row],[Inventory_Turnover]],0)</f>
        <v>608.33333333333337</v>
      </c>
      <c r="U346" t="str">
        <f>IF(Table1[[#This Row],[Consumption]]=0,"Non-Moving", IF(Table1[[#This Row],[Days_Since_Last_Movement]]&gt;90,"Slow-Moving","Active"))</f>
        <v>Active</v>
      </c>
      <c r="V346">
        <f>SUM($Q$2:Q346)</f>
        <v>73092040</v>
      </c>
      <c r="W346">
        <f>Table1[[#This Row],[Cumulative_Inventory_Value]]/$AP$3</f>
        <v>0.96560780401760371</v>
      </c>
      <c r="X346" t="str">
        <f>IF(Table1[[#This Row],[Cumulative_Value_%]]&lt;80%,"A", IF(Table1[[#This Row],[Cumulative_Value_%]]&lt;=95%,"B","C"))</f>
        <v>C</v>
      </c>
      <c r="Y346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346">
        <f>Table1[[#This Row],[Consumption]]/365</f>
        <v>3.287671232876712E-2</v>
      </c>
      <c r="AA346">
        <f>Table1[[#This Row],[Avg_Daily_Consumption]]*Table1[[#This Row],[Lead_Time_Days]]+Table1[[#This Row],[Safety_Stock]]</f>
        <v>2.2493150684931509</v>
      </c>
      <c r="AB346">
        <f>IFERROR(Table1[[#This Row],[Closing_Stock]]/Table1[[#This Row],[Avg_Daily_Consumption]],9999)</f>
        <v>608.33333333333337</v>
      </c>
      <c r="AC346">
        <f>MAX(1,ROUNDUP(Table1[[#This Row],[Avg_Daily_Consumption]]*Table1[[#This Row],[Lead_Time_Days]]*0.8,0))</f>
        <v>1</v>
      </c>
      <c r="AD346" t="str">
        <f>IF(Table1[[#This Row],[Closing_Stock]]&lt;Table1[[#This Row],[Reorder_Point]],"Stock-out Risk","Adequate")</f>
        <v>Adequate</v>
      </c>
      <c r="AE346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346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346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346" s="11">
        <f>MAX(0,Table1[[#This Row],[Closing_Stock]]-Table1[[#This Row],[Reorder_Point]])</f>
        <v>17.75068493150685</v>
      </c>
      <c r="AI346" s="11">
        <f>Table1[[#This Row],[Excess_Stock_Units]]*Table1[[#This Row],[Unit_Cost_INR]]</f>
        <v>28401.095890410961</v>
      </c>
      <c r="AJ346" s="11">
        <f>IF(Table1[[#This Row],[Criticality]]="Critical",0,Table1[[#This Row],[Excess_Inventory_Value_INR]])</f>
        <v>28401.095890410961</v>
      </c>
      <c r="AK346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347" spans="1:37" x14ac:dyDescent="0.25">
      <c r="A347" t="s">
        <v>159</v>
      </c>
      <c r="B347" t="s">
        <v>152</v>
      </c>
      <c r="C347" t="s">
        <v>20</v>
      </c>
      <c r="D347" t="s">
        <v>60</v>
      </c>
      <c r="E347" t="s">
        <v>46</v>
      </c>
      <c r="F347">
        <v>14</v>
      </c>
      <c r="G347">
        <v>6</v>
      </c>
      <c r="H347">
        <v>7</v>
      </c>
      <c r="I347">
        <v>13</v>
      </c>
      <c r="J347">
        <v>2440</v>
      </c>
      <c r="K347">
        <v>28</v>
      </c>
      <c r="L347">
        <v>0</v>
      </c>
      <c r="M347">
        <v>16</v>
      </c>
      <c r="N347" t="s">
        <v>81</v>
      </c>
      <c r="O347">
        <v>0.26</v>
      </c>
      <c r="P347">
        <v>8247.2000000000007</v>
      </c>
      <c r="Q347">
        <f>(Table1[[#This Row],[Closing_Stock]]*Table1[[#This Row],[Unit_Cost_INR]])</f>
        <v>31720</v>
      </c>
      <c r="R347">
        <f>(Table1[[#This Row],[Unit_Cost_INR]]*Table1[[#This Row],[Consumption]])</f>
        <v>17080</v>
      </c>
      <c r="S347">
        <f>IFERROR(Table1[[#This Row],[Annual_Consumption_Value_INR]]/Table1[[#This Row],[Inventory_Value_INR]],0)</f>
        <v>0.53846153846153844</v>
      </c>
      <c r="T347">
        <f>IFERROR(365/Table1[[#This Row],[Inventory_Turnover]],0)</f>
        <v>677.85714285714289</v>
      </c>
      <c r="U347" t="str">
        <f>IF(Table1[[#This Row],[Consumption]]=0,"Non-Moving", IF(Table1[[#This Row],[Days_Since_Last_Movement]]&gt;90,"Slow-Moving","Active"))</f>
        <v>Active</v>
      </c>
      <c r="V347">
        <f>SUM($Q$2:Q347)</f>
        <v>73123760</v>
      </c>
      <c r="W347">
        <f>Table1[[#This Row],[Cumulative_Inventory_Value]]/$AP$3</f>
        <v>0.96602685210469275</v>
      </c>
      <c r="X347" t="str">
        <f>IF(Table1[[#This Row],[Cumulative_Value_%]]&lt;80%,"A", IF(Table1[[#This Row],[Cumulative_Value_%]]&lt;=95%,"B","C"))</f>
        <v>C</v>
      </c>
      <c r="Y347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347">
        <f>Table1[[#This Row],[Consumption]]/365</f>
        <v>1.9178082191780823E-2</v>
      </c>
      <c r="AA347">
        <f>Table1[[#This Row],[Avg_Daily_Consumption]]*Table1[[#This Row],[Lead_Time_Days]]+Table1[[#This Row],[Safety_Stock]]</f>
        <v>1.536986301369863</v>
      </c>
      <c r="AB347">
        <f>IFERROR(Table1[[#This Row],[Closing_Stock]]/Table1[[#This Row],[Avg_Daily_Consumption]],9999)</f>
        <v>677.85714285714278</v>
      </c>
      <c r="AC347">
        <f>MAX(1,ROUNDUP(Table1[[#This Row],[Avg_Daily_Consumption]]*Table1[[#This Row],[Lead_Time_Days]]*0.8,0))</f>
        <v>1</v>
      </c>
      <c r="AD347" t="str">
        <f>IF(Table1[[#This Row],[Closing_Stock]]&lt;Table1[[#This Row],[Reorder_Point]],"Stock-out Risk","Adequate")</f>
        <v>Adequate</v>
      </c>
      <c r="AE347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347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347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347" s="11">
        <f>MAX(0,Table1[[#This Row],[Closing_Stock]]-Table1[[#This Row],[Reorder_Point]])</f>
        <v>11.463013698630137</v>
      </c>
      <c r="AI347" s="11">
        <f>Table1[[#This Row],[Excess_Stock_Units]]*Table1[[#This Row],[Unit_Cost_INR]]</f>
        <v>27969.753424657534</v>
      </c>
      <c r="AJ347" s="11">
        <f>IF(Table1[[#This Row],[Criticality]]="Critical",0,Table1[[#This Row],[Excess_Inventory_Value_INR]])</f>
        <v>27969.753424657534</v>
      </c>
      <c r="AK347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348" spans="1:37" x14ac:dyDescent="0.25">
      <c r="A348" t="s">
        <v>473</v>
      </c>
      <c r="B348" t="s">
        <v>48</v>
      </c>
      <c r="C348" t="s">
        <v>41</v>
      </c>
      <c r="D348" t="s">
        <v>42</v>
      </c>
      <c r="E348" t="s">
        <v>46</v>
      </c>
      <c r="F348">
        <v>33</v>
      </c>
      <c r="G348">
        <v>97</v>
      </c>
      <c r="H348">
        <v>82</v>
      </c>
      <c r="I348">
        <v>48</v>
      </c>
      <c r="J348">
        <v>660</v>
      </c>
      <c r="K348">
        <v>30</v>
      </c>
      <c r="L348">
        <v>0</v>
      </c>
      <c r="M348">
        <v>71</v>
      </c>
      <c r="N348" t="s">
        <v>61</v>
      </c>
      <c r="O348">
        <v>0.19400000000000001</v>
      </c>
      <c r="P348">
        <v>6145.92</v>
      </c>
      <c r="Q348">
        <f>(Table1[[#This Row],[Closing_Stock]]*Table1[[#This Row],[Unit_Cost_INR]])</f>
        <v>31680</v>
      </c>
      <c r="R348">
        <f>(Table1[[#This Row],[Unit_Cost_INR]]*Table1[[#This Row],[Consumption]])</f>
        <v>54120</v>
      </c>
      <c r="S348">
        <f>IFERROR(Table1[[#This Row],[Annual_Consumption_Value_INR]]/Table1[[#This Row],[Inventory_Value_INR]],0)</f>
        <v>1.7083333333333333</v>
      </c>
      <c r="T348">
        <f>IFERROR(365/Table1[[#This Row],[Inventory_Turnover]],0)</f>
        <v>213.65853658536585</v>
      </c>
      <c r="U348" t="str">
        <f>IF(Table1[[#This Row],[Consumption]]=0,"Non-Moving", IF(Table1[[#This Row],[Days_Since_Last_Movement]]&gt;90,"Slow-Moving","Active"))</f>
        <v>Active</v>
      </c>
      <c r="V348">
        <f>SUM($Q$2:Q348)</f>
        <v>73155440</v>
      </c>
      <c r="W348">
        <f>Table1[[#This Row],[Cumulative_Inventory_Value]]/$AP$3</f>
        <v>0.96644537175787637</v>
      </c>
      <c r="X348" t="str">
        <f>IF(Table1[[#This Row],[Cumulative_Value_%]]&lt;80%,"A", IF(Table1[[#This Row],[Cumulative_Value_%]]&lt;=95%,"B","C"))</f>
        <v>C</v>
      </c>
      <c r="Y348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348">
        <f>Table1[[#This Row],[Consumption]]/365</f>
        <v>0.22465753424657534</v>
      </c>
      <c r="AA348">
        <f>Table1[[#This Row],[Avg_Daily_Consumption]]*Table1[[#This Row],[Lead_Time_Days]]+Table1[[#This Row],[Safety_Stock]]</f>
        <v>12.739726027397261</v>
      </c>
      <c r="AB348">
        <f>IFERROR(Table1[[#This Row],[Closing_Stock]]/Table1[[#This Row],[Avg_Daily_Consumption]],9999)</f>
        <v>213.65853658536585</v>
      </c>
      <c r="AC348">
        <f>MAX(1,ROUNDUP(Table1[[#This Row],[Avg_Daily_Consumption]]*Table1[[#This Row],[Lead_Time_Days]]*0.8,0))</f>
        <v>6</v>
      </c>
      <c r="AD348" t="str">
        <f>IF(Table1[[#This Row],[Closing_Stock]]&lt;Table1[[#This Row],[Reorder_Point]],"Stock-out Risk","Adequate")</f>
        <v>Adequate</v>
      </c>
      <c r="AE348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348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348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348" s="11">
        <f>MAX(0,Table1[[#This Row],[Closing_Stock]]-Table1[[#This Row],[Reorder_Point]])</f>
        <v>35.260273972602739</v>
      </c>
      <c r="AI348" s="11">
        <f>Table1[[#This Row],[Excess_Stock_Units]]*Table1[[#This Row],[Unit_Cost_INR]]</f>
        <v>23271.780821917808</v>
      </c>
      <c r="AJ348" s="11">
        <f>IF(Table1[[#This Row],[Criticality]]="Critical",0,Table1[[#This Row],[Excess_Inventory_Value_INR]])</f>
        <v>23271.780821917808</v>
      </c>
      <c r="AK348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349" spans="1:37" x14ac:dyDescent="0.25">
      <c r="A349" t="s">
        <v>50</v>
      </c>
      <c r="B349" t="s">
        <v>51</v>
      </c>
      <c r="C349" t="s">
        <v>52</v>
      </c>
      <c r="D349" t="s">
        <v>45</v>
      </c>
      <c r="E349" t="s">
        <v>37</v>
      </c>
      <c r="F349">
        <v>30</v>
      </c>
      <c r="G349">
        <v>35</v>
      </c>
      <c r="H349">
        <v>0</v>
      </c>
      <c r="I349">
        <v>37</v>
      </c>
      <c r="J349">
        <v>850</v>
      </c>
      <c r="K349">
        <v>7</v>
      </c>
      <c r="L349">
        <v>0</v>
      </c>
      <c r="M349">
        <v>599</v>
      </c>
      <c r="N349" t="s">
        <v>38</v>
      </c>
      <c r="O349">
        <v>0.151</v>
      </c>
      <c r="P349">
        <v>4748.95</v>
      </c>
      <c r="Q349">
        <f>(Table1[[#This Row],[Closing_Stock]]*Table1[[#This Row],[Unit_Cost_INR]])</f>
        <v>31450</v>
      </c>
      <c r="R349">
        <f>(Table1[[#This Row],[Unit_Cost_INR]]*Table1[[#This Row],[Consumption]])</f>
        <v>0</v>
      </c>
      <c r="S349">
        <f>IFERROR(Table1[[#This Row],[Annual_Consumption_Value_INR]]/Table1[[#This Row],[Inventory_Value_INR]],0)</f>
        <v>0</v>
      </c>
      <c r="T349">
        <f>IFERROR(365/Table1[[#This Row],[Inventory_Turnover]],0)</f>
        <v>0</v>
      </c>
      <c r="U349" t="str">
        <f>IF(Table1[[#This Row],[Consumption]]=0,"Non-Moving", IF(Table1[[#This Row],[Days_Since_Last_Movement]]&gt;90,"Slow-Moving","Active"))</f>
        <v>Non-Moving</v>
      </c>
      <c r="V349">
        <f>SUM($Q$2:Q349)</f>
        <v>73186890</v>
      </c>
      <c r="W349">
        <f>Table1[[#This Row],[Cumulative_Inventory_Value]]/$AP$3</f>
        <v>0.96686085291610302</v>
      </c>
      <c r="X349" t="str">
        <f>IF(Table1[[#This Row],[Cumulative_Value_%]]&lt;80%,"A", IF(Table1[[#This Row],[Cumulative_Value_%]]&lt;=95%,"B","C"))</f>
        <v>C</v>
      </c>
      <c r="Y349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Review</v>
      </c>
      <c r="Z349">
        <f>Table1[[#This Row],[Consumption]]/365</f>
        <v>0</v>
      </c>
      <c r="AA349">
        <f>Table1[[#This Row],[Avg_Daily_Consumption]]*Table1[[#This Row],[Lead_Time_Days]]+Table1[[#This Row],[Safety_Stock]]</f>
        <v>1</v>
      </c>
      <c r="AB349">
        <f>IFERROR(Table1[[#This Row],[Closing_Stock]]/Table1[[#This Row],[Avg_Daily_Consumption]],9999)</f>
        <v>9999</v>
      </c>
      <c r="AC349">
        <f>MAX(1,ROUNDUP(Table1[[#This Row],[Avg_Daily_Consumption]]*Table1[[#This Row],[Lead_Time_Days]]*0.8,0))</f>
        <v>1</v>
      </c>
      <c r="AD349" t="str">
        <f>IF(Table1[[#This Row],[Closing_Stock]]&lt;Table1[[#This Row],[Reorder_Point]],"Stock-out Risk","Adequate")</f>
        <v>Adequate</v>
      </c>
      <c r="AE349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349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349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349" s="11">
        <f>MAX(0,Table1[[#This Row],[Closing_Stock]]-Table1[[#This Row],[Reorder_Point]])</f>
        <v>36</v>
      </c>
      <c r="AI349" s="11">
        <f>Table1[[#This Row],[Excess_Stock_Units]]*Table1[[#This Row],[Unit_Cost_INR]]</f>
        <v>30600</v>
      </c>
      <c r="AJ349" s="11">
        <f>IF(Table1[[#This Row],[Criticality]]="Critical",0,Table1[[#This Row],[Excess_Inventory_Value_INR]])</f>
        <v>0</v>
      </c>
      <c r="AK349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350" spans="1:37" x14ac:dyDescent="0.25">
      <c r="A350" t="s">
        <v>492</v>
      </c>
      <c r="B350" t="s">
        <v>31</v>
      </c>
      <c r="C350" t="s">
        <v>32</v>
      </c>
      <c r="D350" t="s">
        <v>42</v>
      </c>
      <c r="E350" t="s">
        <v>46</v>
      </c>
      <c r="F350">
        <v>15</v>
      </c>
      <c r="G350">
        <v>1</v>
      </c>
      <c r="H350">
        <v>0</v>
      </c>
      <c r="I350">
        <v>19</v>
      </c>
      <c r="J350">
        <v>1650</v>
      </c>
      <c r="K350">
        <v>28</v>
      </c>
      <c r="L350">
        <v>0</v>
      </c>
      <c r="M350">
        <v>498</v>
      </c>
      <c r="N350" t="s">
        <v>33</v>
      </c>
      <c r="O350">
        <v>0.249</v>
      </c>
      <c r="P350">
        <v>7806.15</v>
      </c>
      <c r="Q350">
        <f>(Table1[[#This Row],[Closing_Stock]]*Table1[[#This Row],[Unit_Cost_INR]])</f>
        <v>31350</v>
      </c>
      <c r="R350">
        <f>(Table1[[#This Row],[Unit_Cost_INR]]*Table1[[#This Row],[Consumption]])</f>
        <v>0</v>
      </c>
      <c r="S350">
        <f>IFERROR(Table1[[#This Row],[Annual_Consumption_Value_INR]]/Table1[[#This Row],[Inventory_Value_INR]],0)</f>
        <v>0</v>
      </c>
      <c r="T350">
        <f>IFERROR(365/Table1[[#This Row],[Inventory_Turnover]],0)</f>
        <v>0</v>
      </c>
      <c r="U350" t="str">
        <f>IF(Table1[[#This Row],[Consumption]]=0,"Non-Moving", IF(Table1[[#This Row],[Days_Since_Last_Movement]]&gt;90,"Slow-Moving","Active"))</f>
        <v>Non-Moving</v>
      </c>
      <c r="V350">
        <f>SUM($Q$2:Q350)</f>
        <v>73218240</v>
      </c>
      <c r="W350">
        <f>Table1[[#This Row],[Cumulative_Inventory_Value]]/$AP$3</f>
        <v>0.96727501298956597</v>
      </c>
      <c r="X350" t="str">
        <f>IF(Table1[[#This Row],[Cumulative_Value_%]]&lt;80%,"A", IF(Table1[[#This Row],[Cumulative_Value_%]]&lt;=95%,"B","C"))</f>
        <v>C</v>
      </c>
      <c r="Y350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Review</v>
      </c>
      <c r="Z350">
        <f>Table1[[#This Row],[Consumption]]/365</f>
        <v>0</v>
      </c>
      <c r="AA350">
        <f>Table1[[#This Row],[Avg_Daily_Consumption]]*Table1[[#This Row],[Lead_Time_Days]]+Table1[[#This Row],[Safety_Stock]]</f>
        <v>1</v>
      </c>
      <c r="AB350">
        <f>IFERROR(Table1[[#This Row],[Closing_Stock]]/Table1[[#This Row],[Avg_Daily_Consumption]],9999)</f>
        <v>9999</v>
      </c>
      <c r="AC350">
        <f>MAX(1,ROUNDUP(Table1[[#This Row],[Avg_Daily_Consumption]]*Table1[[#This Row],[Lead_Time_Days]]*0.8,0))</f>
        <v>1</v>
      </c>
      <c r="AD350" t="str">
        <f>IF(Table1[[#This Row],[Closing_Stock]]&lt;Table1[[#This Row],[Reorder_Point]],"Stock-out Risk","Adequate")</f>
        <v>Adequate</v>
      </c>
      <c r="AE350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350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 for Disposal/De-procurement</v>
      </c>
      <c r="AG350">
        <f>IF(Table1[[#This Row],[Action_Recommendation]]="Review for Disposal/De-procurement",Table1[[#This Row],[Inventory_Value_INR]]*70%,IF(Table1[[#This Row],[Action_Recommendation]]="Review Safety Stock",Table1[[#This Row],[Inventory_Value_INR]]*20%,0))</f>
        <v>21945</v>
      </c>
      <c r="AH350" s="11">
        <f>MAX(0,Table1[[#This Row],[Closing_Stock]]-Table1[[#This Row],[Reorder_Point]])</f>
        <v>18</v>
      </c>
      <c r="AI350" s="11">
        <f>Table1[[#This Row],[Excess_Stock_Units]]*Table1[[#This Row],[Unit_Cost_INR]]</f>
        <v>29700</v>
      </c>
      <c r="AJ350" s="11">
        <f>IF(Table1[[#This Row],[Criticality]]="Critical",0,Table1[[#This Row],[Excess_Inventory_Value_INR]])</f>
        <v>29700</v>
      </c>
      <c r="AK350" s="11">
        <f>IF(AND(Table1[[#This Row],[Criticality]]&lt;&gt;"Critical",OR(Table1[[#This Row],[Movement_Class]]="Slow-Moving",Table1[[#This Row],[Movement_Class]]="Non-Moving")),Table1[[#This Row],[Excess_Inventory_Value_INR]],0)</f>
        <v>29700</v>
      </c>
    </row>
    <row r="351" spans="1:37" x14ac:dyDescent="0.25">
      <c r="A351" t="s">
        <v>76</v>
      </c>
      <c r="B351" t="s">
        <v>73</v>
      </c>
      <c r="C351" t="s">
        <v>41</v>
      </c>
      <c r="D351" t="s">
        <v>66</v>
      </c>
      <c r="E351" t="s">
        <v>46</v>
      </c>
      <c r="F351">
        <v>25</v>
      </c>
      <c r="G351">
        <v>7</v>
      </c>
      <c r="H351">
        <v>9</v>
      </c>
      <c r="I351">
        <v>23</v>
      </c>
      <c r="J351">
        <v>1330</v>
      </c>
      <c r="K351">
        <v>16</v>
      </c>
      <c r="L351">
        <v>0</v>
      </c>
      <c r="M351">
        <v>55</v>
      </c>
      <c r="N351" t="s">
        <v>29</v>
      </c>
      <c r="O351">
        <v>0.22500000000000001</v>
      </c>
      <c r="P351">
        <v>6882.75</v>
      </c>
      <c r="Q351">
        <f>(Table1[[#This Row],[Closing_Stock]]*Table1[[#This Row],[Unit_Cost_INR]])</f>
        <v>30590</v>
      </c>
      <c r="R351">
        <f>(Table1[[#This Row],[Unit_Cost_INR]]*Table1[[#This Row],[Consumption]])</f>
        <v>11970</v>
      </c>
      <c r="S351">
        <f>IFERROR(Table1[[#This Row],[Annual_Consumption_Value_INR]]/Table1[[#This Row],[Inventory_Value_INR]],0)</f>
        <v>0.39130434782608697</v>
      </c>
      <c r="T351">
        <f>IFERROR(365/Table1[[#This Row],[Inventory_Turnover]],0)</f>
        <v>932.77777777777771</v>
      </c>
      <c r="U351" t="str">
        <f>IF(Table1[[#This Row],[Consumption]]=0,"Non-Moving", IF(Table1[[#This Row],[Days_Since_Last_Movement]]&gt;90,"Slow-Moving","Active"))</f>
        <v>Active</v>
      </c>
      <c r="V351">
        <f>SUM($Q$2:Q351)</f>
        <v>73248830</v>
      </c>
      <c r="W351">
        <f>Table1[[#This Row],[Cumulative_Inventory_Value]]/$AP$3</f>
        <v>0.96767913281882367</v>
      </c>
      <c r="X351" t="str">
        <f>IF(Table1[[#This Row],[Cumulative_Value_%]]&lt;80%,"A", IF(Table1[[#This Row],[Cumulative_Value_%]]&lt;=95%,"B","C"))</f>
        <v>C</v>
      </c>
      <c r="Y351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351">
        <f>Table1[[#This Row],[Consumption]]/365</f>
        <v>2.4657534246575342E-2</v>
      </c>
      <c r="AA351">
        <f>Table1[[#This Row],[Avg_Daily_Consumption]]*Table1[[#This Row],[Lead_Time_Days]]+Table1[[#This Row],[Safety_Stock]]</f>
        <v>1.3945205479452054</v>
      </c>
      <c r="AB351">
        <f>IFERROR(Table1[[#This Row],[Closing_Stock]]/Table1[[#This Row],[Avg_Daily_Consumption]],9999)</f>
        <v>932.77777777777783</v>
      </c>
      <c r="AC351">
        <f>MAX(1,ROUNDUP(Table1[[#This Row],[Avg_Daily_Consumption]]*Table1[[#This Row],[Lead_Time_Days]]*0.8,0))</f>
        <v>1</v>
      </c>
      <c r="AD351" t="str">
        <f>IF(Table1[[#This Row],[Closing_Stock]]&lt;Table1[[#This Row],[Reorder_Point]],"Stock-out Risk","Adequate")</f>
        <v>Adequate</v>
      </c>
      <c r="AE351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351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351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351" s="11">
        <f>MAX(0,Table1[[#This Row],[Closing_Stock]]-Table1[[#This Row],[Reorder_Point]])</f>
        <v>21.605479452054794</v>
      </c>
      <c r="AI351" s="11">
        <f>Table1[[#This Row],[Excess_Stock_Units]]*Table1[[#This Row],[Unit_Cost_INR]]</f>
        <v>28735.287671232876</v>
      </c>
      <c r="AJ351" s="11">
        <f>IF(Table1[[#This Row],[Criticality]]="Critical",0,Table1[[#This Row],[Excess_Inventory_Value_INR]])</f>
        <v>28735.287671232876</v>
      </c>
      <c r="AK351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352" spans="1:37" x14ac:dyDescent="0.25">
      <c r="A352" t="s">
        <v>398</v>
      </c>
      <c r="B352" t="s">
        <v>83</v>
      </c>
      <c r="C352" t="s">
        <v>32</v>
      </c>
      <c r="D352" t="s">
        <v>27</v>
      </c>
      <c r="E352" t="s">
        <v>28</v>
      </c>
      <c r="F352">
        <v>52</v>
      </c>
      <c r="G352">
        <v>75</v>
      </c>
      <c r="H352">
        <v>56</v>
      </c>
      <c r="I352">
        <v>71</v>
      </c>
      <c r="J352">
        <v>430</v>
      </c>
      <c r="K352">
        <v>34</v>
      </c>
      <c r="L352">
        <v>1</v>
      </c>
      <c r="M352">
        <v>41</v>
      </c>
      <c r="N352" t="s">
        <v>23</v>
      </c>
      <c r="O352">
        <v>0.189</v>
      </c>
      <c r="P352">
        <v>5770.17</v>
      </c>
      <c r="Q352">
        <f>(Table1[[#This Row],[Closing_Stock]]*Table1[[#This Row],[Unit_Cost_INR]])</f>
        <v>30530</v>
      </c>
      <c r="R352">
        <f>(Table1[[#This Row],[Unit_Cost_INR]]*Table1[[#This Row],[Consumption]])</f>
        <v>24080</v>
      </c>
      <c r="S352">
        <f>IFERROR(Table1[[#This Row],[Annual_Consumption_Value_INR]]/Table1[[#This Row],[Inventory_Value_INR]],0)</f>
        <v>0.78873239436619713</v>
      </c>
      <c r="T352">
        <f>IFERROR(365/Table1[[#This Row],[Inventory_Turnover]],0)</f>
        <v>462.76785714285717</v>
      </c>
      <c r="U352" t="str">
        <f>IF(Table1[[#This Row],[Consumption]]=0,"Non-Moving", IF(Table1[[#This Row],[Days_Since_Last_Movement]]&gt;90,"Slow-Moving","Active"))</f>
        <v>Active</v>
      </c>
      <c r="V352">
        <f>SUM($Q$2:Q352)</f>
        <v>73279360</v>
      </c>
      <c r="W352">
        <f>Table1[[#This Row],[Cumulative_Inventory_Value]]/$AP$3</f>
        <v>0.96808245999722309</v>
      </c>
      <c r="X352" t="str">
        <f>IF(Table1[[#This Row],[Cumulative_Value_%]]&lt;80%,"A", IF(Table1[[#This Row],[Cumulative_Value_%]]&lt;=95%,"B","C"))</f>
        <v>C</v>
      </c>
      <c r="Y352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352">
        <f>Table1[[#This Row],[Consumption]]/365</f>
        <v>0.15342465753424658</v>
      </c>
      <c r="AA352">
        <f>Table1[[#This Row],[Avg_Daily_Consumption]]*Table1[[#This Row],[Lead_Time_Days]]+Table1[[#This Row],[Safety_Stock]]</f>
        <v>10.216438356164383</v>
      </c>
      <c r="AB352">
        <f>IFERROR(Table1[[#This Row],[Closing_Stock]]/Table1[[#This Row],[Avg_Daily_Consumption]],9999)</f>
        <v>462.76785714285711</v>
      </c>
      <c r="AC352">
        <f>MAX(1,ROUNDUP(Table1[[#This Row],[Avg_Daily_Consumption]]*Table1[[#This Row],[Lead_Time_Days]]*0.8,0))</f>
        <v>5</v>
      </c>
      <c r="AD352" t="str">
        <f>IF(Table1[[#This Row],[Closing_Stock]]&lt;Table1[[#This Row],[Reorder_Point]],"Stock-out Risk","Adequate")</f>
        <v>Adequate</v>
      </c>
      <c r="AE352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352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352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352" s="11">
        <f>MAX(0,Table1[[#This Row],[Closing_Stock]]-Table1[[#This Row],[Reorder_Point]])</f>
        <v>60.783561643835618</v>
      </c>
      <c r="AI352" s="11">
        <f>Table1[[#This Row],[Excess_Stock_Units]]*Table1[[#This Row],[Unit_Cost_INR]]</f>
        <v>26136.931506849316</v>
      </c>
      <c r="AJ352" s="11">
        <f>IF(Table1[[#This Row],[Criticality]]="Critical",0,Table1[[#This Row],[Excess_Inventory_Value_INR]])</f>
        <v>26136.931506849316</v>
      </c>
      <c r="AK352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353" spans="1:37" x14ac:dyDescent="0.25">
      <c r="A353" t="s">
        <v>142</v>
      </c>
      <c r="B353" t="s">
        <v>83</v>
      </c>
      <c r="C353" t="s">
        <v>32</v>
      </c>
      <c r="D353" t="s">
        <v>66</v>
      </c>
      <c r="E353" t="s">
        <v>37</v>
      </c>
      <c r="F353">
        <v>7</v>
      </c>
      <c r="G353">
        <v>13</v>
      </c>
      <c r="H353">
        <v>16</v>
      </c>
      <c r="I353">
        <v>20</v>
      </c>
      <c r="J353">
        <v>1520</v>
      </c>
      <c r="K353">
        <v>12</v>
      </c>
      <c r="L353">
        <v>0</v>
      </c>
      <c r="M353">
        <v>127</v>
      </c>
      <c r="N353" t="s">
        <v>23</v>
      </c>
      <c r="O353">
        <v>0.249</v>
      </c>
      <c r="P353">
        <v>7569.6</v>
      </c>
      <c r="Q353">
        <f>(Table1[[#This Row],[Closing_Stock]]*Table1[[#This Row],[Unit_Cost_INR]])</f>
        <v>30400</v>
      </c>
      <c r="R353">
        <f>(Table1[[#This Row],[Unit_Cost_INR]]*Table1[[#This Row],[Consumption]])</f>
        <v>24320</v>
      </c>
      <c r="S353">
        <f>IFERROR(Table1[[#This Row],[Annual_Consumption_Value_INR]]/Table1[[#This Row],[Inventory_Value_INR]],0)</f>
        <v>0.8</v>
      </c>
      <c r="T353">
        <f>IFERROR(365/Table1[[#This Row],[Inventory_Turnover]],0)</f>
        <v>456.25</v>
      </c>
      <c r="U353" t="str">
        <f>IF(Table1[[#This Row],[Consumption]]=0,"Non-Moving", IF(Table1[[#This Row],[Days_Since_Last_Movement]]&gt;90,"Slow-Moving","Active"))</f>
        <v>Slow-Moving</v>
      </c>
      <c r="V353">
        <f>SUM($Q$2:Q353)</f>
        <v>73309760</v>
      </c>
      <c r="W353">
        <f>Table1[[#This Row],[Cumulative_Inventory_Value]]/$AP$3</f>
        <v>0.96848406976542956</v>
      </c>
      <c r="X353" t="str">
        <f>IF(Table1[[#This Row],[Cumulative_Value_%]]&lt;80%,"A", IF(Table1[[#This Row],[Cumulative_Value_%]]&lt;=95%,"B","C"))</f>
        <v>C</v>
      </c>
      <c r="Y353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353">
        <f>Table1[[#This Row],[Consumption]]/365</f>
        <v>4.3835616438356165E-2</v>
      </c>
      <c r="AA353">
        <f>Table1[[#This Row],[Avg_Daily_Consumption]]*Table1[[#This Row],[Lead_Time_Days]]+Table1[[#This Row],[Safety_Stock]]</f>
        <v>1.526027397260274</v>
      </c>
      <c r="AB353">
        <f>IFERROR(Table1[[#This Row],[Closing_Stock]]/Table1[[#This Row],[Avg_Daily_Consumption]],9999)</f>
        <v>456.25</v>
      </c>
      <c r="AC353">
        <f>MAX(1,ROUNDUP(Table1[[#This Row],[Avg_Daily_Consumption]]*Table1[[#This Row],[Lead_Time_Days]]*0.8,0))</f>
        <v>1</v>
      </c>
      <c r="AD353" t="str">
        <f>IF(Table1[[#This Row],[Closing_Stock]]&lt;Table1[[#This Row],[Reorder_Point]],"Stock-out Risk","Adequate")</f>
        <v>Adequate</v>
      </c>
      <c r="AE353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353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353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353" s="11">
        <f>MAX(0,Table1[[#This Row],[Closing_Stock]]-Table1[[#This Row],[Reorder_Point]])</f>
        <v>18.473972602739725</v>
      </c>
      <c r="AI353" s="11">
        <f>Table1[[#This Row],[Excess_Stock_Units]]*Table1[[#This Row],[Unit_Cost_INR]]</f>
        <v>28080.438356164381</v>
      </c>
      <c r="AJ353" s="11">
        <f>IF(Table1[[#This Row],[Criticality]]="Critical",0,Table1[[#This Row],[Excess_Inventory_Value_INR]])</f>
        <v>0</v>
      </c>
      <c r="AK353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354" spans="1:37" x14ac:dyDescent="0.25">
      <c r="A354" t="s">
        <v>222</v>
      </c>
      <c r="B354" t="s">
        <v>104</v>
      </c>
      <c r="C354" t="s">
        <v>41</v>
      </c>
      <c r="D354" t="s">
        <v>42</v>
      </c>
      <c r="E354" t="s">
        <v>28</v>
      </c>
      <c r="F354">
        <v>30</v>
      </c>
      <c r="G354">
        <v>24</v>
      </c>
      <c r="H354">
        <v>4</v>
      </c>
      <c r="I354">
        <v>32</v>
      </c>
      <c r="J354">
        <v>940</v>
      </c>
      <c r="K354">
        <v>21</v>
      </c>
      <c r="L354">
        <v>0</v>
      </c>
      <c r="M354">
        <v>108</v>
      </c>
      <c r="N354" t="s">
        <v>38</v>
      </c>
      <c r="O354">
        <v>0.23300000000000001</v>
      </c>
      <c r="P354">
        <v>7008.64</v>
      </c>
      <c r="Q354">
        <f>(Table1[[#This Row],[Closing_Stock]]*Table1[[#This Row],[Unit_Cost_INR]])</f>
        <v>30080</v>
      </c>
      <c r="R354">
        <f>(Table1[[#This Row],[Unit_Cost_INR]]*Table1[[#This Row],[Consumption]])</f>
        <v>3760</v>
      </c>
      <c r="S354">
        <f>IFERROR(Table1[[#This Row],[Annual_Consumption_Value_INR]]/Table1[[#This Row],[Inventory_Value_INR]],0)</f>
        <v>0.125</v>
      </c>
      <c r="T354">
        <f>IFERROR(365/Table1[[#This Row],[Inventory_Turnover]],0)</f>
        <v>2920</v>
      </c>
      <c r="U354" t="str">
        <f>IF(Table1[[#This Row],[Consumption]]=0,"Non-Moving", IF(Table1[[#This Row],[Days_Since_Last_Movement]]&gt;90,"Slow-Moving","Active"))</f>
        <v>Slow-Moving</v>
      </c>
      <c r="V354">
        <f>SUM($Q$2:Q354)</f>
        <v>73339840</v>
      </c>
      <c r="W354">
        <f>Table1[[#This Row],[Cumulative_Inventory_Value]]/$AP$3</f>
        <v>0.96888145206239162</v>
      </c>
      <c r="X354" t="str">
        <f>IF(Table1[[#This Row],[Cumulative_Value_%]]&lt;80%,"A", IF(Table1[[#This Row],[Cumulative_Value_%]]&lt;=95%,"B","C"))</f>
        <v>C</v>
      </c>
      <c r="Y354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354">
        <f>Table1[[#This Row],[Consumption]]/365</f>
        <v>1.0958904109589041E-2</v>
      </c>
      <c r="AA354">
        <f>Table1[[#This Row],[Avg_Daily_Consumption]]*Table1[[#This Row],[Lead_Time_Days]]+Table1[[#This Row],[Safety_Stock]]</f>
        <v>1.2301369863013698</v>
      </c>
      <c r="AB354">
        <f>IFERROR(Table1[[#This Row],[Closing_Stock]]/Table1[[#This Row],[Avg_Daily_Consumption]],9999)</f>
        <v>2920</v>
      </c>
      <c r="AC354">
        <f>MAX(1,ROUNDUP(Table1[[#This Row],[Avg_Daily_Consumption]]*Table1[[#This Row],[Lead_Time_Days]]*0.8,0))</f>
        <v>1</v>
      </c>
      <c r="AD354" t="str">
        <f>IF(Table1[[#This Row],[Closing_Stock]]&lt;Table1[[#This Row],[Reorder_Point]],"Stock-out Risk","Adequate")</f>
        <v>Adequate</v>
      </c>
      <c r="AE354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354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354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354" s="11">
        <f>MAX(0,Table1[[#This Row],[Closing_Stock]]-Table1[[#This Row],[Reorder_Point]])</f>
        <v>30.769863013698629</v>
      </c>
      <c r="AI354" s="11">
        <f>Table1[[#This Row],[Excess_Stock_Units]]*Table1[[#This Row],[Unit_Cost_INR]]</f>
        <v>28923.67123287671</v>
      </c>
      <c r="AJ354" s="11">
        <f>IF(Table1[[#This Row],[Criticality]]="Critical",0,Table1[[#This Row],[Excess_Inventory_Value_INR]])</f>
        <v>28923.67123287671</v>
      </c>
      <c r="AK354" s="11">
        <f>IF(AND(Table1[[#This Row],[Criticality]]&lt;&gt;"Critical",OR(Table1[[#This Row],[Movement_Class]]="Slow-Moving",Table1[[#This Row],[Movement_Class]]="Non-Moving")),Table1[[#This Row],[Excess_Inventory_Value_INR]],0)</f>
        <v>28923.67123287671</v>
      </c>
    </row>
    <row r="355" spans="1:37" x14ac:dyDescent="0.25">
      <c r="A355" t="s">
        <v>78</v>
      </c>
      <c r="B355" t="s">
        <v>19</v>
      </c>
      <c r="C355" t="s">
        <v>20</v>
      </c>
      <c r="D355" t="s">
        <v>42</v>
      </c>
      <c r="E355" t="s">
        <v>46</v>
      </c>
      <c r="F355">
        <v>17</v>
      </c>
      <c r="G355">
        <v>7</v>
      </c>
      <c r="H355">
        <v>4</v>
      </c>
      <c r="I355">
        <v>20</v>
      </c>
      <c r="J355">
        <v>1500</v>
      </c>
      <c r="K355">
        <v>13</v>
      </c>
      <c r="L355">
        <v>0</v>
      </c>
      <c r="M355">
        <v>42</v>
      </c>
      <c r="N355" t="s">
        <v>29</v>
      </c>
      <c r="O355">
        <v>0.17199999999999999</v>
      </c>
      <c r="P355">
        <v>5160</v>
      </c>
      <c r="Q355">
        <f>(Table1[[#This Row],[Closing_Stock]]*Table1[[#This Row],[Unit_Cost_INR]])</f>
        <v>30000</v>
      </c>
      <c r="R355">
        <f>(Table1[[#This Row],[Unit_Cost_INR]]*Table1[[#This Row],[Consumption]])</f>
        <v>6000</v>
      </c>
      <c r="S355">
        <f>IFERROR(Table1[[#This Row],[Annual_Consumption_Value_INR]]/Table1[[#This Row],[Inventory_Value_INR]],0)</f>
        <v>0.2</v>
      </c>
      <c r="T355">
        <f>IFERROR(365/Table1[[#This Row],[Inventory_Turnover]],0)</f>
        <v>1825</v>
      </c>
      <c r="U355" t="str">
        <f>IF(Table1[[#This Row],[Consumption]]=0,"Non-Moving", IF(Table1[[#This Row],[Days_Since_Last_Movement]]&gt;90,"Slow-Moving","Active"))</f>
        <v>Active</v>
      </c>
      <c r="V355">
        <f>SUM($Q$2:Q355)</f>
        <v>73369840</v>
      </c>
      <c r="W355">
        <f>Table1[[#This Row],[Cumulative_Inventory_Value]]/$AP$3</f>
        <v>0.96927777749154276</v>
      </c>
      <c r="X355" t="str">
        <f>IF(Table1[[#This Row],[Cumulative_Value_%]]&lt;80%,"A", IF(Table1[[#This Row],[Cumulative_Value_%]]&lt;=95%,"B","C"))</f>
        <v>C</v>
      </c>
      <c r="Y355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355">
        <f>Table1[[#This Row],[Consumption]]/365</f>
        <v>1.0958904109589041E-2</v>
      </c>
      <c r="AA355">
        <f>Table1[[#This Row],[Avg_Daily_Consumption]]*Table1[[#This Row],[Lead_Time_Days]]+Table1[[#This Row],[Safety_Stock]]</f>
        <v>1.1424657534246576</v>
      </c>
      <c r="AB355">
        <f>IFERROR(Table1[[#This Row],[Closing_Stock]]/Table1[[#This Row],[Avg_Daily_Consumption]],9999)</f>
        <v>1825</v>
      </c>
      <c r="AC355">
        <f>MAX(1,ROUNDUP(Table1[[#This Row],[Avg_Daily_Consumption]]*Table1[[#This Row],[Lead_Time_Days]]*0.8,0))</f>
        <v>1</v>
      </c>
      <c r="AD355" t="str">
        <f>IF(Table1[[#This Row],[Closing_Stock]]&lt;Table1[[#This Row],[Reorder_Point]],"Stock-out Risk","Adequate")</f>
        <v>Adequate</v>
      </c>
      <c r="AE355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355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355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355" s="11">
        <f>MAX(0,Table1[[#This Row],[Closing_Stock]]-Table1[[#This Row],[Reorder_Point]])</f>
        <v>18.857534246575341</v>
      </c>
      <c r="AI355" s="11">
        <f>Table1[[#This Row],[Excess_Stock_Units]]*Table1[[#This Row],[Unit_Cost_INR]]</f>
        <v>28286.301369863013</v>
      </c>
      <c r="AJ355" s="11">
        <f>IF(Table1[[#This Row],[Criticality]]="Critical",0,Table1[[#This Row],[Excess_Inventory_Value_INR]])</f>
        <v>28286.301369863013</v>
      </c>
      <c r="AK355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356" spans="1:37" x14ac:dyDescent="0.25">
      <c r="A356" t="s">
        <v>388</v>
      </c>
      <c r="B356" t="s">
        <v>83</v>
      </c>
      <c r="C356" t="s">
        <v>32</v>
      </c>
      <c r="D356" t="s">
        <v>66</v>
      </c>
      <c r="E356" t="s">
        <v>22</v>
      </c>
      <c r="F356">
        <v>9</v>
      </c>
      <c r="G356">
        <v>6</v>
      </c>
      <c r="H356">
        <v>6</v>
      </c>
      <c r="I356">
        <v>78</v>
      </c>
      <c r="J356">
        <v>380</v>
      </c>
      <c r="K356">
        <v>23</v>
      </c>
      <c r="L356">
        <v>0</v>
      </c>
      <c r="M356">
        <v>340</v>
      </c>
      <c r="N356" t="s">
        <v>23</v>
      </c>
      <c r="O356">
        <v>0.23200000000000001</v>
      </c>
      <c r="P356">
        <v>6876.48</v>
      </c>
      <c r="Q356">
        <f>(Table1[[#This Row],[Closing_Stock]]*Table1[[#This Row],[Unit_Cost_INR]])</f>
        <v>29640</v>
      </c>
      <c r="R356">
        <f>(Table1[[#This Row],[Unit_Cost_INR]]*Table1[[#This Row],[Consumption]])</f>
        <v>2280</v>
      </c>
      <c r="S356">
        <f>IFERROR(Table1[[#This Row],[Annual_Consumption_Value_INR]]/Table1[[#This Row],[Inventory_Value_INR]],0)</f>
        <v>7.6923076923076927E-2</v>
      </c>
      <c r="T356">
        <f>IFERROR(365/Table1[[#This Row],[Inventory_Turnover]],0)</f>
        <v>4745</v>
      </c>
      <c r="U356" t="str">
        <f>IF(Table1[[#This Row],[Consumption]]=0,"Non-Moving", IF(Table1[[#This Row],[Days_Since_Last_Movement]]&gt;90,"Slow-Moving","Active"))</f>
        <v>Slow-Moving</v>
      </c>
      <c r="V356">
        <f>SUM($Q$2:Q356)</f>
        <v>73399480</v>
      </c>
      <c r="W356">
        <f>Table1[[#This Row],[Cumulative_Inventory_Value]]/$AP$3</f>
        <v>0.96966934701554397</v>
      </c>
      <c r="X356" t="str">
        <f>IF(Table1[[#This Row],[Cumulative_Value_%]]&lt;80%,"A", IF(Table1[[#This Row],[Cumulative_Value_%]]&lt;=95%,"B","C"))</f>
        <v>C</v>
      </c>
      <c r="Y356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356">
        <f>Table1[[#This Row],[Consumption]]/365</f>
        <v>1.643835616438356E-2</v>
      </c>
      <c r="AA356">
        <f>Table1[[#This Row],[Avg_Daily_Consumption]]*Table1[[#This Row],[Lead_Time_Days]]+Table1[[#This Row],[Safety_Stock]]</f>
        <v>1.3780821917808219</v>
      </c>
      <c r="AB356">
        <f>IFERROR(Table1[[#This Row],[Closing_Stock]]/Table1[[#This Row],[Avg_Daily_Consumption]],9999)</f>
        <v>4745.0000000000009</v>
      </c>
      <c r="AC356">
        <f>MAX(1,ROUNDUP(Table1[[#This Row],[Avg_Daily_Consumption]]*Table1[[#This Row],[Lead_Time_Days]]*0.8,0))</f>
        <v>1</v>
      </c>
      <c r="AD356" t="str">
        <f>IF(Table1[[#This Row],[Closing_Stock]]&lt;Table1[[#This Row],[Reorder_Point]],"Stock-out Risk","Adequate")</f>
        <v>Adequate</v>
      </c>
      <c r="AE356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356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356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356" s="11">
        <f>MAX(0,Table1[[#This Row],[Closing_Stock]]-Table1[[#This Row],[Reorder_Point]])</f>
        <v>76.62191780821918</v>
      </c>
      <c r="AI356" s="11">
        <f>Table1[[#This Row],[Excess_Stock_Units]]*Table1[[#This Row],[Unit_Cost_INR]]</f>
        <v>29116.32876712329</v>
      </c>
      <c r="AJ356" s="11">
        <f>IF(Table1[[#This Row],[Criticality]]="Critical",0,Table1[[#This Row],[Excess_Inventory_Value_INR]])</f>
        <v>29116.32876712329</v>
      </c>
      <c r="AK356" s="11">
        <f>IF(AND(Table1[[#This Row],[Criticality]]&lt;&gt;"Critical",OR(Table1[[#This Row],[Movement_Class]]="Slow-Moving",Table1[[#This Row],[Movement_Class]]="Non-Moving")),Table1[[#This Row],[Excess_Inventory_Value_INR]],0)</f>
        <v>29116.32876712329</v>
      </c>
    </row>
    <row r="357" spans="1:37" x14ac:dyDescent="0.25">
      <c r="A357" t="s">
        <v>490</v>
      </c>
      <c r="B357" t="s">
        <v>80</v>
      </c>
      <c r="C357" t="s">
        <v>20</v>
      </c>
      <c r="D357" t="s">
        <v>45</v>
      </c>
      <c r="E357" t="s">
        <v>37</v>
      </c>
      <c r="F357">
        <v>7</v>
      </c>
      <c r="G357">
        <v>3</v>
      </c>
      <c r="H357">
        <v>3</v>
      </c>
      <c r="I357">
        <v>7</v>
      </c>
      <c r="J357">
        <v>4220</v>
      </c>
      <c r="K357">
        <v>20</v>
      </c>
      <c r="L357">
        <v>0</v>
      </c>
      <c r="M357">
        <v>204</v>
      </c>
      <c r="N357" t="s">
        <v>49</v>
      </c>
      <c r="O357">
        <v>0.22700000000000001</v>
      </c>
      <c r="P357">
        <v>6705.58</v>
      </c>
      <c r="Q357">
        <f>(Table1[[#This Row],[Closing_Stock]]*Table1[[#This Row],[Unit_Cost_INR]])</f>
        <v>29540</v>
      </c>
      <c r="R357">
        <f>(Table1[[#This Row],[Unit_Cost_INR]]*Table1[[#This Row],[Consumption]])</f>
        <v>12660</v>
      </c>
      <c r="S357">
        <f>IFERROR(Table1[[#This Row],[Annual_Consumption_Value_INR]]/Table1[[#This Row],[Inventory_Value_INR]],0)</f>
        <v>0.42857142857142855</v>
      </c>
      <c r="T357">
        <f>IFERROR(365/Table1[[#This Row],[Inventory_Turnover]],0)</f>
        <v>851.66666666666674</v>
      </c>
      <c r="U357" t="str">
        <f>IF(Table1[[#This Row],[Consumption]]=0,"Non-Moving", IF(Table1[[#This Row],[Days_Since_Last_Movement]]&gt;90,"Slow-Moving","Active"))</f>
        <v>Slow-Moving</v>
      </c>
      <c r="V357">
        <f>SUM($Q$2:Q357)</f>
        <v>73429020</v>
      </c>
      <c r="W357">
        <f>Table1[[#This Row],[Cumulative_Inventory_Value]]/$AP$3</f>
        <v>0.97005959545478149</v>
      </c>
      <c r="X357" t="str">
        <f>IF(Table1[[#This Row],[Cumulative_Value_%]]&lt;80%,"A", IF(Table1[[#This Row],[Cumulative_Value_%]]&lt;=95%,"B","C"))</f>
        <v>C</v>
      </c>
      <c r="Y357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357">
        <f>Table1[[#This Row],[Consumption]]/365</f>
        <v>8.21917808219178E-3</v>
      </c>
      <c r="AA357">
        <f>Table1[[#This Row],[Avg_Daily_Consumption]]*Table1[[#This Row],[Lead_Time_Days]]+Table1[[#This Row],[Safety_Stock]]</f>
        <v>1.1643835616438356</v>
      </c>
      <c r="AB357">
        <f>IFERROR(Table1[[#This Row],[Closing_Stock]]/Table1[[#This Row],[Avg_Daily_Consumption]],9999)</f>
        <v>851.66666666666674</v>
      </c>
      <c r="AC357">
        <f>MAX(1,ROUNDUP(Table1[[#This Row],[Avg_Daily_Consumption]]*Table1[[#This Row],[Lead_Time_Days]]*0.8,0))</f>
        <v>1</v>
      </c>
      <c r="AD357" t="str">
        <f>IF(Table1[[#This Row],[Closing_Stock]]&lt;Table1[[#This Row],[Reorder_Point]],"Stock-out Risk","Adequate")</f>
        <v>Adequate</v>
      </c>
      <c r="AE357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357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357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357" s="11">
        <f>MAX(0,Table1[[#This Row],[Closing_Stock]]-Table1[[#This Row],[Reorder_Point]])</f>
        <v>5.8356164383561646</v>
      </c>
      <c r="AI357" s="11">
        <f>Table1[[#This Row],[Excess_Stock_Units]]*Table1[[#This Row],[Unit_Cost_INR]]</f>
        <v>24626.301369863013</v>
      </c>
      <c r="AJ357" s="11">
        <f>IF(Table1[[#This Row],[Criticality]]="Critical",0,Table1[[#This Row],[Excess_Inventory_Value_INR]])</f>
        <v>0</v>
      </c>
      <c r="AK357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358" spans="1:37" x14ac:dyDescent="0.25">
      <c r="A358" t="s">
        <v>563</v>
      </c>
      <c r="B358" t="s">
        <v>71</v>
      </c>
      <c r="C358" t="s">
        <v>20</v>
      </c>
      <c r="D358" t="s">
        <v>66</v>
      </c>
      <c r="E358" t="s">
        <v>46</v>
      </c>
      <c r="F358">
        <v>20</v>
      </c>
      <c r="G358">
        <v>8</v>
      </c>
      <c r="H358">
        <v>6</v>
      </c>
      <c r="I358">
        <v>22</v>
      </c>
      <c r="J358">
        <v>1330</v>
      </c>
      <c r="K358">
        <v>34</v>
      </c>
      <c r="L358">
        <v>0</v>
      </c>
      <c r="M358">
        <v>47</v>
      </c>
      <c r="N358" t="s">
        <v>23</v>
      </c>
      <c r="O358">
        <v>0.245</v>
      </c>
      <c r="P358">
        <v>7168.7</v>
      </c>
      <c r="Q358">
        <f>(Table1[[#This Row],[Closing_Stock]]*Table1[[#This Row],[Unit_Cost_INR]])</f>
        <v>29260</v>
      </c>
      <c r="R358">
        <f>(Table1[[#This Row],[Unit_Cost_INR]]*Table1[[#This Row],[Consumption]])</f>
        <v>7980</v>
      </c>
      <c r="S358">
        <f>IFERROR(Table1[[#This Row],[Annual_Consumption_Value_INR]]/Table1[[#This Row],[Inventory_Value_INR]],0)</f>
        <v>0.27272727272727271</v>
      </c>
      <c r="T358">
        <f>IFERROR(365/Table1[[#This Row],[Inventory_Turnover]],0)</f>
        <v>1338.3333333333335</v>
      </c>
      <c r="U358" t="str">
        <f>IF(Table1[[#This Row],[Consumption]]=0,"Non-Moving", IF(Table1[[#This Row],[Days_Since_Last_Movement]]&gt;90,"Slow-Moving","Active"))</f>
        <v>Active</v>
      </c>
      <c r="V358">
        <f>SUM($Q$2:Q358)</f>
        <v>73458280</v>
      </c>
      <c r="W358">
        <f>Table1[[#This Row],[Cumulative_Inventory_Value]]/$AP$3</f>
        <v>0.97044614485668013</v>
      </c>
      <c r="X358" t="str">
        <f>IF(Table1[[#This Row],[Cumulative_Value_%]]&lt;80%,"A", IF(Table1[[#This Row],[Cumulative_Value_%]]&lt;=95%,"B","C"))</f>
        <v>C</v>
      </c>
      <c r="Y358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358">
        <f>Table1[[#This Row],[Consumption]]/365</f>
        <v>1.643835616438356E-2</v>
      </c>
      <c r="AA358">
        <f>Table1[[#This Row],[Avg_Daily_Consumption]]*Table1[[#This Row],[Lead_Time_Days]]+Table1[[#This Row],[Safety_Stock]]</f>
        <v>1.558904109589041</v>
      </c>
      <c r="AB358">
        <f>IFERROR(Table1[[#This Row],[Closing_Stock]]/Table1[[#This Row],[Avg_Daily_Consumption]],9999)</f>
        <v>1338.3333333333335</v>
      </c>
      <c r="AC358">
        <f>MAX(1,ROUNDUP(Table1[[#This Row],[Avg_Daily_Consumption]]*Table1[[#This Row],[Lead_Time_Days]]*0.8,0))</f>
        <v>1</v>
      </c>
      <c r="AD358" t="str">
        <f>IF(Table1[[#This Row],[Closing_Stock]]&lt;Table1[[#This Row],[Reorder_Point]],"Stock-out Risk","Adequate")</f>
        <v>Adequate</v>
      </c>
      <c r="AE358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358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358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358" s="11">
        <f>MAX(0,Table1[[#This Row],[Closing_Stock]]-Table1[[#This Row],[Reorder_Point]])</f>
        <v>20.44109589041096</v>
      </c>
      <c r="AI358" s="11">
        <f>Table1[[#This Row],[Excess_Stock_Units]]*Table1[[#This Row],[Unit_Cost_INR]]</f>
        <v>27186.657534246577</v>
      </c>
      <c r="AJ358" s="11">
        <f>IF(Table1[[#This Row],[Criticality]]="Critical",0,Table1[[#This Row],[Excess_Inventory_Value_INR]])</f>
        <v>27186.657534246577</v>
      </c>
      <c r="AK358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359" spans="1:37" x14ac:dyDescent="0.25">
      <c r="A359" t="s">
        <v>518</v>
      </c>
      <c r="B359" t="s">
        <v>93</v>
      </c>
      <c r="C359" t="s">
        <v>26</v>
      </c>
      <c r="D359" t="s">
        <v>42</v>
      </c>
      <c r="E359" t="s">
        <v>28</v>
      </c>
      <c r="F359">
        <v>17</v>
      </c>
      <c r="G359">
        <v>37</v>
      </c>
      <c r="H359">
        <v>35</v>
      </c>
      <c r="I359">
        <v>19</v>
      </c>
      <c r="J359">
        <v>1530</v>
      </c>
      <c r="K359">
        <v>32</v>
      </c>
      <c r="L359">
        <v>0</v>
      </c>
      <c r="M359">
        <v>41</v>
      </c>
      <c r="N359" t="s">
        <v>29</v>
      </c>
      <c r="O359">
        <v>0.26600000000000001</v>
      </c>
      <c r="P359">
        <v>7732.6200000000008</v>
      </c>
      <c r="Q359">
        <f>(Table1[[#This Row],[Closing_Stock]]*Table1[[#This Row],[Unit_Cost_INR]])</f>
        <v>29070</v>
      </c>
      <c r="R359">
        <f>(Table1[[#This Row],[Unit_Cost_INR]]*Table1[[#This Row],[Consumption]])</f>
        <v>53550</v>
      </c>
      <c r="S359">
        <f>IFERROR(Table1[[#This Row],[Annual_Consumption_Value_INR]]/Table1[[#This Row],[Inventory_Value_INR]],0)</f>
        <v>1.8421052631578947</v>
      </c>
      <c r="T359">
        <f>IFERROR(365/Table1[[#This Row],[Inventory_Turnover]],0)</f>
        <v>198.14285714285714</v>
      </c>
      <c r="U359" t="str">
        <f>IF(Table1[[#This Row],[Consumption]]=0,"Non-Moving", IF(Table1[[#This Row],[Days_Since_Last_Movement]]&gt;90,"Slow-Moving","Active"))</f>
        <v>Active</v>
      </c>
      <c r="V359">
        <f>SUM($Q$2:Q359)</f>
        <v>73487350</v>
      </c>
      <c r="W359">
        <f>Table1[[#This Row],[Cumulative_Inventory_Value]]/$AP$3</f>
        <v>0.97083018419752753</v>
      </c>
      <c r="X359" t="str">
        <f>IF(Table1[[#This Row],[Cumulative_Value_%]]&lt;80%,"A", IF(Table1[[#This Row],[Cumulative_Value_%]]&lt;=95%,"B","C"))</f>
        <v>C</v>
      </c>
      <c r="Y359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359">
        <f>Table1[[#This Row],[Consumption]]/365</f>
        <v>9.5890410958904104E-2</v>
      </c>
      <c r="AA359">
        <f>Table1[[#This Row],[Avg_Daily_Consumption]]*Table1[[#This Row],[Lead_Time_Days]]+Table1[[#This Row],[Safety_Stock]]</f>
        <v>6.0684931506849313</v>
      </c>
      <c r="AB359">
        <f>IFERROR(Table1[[#This Row],[Closing_Stock]]/Table1[[#This Row],[Avg_Daily_Consumption]],9999)</f>
        <v>198.14285714285717</v>
      </c>
      <c r="AC359">
        <f>MAX(1,ROUNDUP(Table1[[#This Row],[Avg_Daily_Consumption]]*Table1[[#This Row],[Lead_Time_Days]]*0.8,0))</f>
        <v>3</v>
      </c>
      <c r="AD359" t="str">
        <f>IF(Table1[[#This Row],[Closing_Stock]]&lt;Table1[[#This Row],[Reorder_Point]],"Stock-out Risk","Adequate")</f>
        <v>Adequate</v>
      </c>
      <c r="AE359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359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359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359" s="11">
        <f>MAX(0,Table1[[#This Row],[Closing_Stock]]-Table1[[#This Row],[Reorder_Point]])</f>
        <v>12.931506849315069</v>
      </c>
      <c r="AI359" s="11">
        <f>Table1[[#This Row],[Excess_Stock_Units]]*Table1[[#This Row],[Unit_Cost_INR]]</f>
        <v>19785.205479452055</v>
      </c>
      <c r="AJ359" s="11">
        <f>IF(Table1[[#This Row],[Criticality]]="Critical",0,Table1[[#This Row],[Excess_Inventory_Value_INR]])</f>
        <v>19785.205479452055</v>
      </c>
      <c r="AK359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360" spans="1:37" x14ac:dyDescent="0.25">
      <c r="A360" t="s">
        <v>550</v>
      </c>
      <c r="B360" t="s">
        <v>113</v>
      </c>
      <c r="C360" t="s">
        <v>36</v>
      </c>
      <c r="D360" t="s">
        <v>21</v>
      </c>
      <c r="E360" t="s">
        <v>28</v>
      </c>
      <c r="F360">
        <v>14</v>
      </c>
      <c r="G360">
        <v>2</v>
      </c>
      <c r="H360">
        <v>3</v>
      </c>
      <c r="I360">
        <v>13</v>
      </c>
      <c r="J360">
        <v>2200</v>
      </c>
      <c r="K360">
        <v>25</v>
      </c>
      <c r="L360">
        <v>0</v>
      </c>
      <c r="M360">
        <v>52</v>
      </c>
      <c r="N360" t="s">
        <v>23</v>
      </c>
      <c r="O360">
        <v>0.253</v>
      </c>
      <c r="P360">
        <v>7235.8</v>
      </c>
      <c r="Q360">
        <f>(Table1[[#This Row],[Closing_Stock]]*Table1[[#This Row],[Unit_Cost_INR]])</f>
        <v>28600</v>
      </c>
      <c r="R360">
        <f>(Table1[[#This Row],[Unit_Cost_INR]]*Table1[[#This Row],[Consumption]])</f>
        <v>6600</v>
      </c>
      <c r="S360">
        <f>IFERROR(Table1[[#This Row],[Annual_Consumption_Value_INR]]/Table1[[#This Row],[Inventory_Value_INR]],0)</f>
        <v>0.23076923076923078</v>
      </c>
      <c r="T360">
        <f>IFERROR(365/Table1[[#This Row],[Inventory_Turnover]],0)</f>
        <v>1581.6666666666665</v>
      </c>
      <c r="U360" t="str">
        <f>IF(Table1[[#This Row],[Consumption]]=0,"Non-Moving", IF(Table1[[#This Row],[Days_Since_Last_Movement]]&gt;90,"Slow-Moving","Active"))</f>
        <v>Active</v>
      </c>
      <c r="V360">
        <f>SUM($Q$2:Q360)</f>
        <v>73515950</v>
      </c>
      <c r="W360">
        <f>Table1[[#This Row],[Cumulative_Inventory_Value]]/$AP$3</f>
        <v>0.97120801443998495</v>
      </c>
      <c r="X360" t="str">
        <f>IF(Table1[[#This Row],[Cumulative_Value_%]]&lt;80%,"A", IF(Table1[[#This Row],[Cumulative_Value_%]]&lt;=95%,"B","C"))</f>
        <v>C</v>
      </c>
      <c r="Y360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360">
        <f>Table1[[#This Row],[Consumption]]/365</f>
        <v>8.21917808219178E-3</v>
      </c>
      <c r="AA360">
        <f>Table1[[#This Row],[Avg_Daily_Consumption]]*Table1[[#This Row],[Lead_Time_Days]]+Table1[[#This Row],[Safety_Stock]]</f>
        <v>1.2054794520547945</v>
      </c>
      <c r="AB360">
        <f>IFERROR(Table1[[#This Row],[Closing_Stock]]/Table1[[#This Row],[Avg_Daily_Consumption]],9999)</f>
        <v>1581.6666666666667</v>
      </c>
      <c r="AC360">
        <f>MAX(1,ROUNDUP(Table1[[#This Row],[Avg_Daily_Consumption]]*Table1[[#This Row],[Lead_Time_Days]]*0.8,0))</f>
        <v>1</v>
      </c>
      <c r="AD360" t="str">
        <f>IF(Table1[[#This Row],[Closing_Stock]]&lt;Table1[[#This Row],[Reorder_Point]],"Stock-out Risk","Adequate")</f>
        <v>Adequate</v>
      </c>
      <c r="AE360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360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360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360" s="11">
        <f>MAX(0,Table1[[#This Row],[Closing_Stock]]-Table1[[#This Row],[Reorder_Point]])</f>
        <v>11.794520547945206</v>
      </c>
      <c r="AI360" s="11">
        <f>Table1[[#This Row],[Excess_Stock_Units]]*Table1[[#This Row],[Unit_Cost_INR]]</f>
        <v>25947.945205479453</v>
      </c>
      <c r="AJ360" s="11">
        <f>IF(Table1[[#This Row],[Criticality]]="Critical",0,Table1[[#This Row],[Excess_Inventory_Value_INR]])</f>
        <v>25947.945205479453</v>
      </c>
      <c r="AK360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361" spans="1:37" x14ac:dyDescent="0.25">
      <c r="A361" t="s">
        <v>382</v>
      </c>
      <c r="B361" t="s">
        <v>48</v>
      </c>
      <c r="C361" t="s">
        <v>41</v>
      </c>
      <c r="D361" t="s">
        <v>60</v>
      </c>
      <c r="E361" t="s">
        <v>37</v>
      </c>
      <c r="F361">
        <v>28</v>
      </c>
      <c r="G361">
        <v>24</v>
      </c>
      <c r="H361">
        <v>12</v>
      </c>
      <c r="I361">
        <v>40</v>
      </c>
      <c r="J361">
        <v>700</v>
      </c>
      <c r="K361">
        <v>45</v>
      </c>
      <c r="L361">
        <v>0</v>
      </c>
      <c r="M361">
        <v>83</v>
      </c>
      <c r="N361" t="s">
        <v>23</v>
      </c>
      <c r="O361">
        <v>0.29299999999999998</v>
      </c>
      <c r="P361">
        <v>8204</v>
      </c>
      <c r="Q361">
        <f>(Table1[[#This Row],[Closing_Stock]]*Table1[[#This Row],[Unit_Cost_INR]])</f>
        <v>28000</v>
      </c>
      <c r="R361">
        <f>(Table1[[#This Row],[Unit_Cost_INR]]*Table1[[#This Row],[Consumption]])</f>
        <v>8400</v>
      </c>
      <c r="S361">
        <f>IFERROR(Table1[[#This Row],[Annual_Consumption_Value_INR]]/Table1[[#This Row],[Inventory_Value_INR]],0)</f>
        <v>0.3</v>
      </c>
      <c r="T361">
        <f>IFERROR(365/Table1[[#This Row],[Inventory_Turnover]],0)</f>
        <v>1216.6666666666667</v>
      </c>
      <c r="U361" t="str">
        <f>IF(Table1[[#This Row],[Consumption]]=0,"Non-Moving", IF(Table1[[#This Row],[Days_Since_Last_Movement]]&gt;90,"Slow-Moving","Active"))</f>
        <v>Active</v>
      </c>
      <c r="V361">
        <f>SUM($Q$2:Q361)</f>
        <v>73543950</v>
      </c>
      <c r="W361">
        <f>Table1[[#This Row],[Cumulative_Inventory_Value]]/$AP$3</f>
        <v>0.9715779181738593</v>
      </c>
      <c r="X361" t="str">
        <f>IF(Table1[[#This Row],[Cumulative_Value_%]]&lt;80%,"A", IF(Table1[[#This Row],[Cumulative_Value_%]]&lt;=95%,"B","C"))</f>
        <v>C</v>
      </c>
      <c r="Y361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361">
        <f>Table1[[#This Row],[Consumption]]/365</f>
        <v>3.287671232876712E-2</v>
      </c>
      <c r="AA361">
        <f>Table1[[#This Row],[Avg_Daily_Consumption]]*Table1[[#This Row],[Lead_Time_Days]]+Table1[[#This Row],[Safety_Stock]]</f>
        <v>3.4794520547945202</v>
      </c>
      <c r="AB361">
        <f>IFERROR(Table1[[#This Row],[Closing_Stock]]/Table1[[#This Row],[Avg_Daily_Consumption]],9999)</f>
        <v>1216.6666666666667</v>
      </c>
      <c r="AC361">
        <f>MAX(1,ROUNDUP(Table1[[#This Row],[Avg_Daily_Consumption]]*Table1[[#This Row],[Lead_Time_Days]]*0.8,0))</f>
        <v>2</v>
      </c>
      <c r="AD361" t="str">
        <f>IF(Table1[[#This Row],[Closing_Stock]]&lt;Table1[[#This Row],[Reorder_Point]],"Stock-out Risk","Adequate")</f>
        <v>Adequate</v>
      </c>
      <c r="AE361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361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361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361" s="11">
        <f>MAX(0,Table1[[#This Row],[Closing_Stock]]-Table1[[#This Row],[Reorder_Point]])</f>
        <v>36.520547945205479</v>
      </c>
      <c r="AI361" s="11">
        <f>Table1[[#This Row],[Excess_Stock_Units]]*Table1[[#This Row],[Unit_Cost_INR]]</f>
        <v>25564.383561643834</v>
      </c>
      <c r="AJ361" s="11">
        <f>IF(Table1[[#This Row],[Criticality]]="Critical",0,Table1[[#This Row],[Excess_Inventory_Value_INR]])</f>
        <v>0</v>
      </c>
      <c r="AK361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362" spans="1:37" x14ac:dyDescent="0.25">
      <c r="A362" t="s">
        <v>232</v>
      </c>
      <c r="B362" t="s">
        <v>210</v>
      </c>
      <c r="C362" t="s">
        <v>32</v>
      </c>
      <c r="D362" t="s">
        <v>21</v>
      </c>
      <c r="E362" t="s">
        <v>22</v>
      </c>
      <c r="F362">
        <v>47</v>
      </c>
      <c r="G362">
        <v>153</v>
      </c>
      <c r="H362">
        <v>5</v>
      </c>
      <c r="I362">
        <v>90</v>
      </c>
      <c r="J362">
        <v>310</v>
      </c>
      <c r="K362">
        <v>41</v>
      </c>
      <c r="L362">
        <v>1</v>
      </c>
      <c r="M362">
        <v>166</v>
      </c>
      <c r="N362" t="s">
        <v>23</v>
      </c>
      <c r="O362">
        <v>0.24299999999999999</v>
      </c>
      <c r="P362">
        <v>6779.7</v>
      </c>
      <c r="Q362">
        <f>(Table1[[#This Row],[Closing_Stock]]*Table1[[#This Row],[Unit_Cost_INR]])</f>
        <v>27900</v>
      </c>
      <c r="R362">
        <f>(Table1[[#This Row],[Unit_Cost_INR]]*Table1[[#This Row],[Consumption]])</f>
        <v>1550</v>
      </c>
      <c r="S362">
        <f>IFERROR(Table1[[#This Row],[Annual_Consumption_Value_INR]]/Table1[[#This Row],[Inventory_Value_INR]],0)</f>
        <v>5.5555555555555552E-2</v>
      </c>
      <c r="T362">
        <f>IFERROR(365/Table1[[#This Row],[Inventory_Turnover]],0)</f>
        <v>6570</v>
      </c>
      <c r="U362" t="str">
        <f>IF(Table1[[#This Row],[Consumption]]=0,"Non-Moving", IF(Table1[[#This Row],[Days_Since_Last_Movement]]&gt;90,"Slow-Moving","Active"))</f>
        <v>Slow-Moving</v>
      </c>
      <c r="V362">
        <f>SUM($Q$2:Q362)</f>
        <v>73571850</v>
      </c>
      <c r="W362">
        <f>Table1[[#This Row],[Cumulative_Inventory_Value]]/$AP$3</f>
        <v>0.97194650082296974</v>
      </c>
      <c r="X362" t="str">
        <f>IF(Table1[[#This Row],[Cumulative_Value_%]]&lt;80%,"A", IF(Table1[[#This Row],[Cumulative_Value_%]]&lt;=95%,"B","C"))</f>
        <v>C</v>
      </c>
      <c r="Y362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362">
        <f>Table1[[#This Row],[Consumption]]/365</f>
        <v>1.3698630136986301E-2</v>
      </c>
      <c r="AA362">
        <f>Table1[[#This Row],[Avg_Daily_Consumption]]*Table1[[#This Row],[Lead_Time_Days]]+Table1[[#This Row],[Safety_Stock]]</f>
        <v>1.5616438356164384</v>
      </c>
      <c r="AB362">
        <f>IFERROR(Table1[[#This Row],[Closing_Stock]]/Table1[[#This Row],[Avg_Daily_Consumption]],9999)</f>
        <v>6570</v>
      </c>
      <c r="AC362">
        <f>MAX(1,ROUNDUP(Table1[[#This Row],[Avg_Daily_Consumption]]*Table1[[#This Row],[Lead_Time_Days]]*0.8,0))</f>
        <v>1</v>
      </c>
      <c r="AD362" t="str">
        <f>IF(Table1[[#This Row],[Closing_Stock]]&lt;Table1[[#This Row],[Reorder_Point]],"Stock-out Risk","Adequate")</f>
        <v>Adequate</v>
      </c>
      <c r="AE362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362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362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362" s="11">
        <f>MAX(0,Table1[[#This Row],[Closing_Stock]]-Table1[[#This Row],[Reorder_Point]])</f>
        <v>88.438356164383563</v>
      </c>
      <c r="AI362" s="11">
        <f>Table1[[#This Row],[Excess_Stock_Units]]*Table1[[#This Row],[Unit_Cost_INR]]</f>
        <v>27415.890410958906</v>
      </c>
      <c r="AJ362" s="11">
        <f>IF(Table1[[#This Row],[Criticality]]="Critical",0,Table1[[#This Row],[Excess_Inventory_Value_INR]])</f>
        <v>27415.890410958906</v>
      </c>
      <c r="AK362" s="11">
        <f>IF(AND(Table1[[#This Row],[Criticality]]&lt;&gt;"Critical",OR(Table1[[#This Row],[Movement_Class]]="Slow-Moving",Table1[[#This Row],[Movement_Class]]="Non-Moving")),Table1[[#This Row],[Excess_Inventory_Value_INR]],0)</f>
        <v>27415.890410958906</v>
      </c>
    </row>
    <row r="363" spans="1:37" x14ac:dyDescent="0.25">
      <c r="A363" t="s">
        <v>103</v>
      </c>
      <c r="B363" t="s">
        <v>104</v>
      </c>
      <c r="C363" t="s">
        <v>41</v>
      </c>
      <c r="D363" t="s">
        <v>66</v>
      </c>
      <c r="E363" t="s">
        <v>46</v>
      </c>
      <c r="F363">
        <v>20</v>
      </c>
      <c r="G363">
        <v>47</v>
      </c>
      <c r="H363">
        <v>39</v>
      </c>
      <c r="I363">
        <v>28</v>
      </c>
      <c r="J363">
        <v>980</v>
      </c>
      <c r="K363">
        <v>11</v>
      </c>
      <c r="L363">
        <v>0</v>
      </c>
      <c r="M363">
        <v>178</v>
      </c>
      <c r="N363" t="s">
        <v>49</v>
      </c>
      <c r="O363">
        <v>0.151</v>
      </c>
      <c r="P363">
        <v>4143.4399999999996</v>
      </c>
      <c r="Q363">
        <f>(Table1[[#This Row],[Closing_Stock]]*Table1[[#This Row],[Unit_Cost_INR]])</f>
        <v>27440</v>
      </c>
      <c r="R363">
        <f>(Table1[[#This Row],[Unit_Cost_INR]]*Table1[[#This Row],[Consumption]])</f>
        <v>38220</v>
      </c>
      <c r="S363">
        <f>IFERROR(Table1[[#This Row],[Annual_Consumption_Value_INR]]/Table1[[#This Row],[Inventory_Value_INR]],0)</f>
        <v>1.3928571428571428</v>
      </c>
      <c r="T363">
        <f>IFERROR(365/Table1[[#This Row],[Inventory_Turnover]],0)</f>
        <v>262.05128205128204</v>
      </c>
      <c r="U363" t="str">
        <f>IF(Table1[[#This Row],[Consumption]]=0,"Non-Moving", IF(Table1[[#This Row],[Days_Since_Last_Movement]]&gt;90,"Slow-Moving","Active"))</f>
        <v>Slow-Moving</v>
      </c>
      <c r="V363">
        <f>SUM($Q$2:Q363)</f>
        <v>73599290</v>
      </c>
      <c r="W363">
        <f>Table1[[#This Row],[Cumulative_Inventory_Value]]/$AP$3</f>
        <v>0.97230900648216656</v>
      </c>
      <c r="X363" t="str">
        <f>IF(Table1[[#This Row],[Cumulative_Value_%]]&lt;80%,"A", IF(Table1[[#This Row],[Cumulative_Value_%]]&lt;=95%,"B","C"))</f>
        <v>C</v>
      </c>
      <c r="Y363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363">
        <f>Table1[[#This Row],[Consumption]]/365</f>
        <v>0.10684931506849316</v>
      </c>
      <c r="AA363">
        <f>Table1[[#This Row],[Avg_Daily_Consumption]]*Table1[[#This Row],[Lead_Time_Days]]+Table1[[#This Row],[Safety_Stock]]</f>
        <v>2.1753424657534248</v>
      </c>
      <c r="AB363">
        <f>IFERROR(Table1[[#This Row],[Closing_Stock]]/Table1[[#This Row],[Avg_Daily_Consumption]],9999)</f>
        <v>262.05128205128204</v>
      </c>
      <c r="AC363">
        <f>MAX(1,ROUNDUP(Table1[[#This Row],[Avg_Daily_Consumption]]*Table1[[#This Row],[Lead_Time_Days]]*0.8,0))</f>
        <v>1</v>
      </c>
      <c r="AD363" t="str">
        <f>IF(Table1[[#This Row],[Closing_Stock]]&lt;Table1[[#This Row],[Reorder_Point]],"Stock-out Risk","Adequate")</f>
        <v>Adequate</v>
      </c>
      <c r="AE363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363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363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363" s="11">
        <f>MAX(0,Table1[[#This Row],[Closing_Stock]]-Table1[[#This Row],[Reorder_Point]])</f>
        <v>25.824657534246576</v>
      </c>
      <c r="AI363" s="11">
        <f>Table1[[#This Row],[Excess_Stock_Units]]*Table1[[#This Row],[Unit_Cost_INR]]</f>
        <v>25308.164383561645</v>
      </c>
      <c r="AJ363" s="11">
        <f>IF(Table1[[#This Row],[Criticality]]="Critical",0,Table1[[#This Row],[Excess_Inventory_Value_INR]])</f>
        <v>25308.164383561645</v>
      </c>
      <c r="AK363" s="11">
        <f>IF(AND(Table1[[#This Row],[Criticality]]&lt;&gt;"Critical",OR(Table1[[#This Row],[Movement_Class]]="Slow-Moving",Table1[[#This Row],[Movement_Class]]="Non-Moving")),Table1[[#This Row],[Excess_Inventory_Value_INR]],0)</f>
        <v>25308.164383561645</v>
      </c>
    </row>
    <row r="364" spans="1:37" x14ac:dyDescent="0.25">
      <c r="A364" t="s">
        <v>47</v>
      </c>
      <c r="B364" t="s">
        <v>48</v>
      </c>
      <c r="C364" t="s">
        <v>41</v>
      </c>
      <c r="D364" t="s">
        <v>42</v>
      </c>
      <c r="E364" t="s">
        <v>22</v>
      </c>
      <c r="F364">
        <v>12</v>
      </c>
      <c r="G364">
        <v>13</v>
      </c>
      <c r="H364">
        <v>12</v>
      </c>
      <c r="I364">
        <v>18</v>
      </c>
      <c r="J364">
        <v>1520</v>
      </c>
      <c r="K364">
        <v>16</v>
      </c>
      <c r="L364">
        <v>0</v>
      </c>
      <c r="M364">
        <v>163</v>
      </c>
      <c r="N364" t="s">
        <v>49</v>
      </c>
      <c r="O364">
        <v>0.29599999999999999</v>
      </c>
      <c r="P364">
        <v>8098.5599999999986</v>
      </c>
      <c r="Q364">
        <f>(Table1[[#This Row],[Closing_Stock]]*Table1[[#This Row],[Unit_Cost_INR]])</f>
        <v>27360</v>
      </c>
      <c r="R364">
        <f>(Table1[[#This Row],[Unit_Cost_INR]]*Table1[[#This Row],[Consumption]])</f>
        <v>18240</v>
      </c>
      <c r="S364">
        <f>IFERROR(Table1[[#This Row],[Annual_Consumption_Value_INR]]/Table1[[#This Row],[Inventory_Value_INR]],0)</f>
        <v>0.66666666666666663</v>
      </c>
      <c r="T364">
        <f>IFERROR(365/Table1[[#This Row],[Inventory_Turnover]],0)</f>
        <v>547.5</v>
      </c>
      <c r="U364" t="str">
        <f>IF(Table1[[#This Row],[Consumption]]=0,"Non-Moving", IF(Table1[[#This Row],[Days_Since_Last_Movement]]&gt;90,"Slow-Moving","Active"))</f>
        <v>Slow-Moving</v>
      </c>
      <c r="V364">
        <f>SUM($Q$2:Q364)</f>
        <v>73626650</v>
      </c>
      <c r="W364">
        <f>Table1[[#This Row],[Cumulative_Inventory_Value]]/$AP$3</f>
        <v>0.97267045527355245</v>
      </c>
      <c r="X364" t="str">
        <f>IF(Table1[[#This Row],[Cumulative_Value_%]]&lt;80%,"A", IF(Table1[[#This Row],[Cumulative_Value_%]]&lt;=95%,"B","C"))</f>
        <v>C</v>
      </c>
      <c r="Y364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364">
        <f>Table1[[#This Row],[Consumption]]/365</f>
        <v>3.287671232876712E-2</v>
      </c>
      <c r="AA364">
        <f>Table1[[#This Row],[Avg_Daily_Consumption]]*Table1[[#This Row],[Lead_Time_Days]]+Table1[[#This Row],[Safety_Stock]]</f>
        <v>1.526027397260274</v>
      </c>
      <c r="AB364">
        <f>IFERROR(Table1[[#This Row],[Closing_Stock]]/Table1[[#This Row],[Avg_Daily_Consumption]],9999)</f>
        <v>547.5</v>
      </c>
      <c r="AC364">
        <f>MAX(1,ROUNDUP(Table1[[#This Row],[Avg_Daily_Consumption]]*Table1[[#This Row],[Lead_Time_Days]]*0.8,0))</f>
        <v>1</v>
      </c>
      <c r="AD364" t="str">
        <f>IF(Table1[[#This Row],[Closing_Stock]]&lt;Table1[[#This Row],[Reorder_Point]],"Stock-out Risk","Adequate")</f>
        <v>Adequate</v>
      </c>
      <c r="AE364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364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364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364" s="11">
        <f>MAX(0,Table1[[#This Row],[Closing_Stock]]-Table1[[#This Row],[Reorder_Point]])</f>
        <v>16.473972602739725</v>
      </c>
      <c r="AI364" s="11">
        <f>Table1[[#This Row],[Excess_Stock_Units]]*Table1[[#This Row],[Unit_Cost_INR]]</f>
        <v>25040.438356164381</v>
      </c>
      <c r="AJ364" s="11">
        <f>IF(Table1[[#This Row],[Criticality]]="Critical",0,Table1[[#This Row],[Excess_Inventory_Value_INR]])</f>
        <v>25040.438356164381</v>
      </c>
      <c r="AK364" s="11">
        <f>IF(AND(Table1[[#This Row],[Criticality]]&lt;&gt;"Critical",OR(Table1[[#This Row],[Movement_Class]]="Slow-Moving",Table1[[#This Row],[Movement_Class]]="Non-Moving")),Table1[[#This Row],[Excess_Inventory_Value_INR]],0)</f>
        <v>25040.438356164381</v>
      </c>
    </row>
    <row r="365" spans="1:37" x14ac:dyDescent="0.25">
      <c r="A365" t="s">
        <v>199</v>
      </c>
      <c r="B365" t="s">
        <v>63</v>
      </c>
      <c r="C365" t="s">
        <v>52</v>
      </c>
      <c r="D365" t="s">
        <v>42</v>
      </c>
      <c r="E365" t="s">
        <v>46</v>
      </c>
      <c r="F365">
        <v>24</v>
      </c>
      <c r="G365">
        <v>26</v>
      </c>
      <c r="H365">
        <v>15</v>
      </c>
      <c r="I365">
        <v>35</v>
      </c>
      <c r="J365">
        <v>780</v>
      </c>
      <c r="K365">
        <v>28</v>
      </c>
      <c r="L365">
        <v>0</v>
      </c>
      <c r="M365">
        <v>169</v>
      </c>
      <c r="N365" t="s">
        <v>81</v>
      </c>
      <c r="O365">
        <v>0.19800000000000001</v>
      </c>
      <c r="P365">
        <v>5405.4000000000005</v>
      </c>
      <c r="Q365">
        <f>(Table1[[#This Row],[Closing_Stock]]*Table1[[#This Row],[Unit_Cost_INR]])</f>
        <v>27300</v>
      </c>
      <c r="R365">
        <f>(Table1[[#This Row],[Unit_Cost_INR]]*Table1[[#This Row],[Consumption]])</f>
        <v>11700</v>
      </c>
      <c r="S365">
        <f>IFERROR(Table1[[#This Row],[Annual_Consumption_Value_INR]]/Table1[[#This Row],[Inventory_Value_INR]],0)</f>
        <v>0.42857142857142855</v>
      </c>
      <c r="T365">
        <f>IFERROR(365/Table1[[#This Row],[Inventory_Turnover]],0)</f>
        <v>851.66666666666674</v>
      </c>
      <c r="U365" t="str">
        <f>IF(Table1[[#This Row],[Consumption]]=0,"Non-Moving", IF(Table1[[#This Row],[Days_Since_Last_Movement]]&gt;90,"Slow-Moving","Active"))</f>
        <v>Slow-Moving</v>
      </c>
      <c r="V365">
        <f>SUM($Q$2:Q365)</f>
        <v>73653950</v>
      </c>
      <c r="W365">
        <f>Table1[[#This Row],[Cumulative_Inventory_Value]]/$AP$3</f>
        <v>0.97303111141407983</v>
      </c>
      <c r="X365" t="str">
        <f>IF(Table1[[#This Row],[Cumulative_Value_%]]&lt;80%,"A", IF(Table1[[#This Row],[Cumulative_Value_%]]&lt;=95%,"B","C"))</f>
        <v>C</v>
      </c>
      <c r="Y365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365">
        <f>Table1[[#This Row],[Consumption]]/365</f>
        <v>4.1095890410958902E-2</v>
      </c>
      <c r="AA365">
        <f>Table1[[#This Row],[Avg_Daily_Consumption]]*Table1[[#This Row],[Lead_Time_Days]]+Table1[[#This Row],[Safety_Stock]]</f>
        <v>2.1506849315068495</v>
      </c>
      <c r="AB365">
        <f>IFERROR(Table1[[#This Row],[Closing_Stock]]/Table1[[#This Row],[Avg_Daily_Consumption]],9999)</f>
        <v>851.66666666666674</v>
      </c>
      <c r="AC365">
        <f>MAX(1,ROUNDUP(Table1[[#This Row],[Avg_Daily_Consumption]]*Table1[[#This Row],[Lead_Time_Days]]*0.8,0))</f>
        <v>1</v>
      </c>
      <c r="AD365" t="str">
        <f>IF(Table1[[#This Row],[Closing_Stock]]&lt;Table1[[#This Row],[Reorder_Point]],"Stock-out Risk","Adequate")</f>
        <v>Adequate</v>
      </c>
      <c r="AE365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365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365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365" s="11">
        <f>MAX(0,Table1[[#This Row],[Closing_Stock]]-Table1[[#This Row],[Reorder_Point]])</f>
        <v>32.849315068493148</v>
      </c>
      <c r="AI365" s="11">
        <f>Table1[[#This Row],[Excess_Stock_Units]]*Table1[[#This Row],[Unit_Cost_INR]]</f>
        <v>25622.465753424654</v>
      </c>
      <c r="AJ365" s="11">
        <f>IF(Table1[[#This Row],[Criticality]]="Critical",0,Table1[[#This Row],[Excess_Inventory_Value_INR]])</f>
        <v>25622.465753424654</v>
      </c>
      <c r="AK365" s="11">
        <f>IF(AND(Table1[[#This Row],[Criticality]]&lt;&gt;"Critical",OR(Table1[[#This Row],[Movement_Class]]="Slow-Moving",Table1[[#This Row],[Movement_Class]]="Non-Moving")),Table1[[#This Row],[Excess_Inventory_Value_INR]],0)</f>
        <v>25622.465753424654</v>
      </c>
    </row>
    <row r="366" spans="1:37" x14ac:dyDescent="0.25">
      <c r="A366" t="s">
        <v>294</v>
      </c>
      <c r="B366" t="s">
        <v>35</v>
      </c>
      <c r="C366" t="s">
        <v>36</v>
      </c>
      <c r="D366" t="s">
        <v>27</v>
      </c>
      <c r="E366" t="s">
        <v>28</v>
      </c>
      <c r="F366">
        <v>8</v>
      </c>
      <c r="G366">
        <v>1</v>
      </c>
      <c r="H366">
        <v>1</v>
      </c>
      <c r="I366">
        <v>8</v>
      </c>
      <c r="J366">
        <v>3400</v>
      </c>
      <c r="K366">
        <v>3</v>
      </c>
      <c r="L366">
        <v>0</v>
      </c>
      <c r="M366">
        <v>129</v>
      </c>
      <c r="N366" t="s">
        <v>81</v>
      </c>
      <c r="O366">
        <v>0.17299999999999999</v>
      </c>
      <c r="P366">
        <v>4705.5999999999995</v>
      </c>
      <c r="Q366">
        <f>(Table1[[#This Row],[Closing_Stock]]*Table1[[#This Row],[Unit_Cost_INR]])</f>
        <v>27200</v>
      </c>
      <c r="R366">
        <f>(Table1[[#This Row],[Unit_Cost_INR]]*Table1[[#This Row],[Consumption]])</f>
        <v>3400</v>
      </c>
      <c r="S366">
        <f>IFERROR(Table1[[#This Row],[Annual_Consumption_Value_INR]]/Table1[[#This Row],[Inventory_Value_INR]],0)</f>
        <v>0.125</v>
      </c>
      <c r="T366">
        <f>IFERROR(365/Table1[[#This Row],[Inventory_Turnover]],0)</f>
        <v>2920</v>
      </c>
      <c r="U366" t="str">
        <f>IF(Table1[[#This Row],[Consumption]]=0,"Non-Moving", IF(Table1[[#This Row],[Days_Since_Last_Movement]]&gt;90,"Slow-Moving","Active"))</f>
        <v>Slow-Moving</v>
      </c>
      <c r="V366">
        <f>SUM($Q$2:Q366)</f>
        <v>73681150</v>
      </c>
      <c r="W366">
        <f>Table1[[#This Row],[Cumulative_Inventory_Value]]/$AP$3</f>
        <v>0.97339044646984352</v>
      </c>
      <c r="X366" t="str">
        <f>IF(Table1[[#This Row],[Cumulative_Value_%]]&lt;80%,"A", IF(Table1[[#This Row],[Cumulative_Value_%]]&lt;=95%,"B","C"))</f>
        <v>C</v>
      </c>
      <c r="Y366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366">
        <f>Table1[[#This Row],[Consumption]]/365</f>
        <v>2.7397260273972603E-3</v>
      </c>
      <c r="AA366">
        <f>Table1[[#This Row],[Avg_Daily_Consumption]]*Table1[[#This Row],[Lead_Time_Days]]+Table1[[#This Row],[Safety_Stock]]</f>
        <v>1.0082191780821919</v>
      </c>
      <c r="AB366">
        <f>IFERROR(Table1[[#This Row],[Closing_Stock]]/Table1[[#This Row],[Avg_Daily_Consumption]],9999)</f>
        <v>2920</v>
      </c>
      <c r="AC366">
        <f>MAX(1,ROUNDUP(Table1[[#This Row],[Avg_Daily_Consumption]]*Table1[[#This Row],[Lead_Time_Days]]*0.8,0))</f>
        <v>1</v>
      </c>
      <c r="AD366" t="str">
        <f>IF(Table1[[#This Row],[Closing_Stock]]&lt;Table1[[#This Row],[Reorder_Point]],"Stock-out Risk","Adequate")</f>
        <v>Adequate</v>
      </c>
      <c r="AE366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366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366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366" s="11">
        <f>MAX(0,Table1[[#This Row],[Closing_Stock]]-Table1[[#This Row],[Reorder_Point]])</f>
        <v>6.9917808219178079</v>
      </c>
      <c r="AI366" s="11">
        <f>Table1[[#This Row],[Excess_Stock_Units]]*Table1[[#This Row],[Unit_Cost_INR]]</f>
        <v>23772.054794520547</v>
      </c>
      <c r="AJ366" s="11">
        <f>IF(Table1[[#This Row],[Criticality]]="Critical",0,Table1[[#This Row],[Excess_Inventory_Value_INR]])</f>
        <v>23772.054794520547</v>
      </c>
      <c r="AK366" s="11">
        <f>IF(AND(Table1[[#This Row],[Criticality]]&lt;&gt;"Critical",OR(Table1[[#This Row],[Movement_Class]]="Slow-Moving",Table1[[#This Row],[Movement_Class]]="Non-Moving")),Table1[[#This Row],[Excess_Inventory_Value_INR]],0)</f>
        <v>23772.054794520547</v>
      </c>
    </row>
    <row r="367" spans="1:37" x14ac:dyDescent="0.25">
      <c r="A367" t="s">
        <v>555</v>
      </c>
      <c r="B367" t="s">
        <v>99</v>
      </c>
      <c r="C367" t="s">
        <v>20</v>
      </c>
      <c r="D367" t="s">
        <v>42</v>
      </c>
      <c r="E367" t="s">
        <v>22</v>
      </c>
      <c r="F367">
        <v>20</v>
      </c>
      <c r="G367">
        <v>22</v>
      </c>
      <c r="H367">
        <v>19</v>
      </c>
      <c r="I367">
        <v>23</v>
      </c>
      <c r="J367">
        <v>1180</v>
      </c>
      <c r="K367">
        <v>33</v>
      </c>
      <c r="L367">
        <v>0</v>
      </c>
      <c r="M367">
        <v>28</v>
      </c>
      <c r="N367" t="s">
        <v>81</v>
      </c>
      <c r="O367">
        <v>0.221</v>
      </c>
      <c r="P367">
        <v>5997.94</v>
      </c>
      <c r="Q367">
        <f>(Table1[[#This Row],[Closing_Stock]]*Table1[[#This Row],[Unit_Cost_INR]])</f>
        <v>27140</v>
      </c>
      <c r="R367">
        <f>(Table1[[#This Row],[Unit_Cost_INR]]*Table1[[#This Row],[Consumption]])</f>
        <v>22420</v>
      </c>
      <c r="S367">
        <f>IFERROR(Table1[[#This Row],[Annual_Consumption_Value_INR]]/Table1[[#This Row],[Inventory_Value_INR]],0)</f>
        <v>0.82608695652173914</v>
      </c>
      <c r="T367">
        <f>IFERROR(365/Table1[[#This Row],[Inventory_Turnover]],0)</f>
        <v>441.84210526315792</v>
      </c>
      <c r="U367" t="str">
        <f>IF(Table1[[#This Row],[Consumption]]=0,"Non-Moving", IF(Table1[[#This Row],[Days_Since_Last_Movement]]&gt;90,"Slow-Moving","Active"))</f>
        <v>Active</v>
      </c>
      <c r="V367">
        <f>SUM($Q$2:Q367)</f>
        <v>73708290</v>
      </c>
      <c r="W367">
        <f>Table1[[#This Row],[Cumulative_Inventory_Value]]/$AP$3</f>
        <v>0.97374898887474892</v>
      </c>
      <c r="X367" t="str">
        <f>IF(Table1[[#This Row],[Cumulative_Value_%]]&lt;80%,"A", IF(Table1[[#This Row],[Cumulative_Value_%]]&lt;=95%,"B","C"))</f>
        <v>C</v>
      </c>
      <c r="Y367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367">
        <f>Table1[[#This Row],[Consumption]]/365</f>
        <v>5.2054794520547946E-2</v>
      </c>
      <c r="AA367">
        <f>Table1[[#This Row],[Avg_Daily_Consumption]]*Table1[[#This Row],[Lead_Time_Days]]+Table1[[#This Row],[Safety_Stock]]</f>
        <v>3.7178082191780821</v>
      </c>
      <c r="AB367">
        <f>IFERROR(Table1[[#This Row],[Closing_Stock]]/Table1[[#This Row],[Avg_Daily_Consumption]],9999)</f>
        <v>441.84210526315786</v>
      </c>
      <c r="AC367">
        <f>MAX(1,ROUNDUP(Table1[[#This Row],[Avg_Daily_Consumption]]*Table1[[#This Row],[Lead_Time_Days]]*0.8,0))</f>
        <v>2</v>
      </c>
      <c r="AD367" t="str">
        <f>IF(Table1[[#This Row],[Closing_Stock]]&lt;Table1[[#This Row],[Reorder_Point]],"Stock-out Risk","Adequate")</f>
        <v>Adequate</v>
      </c>
      <c r="AE367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367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367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367" s="11">
        <f>MAX(0,Table1[[#This Row],[Closing_Stock]]-Table1[[#This Row],[Reorder_Point]])</f>
        <v>19.282191780821918</v>
      </c>
      <c r="AI367" s="11">
        <f>Table1[[#This Row],[Excess_Stock_Units]]*Table1[[#This Row],[Unit_Cost_INR]]</f>
        <v>22752.986301369863</v>
      </c>
      <c r="AJ367" s="11">
        <f>IF(Table1[[#This Row],[Criticality]]="Critical",0,Table1[[#This Row],[Excess_Inventory_Value_INR]])</f>
        <v>22752.986301369863</v>
      </c>
      <c r="AK367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368" spans="1:37" x14ac:dyDescent="0.25">
      <c r="A368" t="s">
        <v>251</v>
      </c>
      <c r="B368" t="s">
        <v>95</v>
      </c>
      <c r="C368" t="s">
        <v>26</v>
      </c>
      <c r="D368" t="s">
        <v>21</v>
      </c>
      <c r="E368" t="s">
        <v>22</v>
      </c>
      <c r="F368">
        <v>22</v>
      </c>
      <c r="G368">
        <v>36</v>
      </c>
      <c r="H368">
        <v>25</v>
      </c>
      <c r="I368">
        <v>33</v>
      </c>
      <c r="J368">
        <v>820</v>
      </c>
      <c r="K368">
        <v>25</v>
      </c>
      <c r="L368">
        <v>0</v>
      </c>
      <c r="M368">
        <v>48</v>
      </c>
      <c r="N368" t="s">
        <v>33</v>
      </c>
      <c r="O368">
        <v>0.151</v>
      </c>
      <c r="P368">
        <v>4086.06</v>
      </c>
      <c r="Q368">
        <f>(Table1[[#This Row],[Closing_Stock]]*Table1[[#This Row],[Unit_Cost_INR]])</f>
        <v>27060</v>
      </c>
      <c r="R368">
        <f>(Table1[[#This Row],[Unit_Cost_INR]]*Table1[[#This Row],[Consumption]])</f>
        <v>20500</v>
      </c>
      <c r="S368">
        <f>IFERROR(Table1[[#This Row],[Annual_Consumption_Value_INR]]/Table1[[#This Row],[Inventory_Value_INR]],0)</f>
        <v>0.75757575757575757</v>
      </c>
      <c r="T368">
        <f>IFERROR(365/Table1[[#This Row],[Inventory_Turnover]],0)</f>
        <v>481.8</v>
      </c>
      <c r="U368" t="str">
        <f>IF(Table1[[#This Row],[Consumption]]=0,"Non-Moving", IF(Table1[[#This Row],[Days_Since_Last_Movement]]&gt;90,"Slow-Moving","Active"))</f>
        <v>Active</v>
      </c>
      <c r="V368">
        <f>SUM($Q$2:Q368)</f>
        <v>73735350</v>
      </c>
      <c r="W368">
        <f>Table1[[#This Row],[Cumulative_Inventory_Value]]/$AP$3</f>
        <v>0.97410647441184317</v>
      </c>
      <c r="X368" t="str">
        <f>IF(Table1[[#This Row],[Cumulative_Value_%]]&lt;80%,"A", IF(Table1[[#This Row],[Cumulative_Value_%]]&lt;=95%,"B","C"))</f>
        <v>C</v>
      </c>
      <c r="Y368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368">
        <f>Table1[[#This Row],[Consumption]]/365</f>
        <v>6.8493150684931503E-2</v>
      </c>
      <c r="AA368">
        <f>Table1[[#This Row],[Avg_Daily_Consumption]]*Table1[[#This Row],[Lead_Time_Days]]+Table1[[#This Row],[Safety_Stock]]</f>
        <v>3.7123287671232879</v>
      </c>
      <c r="AB368">
        <f>IFERROR(Table1[[#This Row],[Closing_Stock]]/Table1[[#This Row],[Avg_Daily_Consumption]],9999)</f>
        <v>481.8</v>
      </c>
      <c r="AC368">
        <f>MAX(1,ROUNDUP(Table1[[#This Row],[Avg_Daily_Consumption]]*Table1[[#This Row],[Lead_Time_Days]]*0.8,0))</f>
        <v>2</v>
      </c>
      <c r="AD368" t="str">
        <f>IF(Table1[[#This Row],[Closing_Stock]]&lt;Table1[[#This Row],[Reorder_Point]],"Stock-out Risk","Adequate")</f>
        <v>Adequate</v>
      </c>
      <c r="AE368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368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368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368" s="11">
        <f>MAX(0,Table1[[#This Row],[Closing_Stock]]-Table1[[#This Row],[Reorder_Point]])</f>
        <v>29.287671232876711</v>
      </c>
      <c r="AI368" s="11">
        <f>Table1[[#This Row],[Excess_Stock_Units]]*Table1[[#This Row],[Unit_Cost_INR]]</f>
        <v>24015.890410958902</v>
      </c>
      <c r="AJ368" s="11">
        <f>IF(Table1[[#This Row],[Criticality]]="Critical",0,Table1[[#This Row],[Excess_Inventory_Value_INR]])</f>
        <v>24015.890410958902</v>
      </c>
      <c r="AK368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369" spans="1:37" x14ac:dyDescent="0.25">
      <c r="A369" t="s">
        <v>333</v>
      </c>
      <c r="B369" t="s">
        <v>150</v>
      </c>
      <c r="C369" t="s">
        <v>36</v>
      </c>
      <c r="D369" t="s">
        <v>21</v>
      </c>
      <c r="E369" t="s">
        <v>22</v>
      </c>
      <c r="F369">
        <v>6</v>
      </c>
      <c r="G369">
        <v>1</v>
      </c>
      <c r="H369">
        <v>1</v>
      </c>
      <c r="I369">
        <v>6</v>
      </c>
      <c r="J369">
        <v>4510</v>
      </c>
      <c r="K369">
        <v>19</v>
      </c>
      <c r="L369">
        <v>0</v>
      </c>
      <c r="M369">
        <v>299</v>
      </c>
      <c r="N369" t="s">
        <v>49</v>
      </c>
      <c r="O369">
        <v>0.27500000000000002</v>
      </c>
      <c r="P369">
        <v>7441.5000000000009</v>
      </c>
      <c r="Q369">
        <f>(Table1[[#This Row],[Closing_Stock]]*Table1[[#This Row],[Unit_Cost_INR]])</f>
        <v>27060</v>
      </c>
      <c r="R369">
        <f>(Table1[[#This Row],[Unit_Cost_INR]]*Table1[[#This Row],[Consumption]])</f>
        <v>4510</v>
      </c>
      <c r="S369">
        <f>IFERROR(Table1[[#This Row],[Annual_Consumption_Value_INR]]/Table1[[#This Row],[Inventory_Value_INR]],0)</f>
        <v>0.16666666666666666</v>
      </c>
      <c r="T369">
        <f>IFERROR(365/Table1[[#This Row],[Inventory_Turnover]],0)</f>
        <v>2190</v>
      </c>
      <c r="U369" t="str">
        <f>IF(Table1[[#This Row],[Consumption]]=0,"Non-Moving", IF(Table1[[#This Row],[Days_Since_Last_Movement]]&gt;90,"Slow-Moving","Active"))</f>
        <v>Slow-Moving</v>
      </c>
      <c r="V369">
        <f>SUM($Q$2:Q369)</f>
        <v>73762410</v>
      </c>
      <c r="W369">
        <f>Table1[[#This Row],[Cumulative_Inventory_Value]]/$AP$3</f>
        <v>0.97446395994893742</v>
      </c>
      <c r="X369" t="str">
        <f>IF(Table1[[#This Row],[Cumulative_Value_%]]&lt;80%,"A", IF(Table1[[#This Row],[Cumulative_Value_%]]&lt;=95%,"B","C"))</f>
        <v>C</v>
      </c>
      <c r="Y369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369">
        <f>Table1[[#This Row],[Consumption]]/365</f>
        <v>2.7397260273972603E-3</v>
      </c>
      <c r="AA369">
        <f>Table1[[#This Row],[Avg_Daily_Consumption]]*Table1[[#This Row],[Lead_Time_Days]]+Table1[[#This Row],[Safety_Stock]]</f>
        <v>1.0520547945205478</v>
      </c>
      <c r="AB369">
        <f>IFERROR(Table1[[#This Row],[Closing_Stock]]/Table1[[#This Row],[Avg_Daily_Consumption]],9999)</f>
        <v>2190</v>
      </c>
      <c r="AC369">
        <f>MAX(1,ROUNDUP(Table1[[#This Row],[Avg_Daily_Consumption]]*Table1[[#This Row],[Lead_Time_Days]]*0.8,0))</f>
        <v>1</v>
      </c>
      <c r="AD369" t="str">
        <f>IF(Table1[[#This Row],[Closing_Stock]]&lt;Table1[[#This Row],[Reorder_Point]],"Stock-out Risk","Adequate")</f>
        <v>Adequate</v>
      </c>
      <c r="AE369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369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369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369" s="11">
        <f>MAX(0,Table1[[#This Row],[Closing_Stock]]-Table1[[#This Row],[Reorder_Point]])</f>
        <v>4.9479452054794519</v>
      </c>
      <c r="AI369" s="11">
        <f>Table1[[#This Row],[Excess_Stock_Units]]*Table1[[#This Row],[Unit_Cost_INR]]</f>
        <v>22315.232876712329</v>
      </c>
      <c r="AJ369" s="11">
        <f>IF(Table1[[#This Row],[Criticality]]="Critical",0,Table1[[#This Row],[Excess_Inventory_Value_INR]])</f>
        <v>22315.232876712329</v>
      </c>
      <c r="AK369" s="11">
        <f>IF(AND(Table1[[#This Row],[Criticality]]&lt;&gt;"Critical",OR(Table1[[#This Row],[Movement_Class]]="Slow-Moving",Table1[[#This Row],[Movement_Class]]="Non-Moving")),Table1[[#This Row],[Excess_Inventory_Value_INR]],0)</f>
        <v>22315.232876712329</v>
      </c>
    </row>
    <row r="370" spans="1:37" x14ac:dyDescent="0.25">
      <c r="A370" t="s">
        <v>148</v>
      </c>
      <c r="B370" t="s">
        <v>129</v>
      </c>
      <c r="C370" t="s">
        <v>52</v>
      </c>
      <c r="D370" t="s">
        <v>60</v>
      </c>
      <c r="E370" t="s">
        <v>46</v>
      </c>
      <c r="F370">
        <v>24</v>
      </c>
      <c r="G370">
        <v>14</v>
      </c>
      <c r="H370">
        <v>6</v>
      </c>
      <c r="I370">
        <v>29</v>
      </c>
      <c r="J370">
        <v>930</v>
      </c>
      <c r="K370">
        <v>18</v>
      </c>
      <c r="L370">
        <v>0</v>
      </c>
      <c r="M370">
        <v>257</v>
      </c>
      <c r="N370" t="s">
        <v>29</v>
      </c>
      <c r="O370">
        <v>0.192</v>
      </c>
      <c r="P370">
        <v>5178.24</v>
      </c>
      <c r="Q370">
        <f>(Table1[[#This Row],[Closing_Stock]]*Table1[[#This Row],[Unit_Cost_INR]])</f>
        <v>26970</v>
      </c>
      <c r="R370">
        <f>(Table1[[#This Row],[Unit_Cost_INR]]*Table1[[#This Row],[Consumption]])</f>
        <v>5580</v>
      </c>
      <c r="S370">
        <f>IFERROR(Table1[[#This Row],[Annual_Consumption_Value_INR]]/Table1[[#This Row],[Inventory_Value_INR]],0)</f>
        <v>0.20689655172413793</v>
      </c>
      <c r="T370">
        <f>IFERROR(365/Table1[[#This Row],[Inventory_Turnover]],0)</f>
        <v>1764.1666666666667</v>
      </c>
      <c r="U370" t="str">
        <f>IF(Table1[[#This Row],[Consumption]]=0,"Non-Moving", IF(Table1[[#This Row],[Days_Since_Last_Movement]]&gt;90,"Slow-Moving","Active"))</f>
        <v>Slow-Moving</v>
      </c>
      <c r="V370">
        <f>SUM($Q$2:Q370)</f>
        <v>73789380</v>
      </c>
      <c r="W370">
        <f>Table1[[#This Row],[Cumulative_Inventory_Value]]/$AP$3</f>
        <v>0.97482025650974424</v>
      </c>
      <c r="X370" t="str">
        <f>IF(Table1[[#This Row],[Cumulative_Value_%]]&lt;80%,"A", IF(Table1[[#This Row],[Cumulative_Value_%]]&lt;=95%,"B","C"))</f>
        <v>C</v>
      </c>
      <c r="Y370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370">
        <f>Table1[[#This Row],[Consumption]]/365</f>
        <v>1.643835616438356E-2</v>
      </c>
      <c r="AA370">
        <f>Table1[[#This Row],[Avg_Daily_Consumption]]*Table1[[#This Row],[Lead_Time_Days]]+Table1[[#This Row],[Safety_Stock]]</f>
        <v>1.295890410958904</v>
      </c>
      <c r="AB370">
        <f>IFERROR(Table1[[#This Row],[Closing_Stock]]/Table1[[#This Row],[Avg_Daily_Consumption]],9999)</f>
        <v>1764.1666666666667</v>
      </c>
      <c r="AC370">
        <f>MAX(1,ROUNDUP(Table1[[#This Row],[Avg_Daily_Consumption]]*Table1[[#This Row],[Lead_Time_Days]]*0.8,0))</f>
        <v>1</v>
      </c>
      <c r="AD370" t="str">
        <f>IF(Table1[[#This Row],[Closing_Stock]]&lt;Table1[[#This Row],[Reorder_Point]],"Stock-out Risk","Adequate")</f>
        <v>Adequate</v>
      </c>
      <c r="AE370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370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370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370" s="11">
        <f>MAX(0,Table1[[#This Row],[Closing_Stock]]-Table1[[#This Row],[Reorder_Point]])</f>
        <v>27.704109589041096</v>
      </c>
      <c r="AI370" s="11">
        <f>Table1[[#This Row],[Excess_Stock_Units]]*Table1[[#This Row],[Unit_Cost_INR]]</f>
        <v>25764.821917808218</v>
      </c>
      <c r="AJ370" s="11">
        <f>IF(Table1[[#This Row],[Criticality]]="Critical",0,Table1[[#This Row],[Excess_Inventory_Value_INR]])</f>
        <v>25764.821917808218</v>
      </c>
      <c r="AK370" s="11">
        <f>IF(AND(Table1[[#This Row],[Criticality]]&lt;&gt;"Critical",OR(Table1[[#This Row],[Movement_Class]]="Slow-Moving",Table1[[#This Row],[Movement_Class]]="Non-Moving")),Table1[[#This Row],[Excess_Inventory_Value_INR]],0)</f>
        <v>25764.821917808218</v>
      </c>
    </row>
    <row r="371" spans="1:37" x14ac:dyDescent="0.25">
      <c r="A371" t="s">
        <v>288</v>
      </c>
      <c r="B371" t="s">
        <v>104</v>
      </c>
      <c r="C371" t="s">
        <v>41</v>
      </c>
      <c r="D371" t="s">
        <v>27</v>
      </c>
      <c r="E371" t="s">
        <v>22</v>
      </c>
      <c r="F371">
        <v>18</v>
      </c>
      <c r="G371">
        <v>34</v>
      </c>
      <c r="H371">
        <v>34</v>
      </c>
      <c r="I371">
        <v>18</v>
      </c>
      <c r="J371">
        <v>1490</v>
      </c>
      <c r="K371">
        <v>16</v>
      </c>
      <c r="L371">
        <v>0</v>
      </c>
      <c r="M371">
        <v>163</v>
      </c>
      <c r="N371" t="s">
        <v>81</v>
      </c>
      <c r="O371">
        <v>0.246</v>
      </c>
      <c r="P371">
        <v>6597.72</v>
      </c>
      <c r="Q371">
        <f>(Table1[[#This Row],[Closing_Stock]]*Table1[[#This Row],[Unit_Cost_INR]])</f>
        <v>26820</v>
      </c>
      <c r="R371">
        <f>(Table1[[#This Row],[Unit_Cost_INR]]*Table1[[#This Row],[Consumption]])</f>
        <v>50660</v>
      </c>
      <c r="S371">
        <f>IFERROR(Table1[[#This Row],[Annual_Consumption_Value_INR]]/Table1[[#This Row],[Inventory_Value_INR]],0)</f>
        <v>1.8888888888888888</v>
      </c>
      <c r="T371">
        <f>IFERROR(365/Table1[[#This Row],[Inventory_Turnover]],0)</f>
        <v>193.23529411764707</v>
      </c>
      <c r="U371" t="str">
        <f>IF(Table1[[#This Row],[Consumption]]=0,"Non-Moving", IF(Table1[[#This Row],[Days_Since_Last_Movement]]&gt;90,"Slow-Moving","Active"))</f>
        <v>Slow-Moving</v>
      </c>
      <c r="V371">
        <f>SUM($Q$2:Q371)</f>
        <v>73816200</v>
      </c>
      <c r="W371">
        <f>Table1[[#This Row],[Cumulative_Inventory_Value]]/$AP$3</f>
        <v>0.97517457144340536</v>
      </c>
      <c r="X371" t="str">
        <f>IF(Table1[[#This Row],[Cumulative_Value_%]]&lt;80%,"A", IF(Table1[[#This Row],[Cumulative_Value_%]]&lt;=95%,"B","C"))</f>
        <v>C</v>
      </c>
      <c r="Y371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371">
        <f>Table1[[#This Row],[Consumption]]/365</f>
        <v>9.3150684931506855E-2</v>
      </c>
      <c r="AA371">
        <f>Table1[[#This Row],[Avg_Daily_Consumption]]*Table1[[#This Row],[Lead_Time_Days]]+Table1[[#This Row],[Safety_Stock]]</f>
        <v>3.4904109589041097</v>
      </c>
      <c r="AB371">
        <f>IFERROR(Table1[[#This Row],[Closing_Stock]]/Table1[[#This Row],[Avg_Daily_Consumption]],9999)</f>
        <v>193.23529411764704</v>
      </c>
      <c r="AC371">
        <f>MAX(1,ROUNDUP(Table1[[#This Row],[Avg_Daily_Consumption]]*Table1[[#This Row],[Lead_Time_Days]]*0.8,0))</f>
        <v>2</v>
      </c>
      <c r="AD371" t="str">
        <f>IF(Table1[[#This Row],[Closing_Stock]]&lt;Table1[[#This Row],[Reorder_Point]],"Stock-out Risk","Adequate")</f>
        <v>Adequate</v>
      </c>
      <c r="AE371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371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371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371" s="11">
        <f>MAX(0,Table1[[#This Row],[Closing_Stock]]-Table1[[#This Row],[Reorder_Point]])</f>
        <v>14.509589041095889</v>
      </c>
      <c r="AI371" s="11">
        <f>Table1[[#This Row],[Excess_Stock_Units]]*Table1[[#This Row],[Unit_Cost_INR]]</f>
        <v>21619.287671232876</v>
      </c>
      <c r="AJ371" s="11">
        <f>IF(Table1[[#This Row],[Criticality]]="Critical",0,Table1[[#This Row],[Excess_Inventory_Value_INR]])</f>
        <v>21619.287671232876</v>
      </c>
      <c r="AK371" s="11">
        <f>IF(AND(Table1[[#This Row],[Criticality]]&lt;&gt;"Critical",OR(Table1[[#This Row],[Movement_Class]]="Slow-Moving",Table1[[#This Row],[Movement_Class]]="Non-Moving")),Table1[[#This Row],[Excess_Inventory_Value_INR]],0)</f>
        <v>21619.287671232876</v>
      </c>
    </row>
    <row r="372" spans="1:37" x14ac:dyDescent="0.25">
      <c r="A372" t="s">
        <v>499</v>
      </c>
      <c r="B372" t="s">
        <v>126</v>
      </c>
      <c r="C372" t="s">
        <v>20</v>
      </c>
      <c r="D372" t="s">
        <v>60</v>
      </c>
      <c r="E372" t="s">
        <v>22</v>
      </c>
      <c r="F372">
        <v>7</v>
      </c>
      <c r="G372">
        <v>4</v>
      </c>
      <c r="H372">
        <v>4</v>
      </c>
      <c r="I372">
        <v>7</v>
      </c>
      <c r="J372">
        <v>3790</v>
      </c>
      <c r="K372">
        <v>34</v>
      </c>
      <c r="L372">
        <v>1</v>
      </c>
      <c r="M372">
        <v>126</v>
      </c>
      <c r="N372" t="s">
        <v>23</v>
      </c>
      <c r="O372">
        <v>0.26200000000000001</v>
      </c>
      <c r="P372">
        <v>6950.8600000000006</v>
      </c>
      <c r="Q372">
        <f>(Table1[[#This Row],[Closing_Stock]]*Table1[[#This Row],[Unit_Cost_INR]])</f>
        <v>26530</v>
      </c>
      <c r="R372">
        <f>(Table1[[#This Row],[Unit_Cost_INR]]*Table1[[#This Row],[Consumption]])</f>
        <v>15160</v>
      </c>
      <c r="S372">
        <f>IFERROR(Table1[[#This Row],[Annual_Consumption_Value_INR]]/Table1[[#This Row],[Inventory_Value_INR]],0)</f>
        <v>0.5714285714285714</v>
      </c>
      <c r="T372">
        <f>IFERROR(365/Table1[[#This Row],[Inventory_Turnover]],0)</f>
        <v>638.75</v>
      </c>
      <c r="U372" t="str">
        <f>IF(Table1[[#This Row],[Consumption]]=0,"Non-Moving", IF(Table1[[#This Row],[Days_Since_Last_Movement]]&gt;90,"Slow-Moving","Active"))</f>
        <v>Slow-Moving</v>
      </c>
      <c r="V372">
        <f>SUM($Q$2:Q372)</f>
        <v>73842730</v>
      </c>
      <c r="W372">
        <f>Table1[[#This Row],[Cumulative_Inventory_Value]]/$AP$3</f>
        <v>0.97552505523125121</v>
      </c>
      <c r="X372" t="str">
        <f>IF(Table1[[#This Row],[Cumulative_Value_%]]&lt;80%,"A", IF(Table1[[#This Row],[Cumulative_Value_%]]&lt;=95%,"B","C"))</f>
        <v>C</v>
      </c>
      <c r="Y372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372">
        <f>Table1[[#This Row],[Consumption]]/365</f>
        <v>1.0958904109589041E-2</v>
      </c>
      <c r="AA372">
        <f>Table1[[#This Row],[Avg_Daily_Consumption]]*Table1[[#This Row],[Lead_Time_Days]]+Table1[[#This Row],[Safety_Stock]]</f>
        <v>1.3726027397260274</v>
      </c>
      <c r="AB372">
        <f>IFERROR(Table1[[#This Row],[Closing_Stock]]/Table1[[#This Row],[Avg_Daily_Consumption]],9999)</f>
        <v>638.75</v>
      </c>
      <c r="AC372">
        <f>MAX(1,ROUNDUP(Table1[[#This Row],[Avg_Daily_Consumption]]*Table1[[#This Row],[Lead_Time_Days]]*0.8,0))</f>
        <v>1</v>
      </c>
      <c r="AD372" t="str">
        <f>IF(Table1[[#This Row],[Closing_Stock]]&lt;Table1[[#This Row],[Reorder_Point]],"Stock-out Risk","Adequate")</f>
        <v>Adequate</v>
      </c>
      <c r="AE372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372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372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372" s="11">
        <f>MAX(0,Table1[[#This Row],[Closing_Stock]]-Table1[[#This Row],[Reorder_Point]])</f>
        <v>5.6273972602739724</v>
      </c>
      <c r="AI372" s="11">
        <f>Table1[[#This Row],[Excess_Stock_Units]]*Table1[[#This Row],[Unit_Cost_INR]]</f>
        <v>21327.835616438355</v>
      </c>
      <c r="AJ372" s="11">
        <f>IF(Table1[[#This Row],[Criticality]]="Critical",0,Table1[[#This Row],[Excess_Inventory_Value_INR]])</f>
        <v>21327.835616438355</v>
      </c>
      <c r="AK372" s="11">
        <f>IF(AND(Table1[[#This Row],[Criticality]]&lt;&gt;"Critical",OR(Table1[[#This Row],[Movement_Class]]="Slow-Moving",Table1[[#This Row],[Movement_Class]]="Non-Moving")),Table1[[#This Row],[Excess_Inventory_Value_INR]],0)</f>
        <v>21327.835616438355</v>
      </c>
    </row>
    <row r="373" spans="1:37" x14ac:dyDescent="0.25">
      <c r="A373" t="s">
        <v>91</v>
      </c>
      <c r="B373" t="s">
        <v>85</v>
      </c>
      <c r="C373" t="s">
        <v>41</v>
      </c>
      <c r="D373" t="s">
        <v>66</v>
      </c>
      <c r="E373" t="s">
        <v>46</v>
      </c>
      <c r="F373">
        <v>44</v>
      </c>
      <c r="G373">
        <v>43</v>
      </c>
      <c r="H373">
        <v>38</v>
      </c>
      <c r="I373">
        <v>49</v>
      </c>
      <c r="J373">
        <v>540</v>
      </c>
      <c r="K373">
        <v>24</v>
      </c>
      <c r="L373">
        <v>0</v>
      </c>
      <c r="M373">
        <v>289</v>
      </c>
      <c r="N373" t="s">
        <v>29</v>
      </c>
      <c r="O373">
        <v>0.247</v>
      </c>
      <c r="P373">
        <v>6535.62</v>
      </c>
      <c r="Q373">
        <f>(Table1[[#This Row],[Closing_Stock]]*Table1[[#This Row],[Unit_Cost_INR]])</f>
        <v>26460</v>
      </c>
      <c r="R373">
        <f>(Table1[[#This Row],[Unit_Cost_INR]]*Table1[[#This Row],[Consumption]])</f>
        <v>20520</v>
      </c>
      <c r="S373">
        <f>IFERROR(Table1[[#This Row],[Annual_Consumption_Value_INR]]/Table1[[#This Row],[Inventory_Value_INR]],0)</f>
        <v>0.77551020408163263</v>
      </c>
      <c r="T373">
        <f>IFERROR(365/Table1[[#This Row],[Inventory_Turnover]],0)</f>
        <v>470.65789473684214</v>
      </c>
      <c r="U373" t="str">
        <f>IF(Table1[[#This Row],[Consumption]]=0,"Non-Moving", IF(Table1[[#This Row],[Days_Since_Last_Movement]]&gt;90,"Slow-Moving","Active"))</f>
        <v>Slow-Moving</v>
      </c>
      <c r="V373">
        <f>SUM($Q$2:Q373)</f>
        <v>73869190</v>
      </c>
      <c r="W373">
        <f>Table1[[#This Row],[Cumulative_Inventory_Value]]/$AP$3</f>
        <v>0.97587461425976252</v>
      </c>
      <c r="X373" t="str">
        <f>IF(Table1[[#This Row],[Cumulative_Value_%]]&lt;80%,"A", IF(Table1[[#This Row],[Cumulative_Value_%]]&lt;=95%,"B","C"))</f>
        <v>C</v>
      </c>
      <c r="Y373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373">
        <f>Table1[[#This Row],[Consumption]]/365</f>
        <v>0.10410958904109589</v>
      </c>
      <c r="AA373">
        <f>Table1[[#This Row],[Avg_Daily_Consumption]]*Table1[[#This Row],[Lead_Time_Days]]+Table1[[#This Row],[Safety_Stock]]</f>
        <v>4.4986301369863018</v>
      </c>
      <c r="AB373">
        <f>IFERROR(Table1[[#This Row],[Closing_Stock]]/Table1[[#This Row],[Avg_Daily_Consumption]],9999)</f>
        <v>470.65789473684208</v>
      </c>
      <c r="AC373">
        <f>MAX(1,ROUNDUP(Table1[[#This Row],[Avg_Daily_Consumption]]*Table1[[#This Row],[Lead_Time_Days]]*0.8,0))</f>
        <v>2</v>
      </c>
      <c r="AD373" t="str">
        <f>IF(Table1[[#This Row],[Closing_Stock]]&lt;Table1[[#This Row],[Reorder_Point]],"Stock-out Risk","Adequate")</f>
        <v>Adequate</v>
      </c>
      <c r="AE373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373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373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373" s="11">
        <f>MAX(0,Table1[[#This Row],[Closing_Stock]]-Table1[[#This Row],[Reorder_Point]])</f>
        <v>44.5013698630137</v>
      </c>
      <c r="AI373" s="11">
        <f>Table1[[#This Row],[Excess_Stock_Units]]*Table1[[#This Row],[Unit_Cost_INR]]</f>
        <v>24030.739726027397</v>
      </c>
      <c r="AJ373" s="11">
        <f>IF(Table1[[#This Row],[Criticality]]="Critical",0,Table1[[#This Row],[Excess_Inventory_Value_INR]])</f>
        <v>24030.739726027397</v>
      </c>
      <c r="AK373" s="11">
        <f>IF(AND(Table1[[#This Row],[Criticality]]&lt;&gt;"Critical",OR(Table1[[#This Row],[Movement_Class]]="Slow-Moving",Table1[[#This Row],[Movement_Class]]="Non-Moving")),Table1[[#This Row],[Excess_Inventory_Value_INR]],0)</f>
        <v>24030.739726027397</v>
      </c>
    </row>
    <row r="374" spans="1:37" x14ac:dyDescent="0.25">
      <c r="A374" t="s">
        <v>377</v>
      </c>
      <c r="B374" t="s">
        <v>83</v>
      </c>
      <c r="C374" t="s">
        <v>32</v>
      </c>
      <c r="D374" t="s">
        <v>21</v>
      </c>
      <c r="E374" t="s">
        <v>22</v>
      </c>
      <c r="F374">
        <v>17</v>
      </c>
      <c r="G374">
        <v>2</v>
      </c>
      <c r="H374">
        <v>2</v>
      </c>
      <c r="I374">
        <v>17</v>
      </c>
      <c r="J374">
        <v>1510</v>
      </c>
      <c r="K374">
        <v>30</v>
      </c>
      <c r="L374">
        <v>0</v>
      </c>
      <c r="M374">
        <v>266</v>
      </c>
      <c r="N374" t="s">
        <v>49</v>
      </c>
      <c r="O374">
        <v>0.20100000000000001</v>
      </c>
      <c r="P374">
        <v>5159.67</v>
      </c>
      <c r="Q374">
        <f>(Table1[[#This Row],[Closing_Stock]]*Table1[[#This Row],[Unit_Cost_INR]])</f>
        <v>25670</v>
      </c>
      <c r="R374">
        <f>(Table1[[#This Row],[Unit_Cost_INR]]*Table1[[#This Row],[Consumption]])</f>
        <v>3020</v>
      </c>
      <c r="S374">
        <f>IFERROR(Table1[[#This Row],[Annual_Consumption_Value_INR]]/Table1[[#This Row],[Inventory_Value_INR]],0)</f>
        <v>0.11764705882352941</v>
      </c>
      <c r="T374">
        <f>IFERROR(365/Table1[[#This Row],[Inventory_Turnover]],0)</f>
        <v>3102.5</v>
      </c>
      <c r="U374" t="str">
        <f>IF(Table1[[#This Row],[Consumption]]=0,"Non-Moving", IF(Table1[[#This Row],[Days_Since_Last_Movement]]&gt;90,"Slow-Moving","Active"))</f>
        <v>Slow-Moving</v>
      </c>
      <c r="V374">
        <f>SUM($Q$2:Q374)</f>
        <v>73894860</v>
      </c>
      <c r="W374">
        <f>Table1[[#This Row],[Cumulative_Inventory_Value]]/$AP$3</f>
        <v>0.97621373671863942</v>
      </c>
      <c r="X374" t="str">
        <f>IF(Table1[[#This Row],[Cumulative_Value_%]]&lt;80%,"A", IF(Table1[[#This Row],[Cumulative_Value_%]]&lt;=95%,"B","C"))</f>
        <v>C</v>
      </c>
      <c r="Y374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374">
        <f>Table1[[#This Row],[Consumption]]/365</f>
        <v>5.4794520547945206E-3</v>
      </c>
      <c r="AA374">
        <f>Table1[[#This Row],[Avg_Daily_Consumption]]*Table1[[#This Row],[Lead_Time_Days]]+Table1[[#This Row],[Safety_Stock]]</f>
        <v>1.1643835616438356</v>
      </c>
      <c r="AB374">
        <f>IFERROR(Table1[[#This Row],[Closing_Stock]]/Table1[[#This Row],[Avg_Daily_Consumption]],9999)</f>
        <v>3102.5</v>
      </c>
      <c r="AC374">
        <f>MAX(1,ROUNDUP(Table1[[#This Row],[Avg_Daily_Consumption]]*Table1[[#This Row],[Lead_Time_Days]]*0.8,0))</f>
        <v>1</v>
      </c>
      <c r="AD374" t="str">
        <f>IF(Table1[[#This Row],[Closing_Stock]]&lt;Table1[[#This Row],[Reorder_Point]],"Stock-out Risk","Adequate")</f>
        <v>Adequate</v>
      </c>
      <c r="AE374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374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374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374" s="11">
        <f>MAX(0,Table1[[#This Row],[Closing_Stock]]-Table1[[#This Row],[Reorder_Point]])</f>
        <v>15.835616438356164</v>
      </c>
      <c r="AI374" s="11">
        <f>Table1[[#This Row],[Excess_Stock_Units]]*Table1[[#This Row],[Unit_Cost_INR]]</f>
        <v>23911.780821917808</v>
      </c>
      <c r="AJ374" s="11">
        <f>IF(Table1[[#This Row],[Criticality]]="Critical",0,Table1[[#This Row],[Excess_Inventory_Value_INR]])</f>
        <v>23911.780821917808</v>
      </c>
      <c r="AK374" s="11">
        <f>IF(AND(Table1[[#This Row],[Criticality]]&lt;&gt;"Critical",OR(Table1[[#This Row],[Movement_Class]]="Slow-Moving",Table1[[#This Row],[Movement_Class]]="Non-Moving")),Table1[[#This Row],[Excess_Inventory_Value_INR]],0)</f>
        <v>23911.780821917808</v>
      </c>
    </row>
    <row r="375" spans="1:37" x14ac:dyDescent="0.25">
      <c r="A375" t="s">
        <v>266</v>
      </c>
      <c r="B375" t="s">
        <v>150</v>
      </c>
      <c r="C375" t="s">
        <v>36</v>
      </c>
      <c r="D375" t="s">
        <v>45</v>
      </c>
      <c r="E375" t="s">
        <v>22</v>
      </c>
      <c r="F375">
        <v>4</v>
      </c>
      <c r="G375">
        <v>2</v>
      </c>
      <c r="H375">
        <v>2</v>
      </c>
      <c r="I375">
        <v>4</v>
      </c>
      <c r="J375">
        <v>6390</v>
      </c>
      <c r="K375">
        <v>30</v>
      </c>
      <c r="L375">
        <v>0</v>
      </c>
      <c r="M375">
        <v>140</v>
      </c>
      <c r="N375" t="s">
        <v>38</v>
      </c>
      <c r="O375">
        <v>0.29899999999999999</v>
      </c>
      <c r="P375">
        <v>7642.44</v>
      </c>
      <c r="Q375">
        <f>(Table1[[#This Row],[Closing_Stock]]*Table1[[#This Row],[Unit_Cost_INR]])</f>
        <v>25560</v>
      </c>
      <c r="R375">
        <f>(Table1[[#This Row],[Unit_Cost_INR]]*Table1[[#This Row],[Consumption]])</f>
        <v>12780</v>
      </c>
      <c r="S375">
        <f>IFERROR(Table1[[#This Row],[Annual_Consumption_Value_INR]]/Table1[[#This Row],[Inventory_Value_INR]],0)</f>
        <v>0.5</v>
      </c>
      <c r="T375">
        <f>IFERROR(365/Table1[[#This Row],[Inventory_Turnover]],0)</f>
        <v>730</v>
      </c>
      <c r="U375" t="str">
        <f>IF(Table1[[#This Row],[Consumption]]=0,"Non-Moving", IF(Table1[[#This Row],[Days_Since_Last_Movement]]&gt;90,"Slow-Moving","Active"))</f>
        <v>Slow-Moving</v>
      </c>
      <c r="V375">
        <f>SUM($Q$2:Q375)</f>
        <v>73920420</v>
      </c>
      <c r="W375">
        <f>Table1[[#This Row],[Cumulative_Inventory_Value]]/$AP$3</f>
        <v>0.97655140598427614</v>
      </c>
      <c r="X375" t="str">
        <f>IF(Table1[[#This Row],[Cumulative_Value_%]]&lt;80%,"A", IF(Table1[[#This Row],[Cumulative_Value_%]]&lt;=95%,"B","C"))</f>
        <v>C</v>
      </c>
      <c r="Y375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375">
        <f>Table1[[#This Row],[Consumption]]/365</f>
        <v>5.4794520547945206E-3</v>
      </c>
      <c r="AA375">
        <f>Table1[[#This Row],[Avg_Daily_Consumption]]*Table1[[#This Row],[Lead_Time_Days]]+Table1[[#This Row],[Safety_Stock]]</f>
        <v>1.1643835616438356</v>
      </c>
      <c r="AB375">
        <f>IFERROR(Table1[[#This Row],[Closing_Stock]]/Table1[[#This Row],[Avg_Daily_Consumption]],9999)</f>
        <v>730</v>
      </c>
      <c r="AC375">
        <f>MAX(1,ROUNDUP(Table1[[#This Row],[Avg_Daily_Consumption]]*Table1[[#This Row],[Lead_Time_Days]]*0.8,0))</f>
        <v>1</v>
      </c>
      <c r="AD375" t="str">
        <f>IF(Table1[[#This Row],[Closing_Stock]]&lt;Table1[[#This Row],[Reorder_Point]],"Stock-out Risk","Adequate")</f>
        <v>Adequate</v>
      </c>
      <c r="AE375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375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375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375" s="11">
        <f>MAX(0,Table1[[#This Row],[Closing_Stock]]-Table1[[#This Row],[Reorder_Point]])</f>
        <v>2.8356164383561646</v>
      </c>
      <c r="AI375" s="11">
        <f>Table1[[#This Row],[Excess_Stock_Units]]*Table1[[#This Row],[Unit_Cost_INR]]</f>
        <v>18119.589041095893</v>
      </c>
      <c r="AJ375" s="11">
        <f>IF(Table1[[#This Row],[Criticality]]="Critical",0,Table1[[#This Row],[Excess_Inventory_Value_INR]])</f>
        <v>18119.589041095893</v>
      </c>
      <c r="AK375" s="11">
        <f>IF(AND(Table1[[#This Row],[Criticality]]&lt;&gt;"Critical",OR(Table1[[#This Row],[Movement_Class]]="Slow-Moving",Table1[[#This Row],[Movement_Class]]="Non-Moving")),Table1[[#This Row],[Excess_Inventory_Value_INR]],0)</f>
        <v>18119.589041095893</v>
      </c>
    </row>
    <row r="376" spans="1:37" x14ac:dyDescent="0.25">
      <c r="A376" t="s">
        <v>140</v>
      </c>
      <c r="B376" t="s">
        <v>40</v>
      </c>
      <c r="C376" t="s">
        <v>41</v>
      </c>
      <c r="D376" t="s">
        <v>66</v>
      </c>
      <c r="E376" t="s">
        <v>22</v>
      </c>
      <c r="F376">
        <v>21</v>
      </c>
      <c r="G376">
        <v>5</v>
      </c>
      <c r="H376">
        <v>4</v>
      </c>
      <c r="I376">
        <v>22</v>
      </c>
      <c r="J376">
        <v>1160</v>
      </c>
      <c r="K376">
        <v>12</v>
      </c>
      <c r="L376">
        <v>0</v>
      </c>
      <c r="M376">
        <v>387</v>
      </c>
      <c r="N376" t="s">
        <v>58</v>
      </c>
      <c r="O376">
        <v>0.25</v>
      </c>
      <c r="P376">
        <v>6380</v>
      </c>
      <c r="Q376">
        <f>(Table1[[#This Row],[Closing_Stock]]*Table1[[#This Row],[Unit_Cost_INR]])</f>
        <v>25520</v>
      </c>
      <c r="R376">
        <f>(Table1[[#This Row],[Unit_Cost_INR]]*Table1[[#This Row],[Consumption]])</f>
        <v>4640</v>
      </c>
      <c r="S376">
        <f>IFERROR(Table1[[#This Row],[Annual_Consumption_Value_INR]]/Table1[[#This Row],[Inventory_Value_INR]],0)</f>
        <v>0.18181818181818182</v>
      </c>
      <c r="T376">
        <f>IFERROR(365/Table1[[#This Row],[Inventory_Turnover]],0)</f>
        <v>2007.5</v>
      </c>
      <c r="U376" t="str">
        <f>IF(Table1[[#This Row],[Consumption]]=0,"Non-Moving", IF(Table1[[#This Row],[Days_Since_Last_Movement]]&gt;90,"Slow-Moving","Active"))</f>
        <v>Slow-Moving</v>
      </c>
      <c r="V376">
        <f>SUM($Q$2:Q376)</f>
        <v>73945940</v>
      </c>
      <c r="W376">
        <f>Table1[[#This Row],[Cumulative_Inventory_Value]]/$AP$3</f>
        <v>0.97688854681600734</v>
      </c>
      <c r="X376" t="str">
        <f>IF(Table1[[#This Row],[Cumulative_Value_%]]&lt;80%,"A", IF(Table1[[#This Row],[Cumulative_Value_%]]&lt;=95%,"B","C"))</f>
        <v>C</v>
      </c>
      <c r="Y376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376">
        <f>Table1[[#This Row],[Consumption]]/365</f>
        <v>1.0958904109589041E-2</v>
      </c>
      <c r="AA376">
        <f>Table1[[#This Row],[Avg_Daily_Consumption]]*Table1[[#This Row],[Lead_Time_Days]]+Table1[[#This Row],[Safety_Stock]]</f>
        <v>1.1315068493150684</v>
      </c>
      <c r="AB376">
        <f>IFERROR(Table1[[#This Row],[Closing_Stock]]/Table1[[#This Row],[Avg_Daily_Consumption]],9999)</f>
        <v>2007.5</v>
      </c>
      <c r="AC376">
        <f>MAX(1,ROUNDUP(Table1[[#This Row],[Avg_Daily_Consumption]]*Table1[[#This Row],[Lead_Time_Days]]*0.8,0))</f>
        <v>1</v>
      </c>
      <c r="AD376" t="str">
        <f>IF(Table1[[#This Row],[Closing_Stock]]&lt;Table1[[#This Row],[Reorder_Point]],"Stock-out Risk","Adequate")</f>
        <v>Adequate</v>
      </c>
      <c r="AE376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376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376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376" s="11">
        <f>MAX(0,Table1[[#This Row],[Closing_Stock]]-Table1[[#This Row],[Reorder_Point]])</f>
        <v>20.86849315068493</v>
      </c>
      <c r="AI376" s="11">
        <f>Table1[[#This Row],[Excess_Stock_Units]]*Table1[[#This Row],[Unit_Cost_INR]]</f>
        <v>24207.452054794518</v>
      </c>
      <c r="AJ376" s="11">
        <f>IF(Table1[[#This Row],[Criticality]]="Critical",0,Table1[[#This Row],[Excess_Inventory_Value_INR]])</f>
        <v>24207.452054794518</v>
      </c>
      <c r="AK376" s="11">
        <f>IF(AND(Table1[[#This Row],[Criticality]]&lt;&gt;"Critical",OR(Table1[[#This Row],[Movement_Class]]="Slow-Moving",Table1[[#This Row],[Movement_Class]]="Non-Moving")),Table1[[#This Row],[Excess_Inventory_Value_INR]],0)</f>
        <v>24207.452054794518</v>
      </c>
    </row>
    <row r="377" spans="1:37" x14ac:dyDescent="0.25">
      <c r="A377" t="s">
        <v>287</v>
      </c>
      <c r="B377" t="s">
        <v>165</v>
      </c>
      <c r="C377" t="s">
        <v>32</v>
      </c>
      <c r="D377" t="s">
        <v>66</v>
      </c>
      <c r="E377" t="s">
        <v>22</v>
      </c>
      <c r="F377">
        <v>37</v>
      </c>
      <c r="G377">
        <v>45</v>
      </c>
      <c r="H377">
        <v>38</v>
      </c>
      <c r="I377">
        <v>44</v>
      </c>
      <c r="J377">
        <v>580</v>
      </c>
      <c r="K377">
        <v>6</v>
      </c>
      <c r="L377">
        <v>2</v>
      </c>
      <c r="M377">
        <v>3</v>
      </c>
      <c r="N377" t="s">
        <v>58</v>
      </c>
      <c r="O377">
        <v>0.254</v>
      </c>
      <c r="P377">
        <v>6482.08</v>
      </c>
      <c r="Q377">
        <f>(Table1[[#This Row],[Closing_Stock]]*Table1[[#This Row],[Unit_Cost_INR]])</f>
        <v>25520</v>
      </c>
      <c r="R377">
        <f>(Table1[[#This Row],[Unit_Cost_INR]]*Table1[[#This Row],[Consumption]])</f>
        <v>22040</v>
      </c>
      <c r="S377">
        <f>IFERROR(Table1[[#This Row],[Annual_Consumption_Value_INR]]/Table1[[#This Row],[Inventory_Value_INR]],0)</f>
        <v>0.86363636363636365</v>
      </c>
      <c r="T377">
        <f>IFERROR(365/Table1[[#This Row],[Inventory_Turnover]],0)</f>
        <v>422.63157894736844</v>
      </c>
      <c r="U377" t="str">
        <f>IF(Table1[[#This Row],[Consumption]]=0,"Non-Moving", IF(Table1[[#This Row],[Days_Since_Last_Movement]]&gt;90,"Slow-Moving","Active"))</f>
        <v>Active</v>
      </c>
      <c r="V377">
        <f>SUM($Q$2:Q377)</f>
        <v>73971460</v>
      </c>
      <c r="W377">
        <f>Table1[[#This Row],[Cumulative_Inventory_Value]]/$AP$3</f>
        <v>0.97722568764773854</v>
      </c>
      <c r="X377" t="str">
        <f>IF(Table1[[#This Row],[Cumulative_Value_%]]&lt;80%,"A", IF(Table1[[#This Row],[Cumulative_Value_%]]&lt;=95%,"B","C"))</f>
        <v>C</v>
      </c>
      <c r="Y377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377">
        <f>Table1[[#This Row],[Consumption]]/365</f>
        <v>0.10410958904109589</v>
      </c>
      <c r="AA377">
        <f>Table1[[#This Row],[Avg_Daily_Consumption]]*Table1[[#This Row],[Lead_Time_Days]]+Table1[[#This Row],[Safety_Stock]]</f>
        <v>1.6246575342465754</v>
      </c>
      <c r="AB377">
        <f>IFERROR(Table1[[#This Row],[Closing_Stock]]/Table1[[#This Row],[Avg_Daily_Consumption]],9999)</f>
        <v>422.63157894736844</v>
      </c>
      <c r="AC377">
        <f>MAX(1,ROUNDUP(Table1[[#This Row],[Avg_Daily_Consumption]]*Table1[[#This Row],[Lead_Time_Days]]*0.8,0))</f>
        <v>1</v>
      </c>
      <c r="AD377" t="str">
        <f>IF(Table1[[#This Row],[Closing_Stock]]&lt;Table1[[#This Row],[Reorder_Point]],"Stock-out Risk","Adequate")</f>
        <v>Adequate</v>
      </c>
      <c r="AE377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377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377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377" s="11">
        <f>MAX(0,Table1[[#This Row],[Closing_Stock]]-Table1[[#This Row],[Reorder_Point]])</f>
        <v>42.375342465753427</v>
      </c>
      <c r="AI377" s="11">
        <f>Table1[[#This Row],[Excess_Stock_Units]]*Table1[[#This Row],[Unit_Cost_INR]]</f>
        <v>24577.698630136987</v>
      </c>
      <c r="AJ377" s="11">
        <f>IF(Table1[[#This Row],[Criticality]]="Critical",0,Table1[[#This Row],[Excess_Inventory_Value_INR]])</f>
        <v>24577.698630136987</v>
      </c>
      <c r="AK377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378" spans="1:37" x14ac:dyDescent="0.25">
      <c r="A378" t="s">
        <v>209</v>
      </c>
      <c r="B378" t="s">
        <v>210</v>
      </c>
      <c r="C378" t="s">
        <v>32</v>
      </c>
      <c r="D378" t="s">
        <v>60</v>
      </c>
      <c r="E378" t="s">
        <v>46</v>
      </c>
      <c r="F378">
        <v>18</v>
      </c>
      <c r="G378">
        <v>23</v>
      </c>
      <c r="H378">
        <v>16</v>
      </c>
      <c r="I378">
        <v>25</v>
      </c>
      <c r="J378">
        <v>1010</v>
      </c>
      <c r="K378">
        <v>24</v>
      </c>
      <c r="L378">
        <v>0</v>
      </c>
      <c r="M378">
        <v>324</v>
      </c>
      <c r="N378" t="s">
        <v>23</v>
      </c>
      <c r="O378">
        <v>0.22600000000000001</v>
      </c>
      <c r="P378">
        <v>5706.5</v>
      </c>
      <c r="Q378">
        <f>(Table1[[#This Row],[Closing_Stock]]*Table1[[#This Row],[Unit_Cost_INR]])</f>
        <v>25250</v>
      </c>
      <c r="R378">
        <f>(Table1[[#This Row],[Unit_Cost_INR]]*Table1[[#This Row],[Consumption]])</f>
        <v>16160</v>
      </c>
      <c r="S378">
        <f>IFERROR(Table1[[#This Row],[Annual_Consumption_Value_INR]]/Table1[[#This Row],[Inventory_Value_INR]],0)</f>
        <v>0.64</v>
      </c>
      <c r="T378">
        <f>IFERROR(365/Table1[[#This Row],[Inventory_Turnover]],0)</f>
        <v>570.3125</v>
      </c>
      <c r="U378" t="str">
        <f>IF(Table1[[#This Row],[Consumption]]=0,"Non-Moving", IF(Table1[[#This Row],[Days_Since_Last_Movement]]&gt;90,"Slow-Moving","Active"))</f>
        <v>Slow-Moving</v>
      </c>
      <c r="V378">
        <f>SUM($Q$2:Q378)</f>
        <v>73996710</v>
      </c>
      <c r="W378">
        <f>Table1[[#This Row],[Cumulative_Inventory_Value]]/$AP$3</f>
        <v>0.97755926155060735</v>
      </c>
      <c r="X378" t="str">
        <f>IF(Table1[[#This Row],[Cumulative_Value_%]]&lt;80%,"A", IF(Table1[[#This Row],[Cumulative_Value_%]]&lt;=95%,"B","C"))</f>
        <v>C</v>
      </c>
      <c r="Y378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378">
        <f>Table1[[#This Row],[Consumption]]/365</f>
        <v>4.3835616438356165E-2</v>
      </c>
      <c r="AA378">
        <f>Table1[[#This Row],[Avg_Daily_Consumption]]*Table1[[#This Row],[Lead_Time_Days]]+Table1[[#This Row],[Safety_Stock]]</f>
        <v>2.0520547945205481</v>
      </c>
      <c r="AB378">
        <f>IFERROR(Table1[[#This Row],[Closing_Stock]]/Table1[[#This Row],[Avg_Daily_Consumption]],9999)</f>
        <v>570.3125</v>
      </c>
      <c r="AC378">
        <f>MAX(1,ROUNDUP(Table1[[#This Row],[Avg_Daily_Consumption]]*Table1[[#This Row],[Lead_Time_Days]]*0.8,0))</f>
        <v>1</v>
      </c>
      <c r="AD378" t="str">
        <f>IF(Table1[[#This Row],[Closing_Stock]]&lt;Table1[[#This Row],[Reorder_Point]],"Stock-out Risk","Adequate")</f>
        <v>Adequate</v>
      </c>
      <c r="AE378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378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378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378" s="11">
        <f>MAX(0,Table1[[#This Row],[Closing_Stock]]-Table1[[#This Row],[Reorder_Point]])</f>
        <v>22.947945205479453</v>
      </c>
      <c r="AI378" s="11">
        <f>Table1[[#This Row],[Excess_Stock_Units]]*Table1[[#This Row],[Unit_Cost_INR]]</f>
        <v>23177.424657534248</v>
      </c>
      <c r="AJ378" s="11">
        <f>IF(Table1[[#This Row],[Criticality]]="Critical",0,Table1[[#This Row],[Excess_Inventory_Value_INR]])</f>
        <v>23177.424657534248</v>
      </c>
      <c r="AK378" s="11">
        <f>IF(AND(Table1[[#This Row],[Criticality]]&lt;&gt;"Critical",OR(Table1[[#This Row],[Movement_Class]]="Slow-Moving",Table1[[#This Row],[Movement_Class]]="Non-Moving")),Table1[[#This Row],[Excess_Inventory_Value_INR]],0)</f>
        <v>23177.424657534248</v>
      </c>
    </row>
    <row r="379" spans="1:37" x14ac:dyDescent="0.25">
      <c r="A379" t="s">
        <v>198</v>
      </c>
      <c r="B379" t="s">
        <v>97</v>
      </c>
      <c r="C379" t="s">
        <v>52</v>
      </c>
      <c r="D379" t="s">
        <v>45</v>
      </c>
      <c r="E379" t="s">
        <v>28</v>
      </c>
      <c r="F379">
        <v>18</v>
      </c>
      <c r="G379">
        <v>17</v>
      </c>
      <c r="H379">
        <v>15</v>
      </c>
      <c r="I379">
        <v>20</v>
      </c>
      <c r="J379">
        <v>1260</v>
      </c>
      <c r="K379">
        <v>12</v>
      </c>
      <c r="L379">
        <v>0</v>
      </c>
      <c r="M379">
        <v>3</v>
      </c>
      <c r="N379" t="s">
        <v>38</v>
      </c>
      <c r="O379">
        <v>0.27200000000000002</v>
      </c>
      <c r="P379">
        <v>6854.4000000000005</v>
      </c>
      <c r="Q379">
        <f>(Table1[[#This Row],[Closing_Stock]]*Table1[[#This Row],[Unit_Cost_INR]])</f>
        <v>25200</v>
      </c>
      <c r="R379">
        <f>(Table1[[#This Row],[Unit_Cost_INR]]*Table1[[#This Row],[Consumption]])</f>
        <v>18900</v>
      </c>
      <c r="S379">
        <f>IFERROR(Table1[[#This Row],[Annual_Consumption_Value_INR]]/Table1[[#This Row],[Inventory_Value_INR]],0)</f>
        <v>0.75</v>
      </c>
      <c r="T379">
        <f>IFERROR(365/Table1[[#This Row],[Inventory_Turnover]],0)</f>
        <v>486.66666666666669</v>
      </c>
      <c r="U379" t="str">
        <f>IF(Table1[[#This Row],[Consumption]]=0,"Non-Moving", IF(Table1[[#This Row],[Days_Since_Last_Movement]]&gt;90,"Slow-Moving","Active"))</f>
        <v>Active</v>
      </c>
      <c r="V379">
        <f>SUM($Q$2:Q379)</f>
        <v>74021910</v>
      </c>
      <c r="W379">
        <f>Table1[[#This Row],[Cumulative_Inventory_Value]]/$AP$3</f>
        <v>0.97789217491109426</v>
      </c>
      <c r="X379" t="str">
        <f>IF(Table1[[#This Row],[Cumulative_Value_%]]&lt;80%,"A", IF(Table1[[#This Row],[Cumulative_Value_%]]&lt;=95%,"B","C"))</f>
        <v>C</v>
      </c>
      <c r="Y379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379">
        <f>Table1[[#This Row],[Consumption]]/365</f>
        <v>4.1095890410958902E-2</v>
      </c>
      <c r="AA379">
        <f>Table1[[#This Row],[Avg_Daily_Consumption]]*Table1[[#This Row],[Lead_Time_Days]]+Table1[[#This Row],[Safety_Stock]]</f>
        <v>1.4931506849315068</v>
      </c>
      <c r="AB379">
        <f>IFERROR(Table1[[#This Row],[Closing_Stock]]/Table1[[#This Row],[Avg_Daily_Consumption]],9999)</f>
        <v>486.66666666666669</v>
      </c>
      <c r="AC379">
        <f>MAX(1,ROUNDUP(Table1[[#This Row],[Avg_Daily_Consumption]]*Table1[[#This Row],[Lead_Time_Days]]*0.8,0))</f>
        <v>1</v>
      </c>
      <c r="AD379" t="str">
        <f>IF(Table1[[#This Row],[Closing_Stock]]&lt;Table1[[#This Row],[Reorder_Point]],"Stock-out Risk","Adequate")</f>
        <v>Adequate</v>
      </c>
      <c r="AE379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379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379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379" s="11">
        <f>MAX(0,Table1[[#This Row],[Closing_Stock]]-Table1[[#This Row],[Reorder_Point]])</f>
        <v>18.506849315068493</v>
      </c>
      <c r="AI379" s="11">
        <f>Table1[[#This Row],[Excess_Stock_Units]]*Table1[[#This Row],[Unit_Cost_INR]]</f>
        <v>23318.630136986299</v>
      </c>
      <c r="AJ379" s="11">
        <f>IF(Table1[[#This Row],[Criticality]]="Critical",0,Table1[[#This Row],[Excess_Inventory_Value_INR]])</f>
        <v>23318.630136986299</v>
      </c>
      <c r="AK379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380" spans="1:37" x14ac:dyDescent="0.25">
      <c r="A380" t="s">
        <v>334</v>
      </c>
      <c r="B380" t="s">
        <v>93</v>
      </c>
      <c r="C380" t="s">
        <v>26</v>
      </c>
      <c r="D380" t="s">
        <v>21</v>
      </c>
      <c r="E380" t="s">
        <v>37</v>
      </c>
      <c r="F380">
        <v>20</v>
      </c>
      <c r="G380">
        <v>29</v>
      </c>
      <c r="H380">
        <v>18</v>
      </c>
      <c r="I380">
        <v>31</v>
      </c>
      <c r="J380">
        <v>810</v>
      </c>
      <c r="K380">
        <v>35</v>
      </c>
      <c r="L380">
        <v>1</v>
      </c>
      <c r="M380">
        <v>61</v>
      </c>
      <c r="N380" t="s">
        <v>38</v>
      </c>
      <c r="O380">
        <v>0.17199999999999999</v>
      </c>
      <c r="P380">
        <v>4318.92</v>
      </c>
      <c r="Q380">
        <f>(Table1[[#This Row],[Closing_Stock]]*Table1[[#This Row],[Unit_Cost_INR]])</f>
        <v>25110</v>
      </c>
      <c r="R380">
        <f>(Table1[[#This Row],[Unit_Cost_INR]]*Table1[[#This Row],[Consumption]])</f>
        <v>14580</v>
      </c>
      <c r="S380">
        <f>IFERROR(Table1[[#This Row],[Annual_Consumption_Value_INR]]/Table1[[#This Row],[Inventory_Value_INR]],0)</f>
        <v>0.58064516129032262</v>
      </c>
      <c r="T380">
        <f>IFERROR(365/Table1[[#This Row],[Inventory_Turnover]],0)</f>
        <v>628.61111111111109</v>
      </c>
      <c r="U380" t="str">
        <f>IF(Table1[[#This Row],[Consumption]]=0,"Non-Moving", IF(Table1[[#This Row],[Days_Since_Last_Movement]]&gt;90,"Slow-Moving","Active"))</f>
        <v>Active</v>
      </c>
      <c r="V380">
        <f>SUM($Q$2:Q380)</f>
        <v>74047020</v>
      </c>
      <c r="W380">
        <f>Table1[[#This Row],[Cumulative_Inventory_Value]]/$AP$3</f>
        <v>0.97822389929529374</v>
      </c>
      <c r="X380" t="str">
        <f>IF(Table1[[#This Row],[Cumulative_Value_%]]&lt;80%,"A", IF(Table1[[#This Row],[Cumulative_Value_%]]&lt;=95%,"B","C"))</f>
        <v>C</v>
      </c>
      <c r="Y380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380">
        <f>Table1[[#This Row],[Consumption]]/365</f>
        <v>4.9315068493150684E-2</v>
      </c>
      <c r="AA380">
        <f>Table1[[#This Row],[Avg_Daily_Consumption]]*Table1[[#This Row],[Lead_Time_Days]]+Table1[[#This Row],[Safety_Stock]]</f>
        <v>3.7260273972602738</v>
      </c>
      <c r="AB380">
        <f>IFERROR(Table1[[#This Row],[Closing_Stock]]/Table1[[#This Row],[Avg_Daily_Consumption]],9999)</f>
        <v>628.61111111111109</v>
      </c>
      <c r="AC380">
        <f>MAX(1,ROUNDUP(Table1[[#This Row],[Avg_Daily_Consumption]]*Table1[[#This Row],[Lead_Time_Days]]*0.8,0))</f>
        <v>2</v>
      </c>
      <c r="AD380" t="str">
        <f>IF(Table1[[#This Row],[Closing_Stock]]&lt;Table1[[#This Row],[Reorder_Point]],"Stock-out Risk","Adequate")</f>
        <v>Adequate</v>
      </c>
      <c r="AE380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380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380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380" s="11">
        <f>MAX(0,Table1[[#This Row],[Closing_Stock]]-Table1[[#This Row],[Reorder_Point]])</f>
        <v>27.273972602739725</v>
      </c>
      <c r="AI380" s="11">
        <f>Table1[[#This Row],[Excess_Stock_Units]]*Table1[[#This Row],[Unit_Cost_INR]]</f>
        <v>22091.917808219179</v>
      </c>
      <c r="AJ380" s="11">
        <f>IF(Table1[[#This Row],[Criticality]]="Critical",0,Table1[[#This Row],[Excess_Inventory_Value_INR]])</f>
        <v>0</v>
      </c>
      <c r="AK380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381" spans="1:37" x14ac:dyDescent="0.25">
      <c r="A381" t="s">
        <v>463</v>
      </c>
      <c r="B381" t="s">
        <v>95</v>
      </c>
      <c r="C381" t="s">
        <v>26</v>
      </c>
      <c r="D381" t="s">
        <v>27</v>
      </c>
      <c r="E381" t="s">
        <v>46</v>
      </c>
      <c r="F381">
        <v>23</v>
      </c>
      <c r="G381">
        <v>30</v>
      </c>
      <c r="H381">
        <v>31</v>
      </c>
      <c r="I381">
        <v>22</v>
      </c>
      <c r="J381">
        <v>1140</v>
      </c>
      <c r="K381">
        <v>8</v>
      </c>
      <c r="L381">
        <v>1</v>
      </c>
      <c r="M381">
        <v>182</v>
      </c>
      <c r="N381" t="s">
        <v>38</v>
      </c>
      <c r="O381">
        <v>0.25</v>
      </c>
      <c r="P381">
        <v>6270</v>
      </c>
      <c r="Q381">
        <f>(Table1[[#This Row],[Closing_Stock]]*Table1[[#This Row],[Unit_Cost_INR]])</f>
        <v>25080</v>
      </c>
      <c r="R381">
        <f>(Table1[[#This Row],[Unit_Cost_INR]]*Table1[[#This Row],[Consumption]])</f>
        <v>35340</v>
      </c>
      <c r="S381">
        <f>IFERROR(Table1[[#This Row],[Annual_Consumption_Value_INR]]/Table1[[#This Row],[Inventory_Value_INR]],0)</f>
        <v>1.4090909090909092</v>
      </c>
      <c r="T381">
        <f>IFERROR(365/Table1[[#This Row],[Inventory_Turnover]],0)</f>
        <v>259.0322580645161</v>
      </c>
      <c r="U381" t="str">
        <f>IF(Table1[[#This Row],[Consumption]]=0,"Non-Moving", IF(Table1[[#This Row],[Days_Since_Last_Movement]]&gt;90,"Slow-Moving","Active"))</f>
        <v>Slow-Moving</v>
      </c>
      <c r="V381">
        <f>SUM($Q$2:Q381)</f>
        <v>74072100</v>
      </c>
      <c r="W381">
        <f>Table1[[#This Row],[Cumulative_Inventory_Value]]/$AP$3</f>
        <v>0.97855522735406408</v>
      </c>
      <c r="X381" t="str">
        <f>IF(Table1[[#This Row],[Cumulative_Value_%]]&lt;80%,"A", IF(Table1[[#This Row],[Cumulative_Value_%]]&lt;=95%,"B","C"))</f>
        <v>C</v>
      </c>
      <c r="Y381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381">
        <f>Table1[[#This Row],[Consumption]]/365</f>
        <v>8.4931506849315067E-2</v>
      </c>
      <c r="AA381">
        <f>Table1[[#This Row],[Avg_Daily_Consumption]]*Table1[[#This Row],[Lead_Time_Days]]+Table1[[#This Row],[Safety_Stock]]</f>
        <v>1.6794520547945204</v>
      </c>
      <c r="AB381">
        <f>IFERROR(Table1[[#This Row],[Closing_Stock]]/Table1[[#This Row],[Avg_Daily_Consumption]],9999)</f>
        <v>259.03225806451616</v>
      </c>
      <c r="AC381">
        <f>MAX(1,ROUNDUP(Table1[[#This Row],[Avg_Daily_Consumption]]*Table1[[#This Row],[Lead_Time_Days]]*0.8,0))</f>
        <v>1</v>
      </c>
      <c r="AD381" t="str">
        <f>IF(Table1[[#This Row],[Closing_Stock]]&lt;Table1[[#This Row],[Reorder_Point]],"Stock-out Risk","Adequate")</f>
        <v>Adequate</v>
      </c>
      <c r="AE381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381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381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381" s="11">
        <f>MAX(0,Table1[[#This Row],[Closing_Stock]]-Table1[[#This Row],[Reorder_Point]])</f>
        <v>20.32054794520548</v>
      </c>
      <c r="AI381" s="11">
        <f>Table1[[#This Row],[Excess_Stock_Units]]*Table1[[#This Row],[Unit_Cost_INR]]</f>
        <v>23165.424657534248</v>
      </c>
      <c r="AJ381" s="11">
        <f>IF(Table1[[#This Row],[Criticality]]="Critical",0,Table1[[#This Row],[Excess_Inventory_Value_INR]])</f>
        <v>23165.424657534248</v>
      </c>
      <c r="AK381" s="11">
        <f>IF(AND(Table1[[#This Row],[Criticality]]&lt;&gt;"Critical",OR(Table1[[#This Row],[Movement_Class]]="Slow-Moving",Table1[[#This Row],[Movement_Class]]="Non-Moving")),Table1[[#This Row],[Excess_Inventory_Value_INR]],0)</f>
        <v>23165.424657534248</v>
      </c>
    </row>
    <row r="382" spans="1:37" x14ac:dyDescent="0.25">
      <c r="A382" t="s">
        <v>419</v>
      </c>
      <c r="B382" t="s">
        <v>35</v>
      </c>
      <c r="C382" t="s">
        <v>36</v>
      </c>
      <c r="D382" t="s">
        <v>45</v>
      </c>
      <c r="E382" t="s">
        <v>46</v>
      </c>
      <c r="F382">
        <v>13</v>
      </c>
      <c r="G382">
        <v>9</v>
      </c>
      <c r="H382">
        <v>7</v>
      </c>
      <c r="I382">
        <v>15</v>
      </c>
      <c r="J382">
        <v>1670</v>
      </c>
      <c r="K382">
        <v>27</v>
      </c>
      <c r="L382">
        <v>0</v>
      </c>
      <c r="M382">
        <v>8</v>
      </c>
      <c r="N382" t="s">
        <v>29</v>
      </c>
      <c r="O382">
        <v>0.156</v>
      </c>
      <c r="P382">
        <v>3907.8</v>
      </c>
      <c r="Q382">
        <f>(Table1[[#This Row],[Closing_Stock]]*Table1[[#This Row],[Unit_Cost_INR]])</f>
        <v>25050</v>
      </c>
      <c r="R382">
        <f>(Table1[[#This Row],[Unit_Cost_INR]]*Table1[[#This Row],[Consumption]])</f>
        <v>11690</v>
      </c>
      <c r="S382">
        <f>IFERROR(Table1[[#This Row],[Annual_Consumption_Value_INR]]/Table1[[#This Row],[Inventory_Value_INR]],0)</f>
        <v>0.46666666666666667</v>
      </c>
      <c r="T382">
        <f>IFERROR(365/Table1[[#This Row],[Inventory_Turnover]],0)</f>
        <v>782.14285714285711</v>
      </c>
      <c r="U382" t="str">
        <f>IF(Table1[[#This Row],[Consumption]]=0,"Non-Moving", IF(Table1[[#This Row],[Days_Since_Last_Movement]]&gt;90,"Slow-Moving","Active"))</f>
        <v>Active</v>
      </c>
      <c r="V382">
        <f>SUM($Q$2:Q382)</f>
        <v>74097150</v>
      </c>
      <c r="W382">
        <f>Table1[[#This Row],[Cumulative_Inventory_Value]]/$AP$3</f>
        <v>0.97888615908740517</v>
      </c>
      <c r="X382" t="str">
        <f>IF(Table1[[#This Row],[Cumulative_Value_%]]&lt;80%,"A", IF(Table1[[#This Row],[Cumulative_Value_%]]&lt;=95%,"B","C"))</f>
        <v>C</v>
      </c>
      <c r="Y382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382">
        <f>Table1[[#This Row],[Consumption]]/365</f>
        <v>1.9178082191780823E-2</v>
      </c>
      <c r="AA382">
        <f>Table1[[#This Row],[Avg_Daily_Consumption]]*Table1[[#This Row],[Lead_Time_Days]]+Table1[[#This Row],[Safety_Stock]]</f>
        <v>1.5178082191780822</v>
      </c>
      <c r="AB382">
        <f>IFERROR(Table1[[#This Row],[Closing_Stock]]/Table1[[#This Row],[Avg_Daily_Consumption]],9999)</f>
        <v>782.14285714285711</v>
      </c>
      <c r="AC382">
        <f>MAX(1,ROUNDUP(Table1[[#This Row],[Avg_Daily_Consumption]]*Table1[[#This Row],[Lead_Time_Days]]*0.8,0))</f>
        <v>1</v>
      </c>
      <c r="AD382" t="str">
        <f>IF(Table1[[#This Row],[Closing_Stock]]&lt;Table1[[#This Row],[Reorder_Point]],"Stock-out Risk","Adequate")</f>
        <v>Adequate</v>
      </c>
      <c r="AE382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382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382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382" s="11">
        <f>MAX(0,Table1[[#This Row],[Closing_Stock]]-Table1[[#This Row],[Reorder_Point]])</f>
        <v>13.482191780821918</v>
      </c>
      <c r="AI382" s="11">
        <f>Table1[[#This Row],[Excess_Stock_Units]]*Table1[[#This Row],[Unit_Cost_INR]]</f>
        <v>22515.260273972603</v>
      </c>
      <c r="AJ382" s="11">
        <f>IF(Table1[[#This Row],[Criticality]]="Critical",0,Table1[[#This Row],[Excess_Inventory_Value_INR]])</f>
        <v>22515.260273972603</v>
      </c>
      <c r="AK382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383" spans="1:37" x14ac:dyDescent="0.25">
      <c r="A383" t="s">
        <v>364</v>
      </c>
      <c r="B383" t="s">
        <v>104</v>
      </c>
      <c r="C383" t="s">
        <v>41</v>
      </c>
      <c r="D383" t="s">
        <v>21</v>
      </c>
      <c r="E383" t="s">
        <v>46</v>
      </c>
      <c r="F383">
        <v>16</v>
      </c>
      <c r="G383">
        <v>12</v>
      </c>
      <c r="H383">
        <v>15</v>
      </c>
      <c r="I383">
        <v>20</v>
      </c>
      <c r="J383">
        <v>1250</v>
      </c>
      <c r="K383">
        <v>23</v>
      </c>
      <c r="L383">
        <v>0</v>
      </c>
      <c r="M383">
        <v>27</v>
      </c>
      <c r="N383" t="s">
        <v>38</v>
      </c>
      <c r="O383">
        <v>0.182</v>
      </c>
      <c r="P383">
        <v>4550</v>
      </c>
      <c r="Q383">
        <f>(Table1[[#This Row],[Closing_Stock]]*Table1[[#This Row],[Unit_Cost_INR]])</f>
        <v>25000</v>
      </c>
      <c r="R383">
        <f>(Table1[[#This Row],[Unit_Cost_INR]]*Table1[[#This Row],[Consumption]])</f>
        <v>18750</v>
      </c>
      <c r="S383">
        <f>IFERROR(Table1[[#This Row],[Annual_Consumption_Value_INR]]/Table1[[#This Row],[Inventory_Value_INR]],0)</f>
        <v>0.75</v>
      </c>
      <c r="T383">
        <f>IFERROR(365/Table1[[#This Row],[Inventory_Turnover]],0)</f>
        <v>486.66666666666669</v>
      </c>
      <c r="U383" t="str">
        <f>IF(Table1[[#This Row],[Consumption]]=0,"Non-Moving", IF(Table1[[#This Row],[Days_Since_Last_Movement]]&gt;90,"Slow-Moving","Active"))</f>
        <v>Active</v>
      </c>
      <c r="V383">
        <f>SUM($Q$2:Q383)</f>
        <v>74122150</v>
      </c>
      <c r="W383">
        <f>Table1[[#This Row],[Cumulative_Inventory_Value]]/$AP$3</f>
        <v>0.97921643027836447</v>
      </c>
      <c r="X383" t="str">
        <f>IF(Table1[[#This Row],[Cumulative_Value_%]]&lt;80%,"A", IF(Table1[[#This Row],[Cumulative_Value_%]]&lt;=95%,"B","C"))</f>
        <v>C</v>
      </c>
      <c r="Y383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383">
        <f>Table1[[#This Row],[Consumption]]/365</f>
        <v>4.1095890410958902E-2</v>
      </c>
      <c r="AA383">
        <f>Table1[[#This Row],[Avg_Daily_Consumption]]*Table1[[#This Row],[Lead_Time_Days]]+Table1[[#This Row],[Safety_Stock]]</f>
        <v>1.9452054794520548</v>
      </c>
      <c r="AB383">
        <f>IFERROR(Table1[[#This Row],[Closing_Stock]]/Table1[[#This Row],[Avg_Daily_Consumption]],9999)</f>
        <v>486.66666666666669</v>
      </c>
      <c r="AC383">
        <f>MAX(1,ROUNDUP(Table1[[#This Row],[Avg_Daily_Consumption]]*Table1[[#This Row],[Lead_Time_Days]]*0.8,0))</f>
        <v>1</v>
      </c>
      <c r="AD383" t="str">
        <f>IF(Table1[[#This Row],[Closing_Stock]]&lt;Table1[[#This Row],[Reorder_Point]],"Stock-out Risk","Adequate")</f>
        <v>Adequate</v>
      </c>
      <c r="AE383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383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383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383" s="11">
        <f>MAX(0,Table1[[#This Row],[Closing_Stock]]-Table1[[#This Row],[Reorder_Point]])</f>
        <v>18.054794520547944</v>
      </c>
      <c r="AI383" s="11">
        <f>Table1[[#This Row],[Excess_Stock_Units]]*Table1[[#This Row],[Unit_Cost_INR]]</f>
        <v>22568.493150684928</v>
      </c>
      <c r="AJ383" s="11">
        <f>IF(Table1[[#This Row],[Criticality]]="Critical",0,Table1[[#This Row],[Excess_Inventory_Value_INR]])</f>
        <v>22568.493150684928</v>
      </c>
      <c r="AK383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384" spans="1:37" x14ac:dyDescent="0.25">
      <c r="A384" t="s">
        <v>265</v>
      </c>
      <c r="B384" t="s">
        <v>184</v>
      </c>
      <c r="C384" t="s">
        <v>26</v>
      </c>
      <c r="D384" t="s">
        <v>66</v>
      </c>
      <c r="E384" t="s">
        <v>37</v>
      </c>
      <c r="F384">
        <v>34</v>
      </c>
      <c r="G384">
        <v>31</v>
      </c>
      <c r="H384">
        <v>0</v>
      </c>
      <c r="I384">
        <v>62</v>
      </c>
      <c r="J384">
        <v>390</v>
      </c>
      <c r="K384">
        <v>17</v>
      </c>
      <c r="L384">
        <v>0</v>
      </c>
      <c r="M384">
        <v>421</v>
      </c>
      <c r="N384" t="s">
        <v>58</v>
      </c>
      <c r="O384">
        <v>0.22700000000000001</v>
      </c>
      <c r="P384">
        <v>5488.8600000000006</v>
      </c>
      <c r="Q384">
        <f>(Table1[[#This Row],[Closing_Stock]]*Table1[[#This Row],[Unit_Cost_INR]])</f>
        <v>24180</v>
      </c>
      <c r="R384">
        <f>(Table1[[#This Row],[Unit_Cost_INR]]*Table1[[#This Row],[Consumption]])</f>
        <v>0</v>
      </c>
      <c r="S384">
        <f>IFERROR(Table1[[#This Row],[Annual_Consumption_Value_INR]]/Table1[[#This Row],[Inventory_Value_INR]],0)</f>
        <v>0</v>
      </c>
      <c r="T384">
        <f>IFERROR(365/Table1[[#This Row],[Inventory_Turnover]],0)</f>
        <v>0</v>
      </c>
      <c r="U384" t="str">
        <f>IF(Table1[[#This Row],[Consumption]]=0,"Non-Moving", IF(Table1[[#This Row],[Days_Since_Last_Movement]]&gt;90,"Slow-Moving","Active"))</f>
        <v>Non-Moving</v>
      </c>
      <c r="V384">
        <f>SUM($Q$2:Q384)</f>
        <v>74146330</v>
      </c>
      <c r="W384">
        <f>Table1[[#This Row],[Cumulative_Inventory_Value]]/$AP$3</f>
        <v>0.97953586857426023</v>
      </c>
      <c r="X384" t="str">
        <f>IF(Table1[[#This Row],[Cumulative_Value_%]]&lt;80%,"A", IF(Table1[[#This Row],[Cumulative_Value_%]]&lt;=95%,"B","C"))</f>
        <v>C</v>
      </c>
      <c r="Y384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Review</v>
      </c>
      <c r="Z384">
        <f>Table1[[#This Row],[Consumption]]/365</f>
        <v>0</v>
      </c>
      <c r="AA384">
        <f>Table1[[#This Row],[Avg_Daily_Consumption]]*Table1[[#This Row],[Lead_Time_Days]]+Table1[[#This Row],[Safety_Stock]]</f>
        <v>1</v>
      </c>
      <c r="AB384">
        <f>IFERROR(Table1[[#This Row],[Closing_Stock]]/Table1[[#This Row],[Avg_Daily_Consumption]],9999)</f>
        <v>9999</v>
      </c>
      <c r="AC384">
        <f>MAX(1,ROUNDUP(Table1[[#This Row],[Avg_Daily_Consumption]]*Table1[[#This Row],[Lead_Time_Days]]*0.8,0))</f>
        <v>1</v>
      </c>
      <c r="AD384" t="str">
        <f>IF(Table1[[#This Row],[Closing_Stock]]&lt;Table1[[#This Row],[Reorder_Point]],"Stock-out Risk","Adequate")</f>
        <v>Adequate</v>
      </c>
      <c r="AE384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384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384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384" s="11">
        <f>MAX(0,Table1[[#This Row],[Closing_Stock]]-Table1[[#This Row],[Reorder_Point]])</f>
        <v>61</v>
      </c>
      <c r="AI384" s="11">
        <f>Table1[[#This Row],[Excess_Stock_Units]]*Table1[[#This Row],[Unit_Cost_INR]]</f>
        <v>23790</v>
      </c>
      <c r="AJ384" s="11">
        <f>IF(Table1[[#This Row],[Criticality]]="Critical",0,Table1[[#This Row],[Excess_Inventory_Value_INR]])</f>
        <v>0</v>
      </c>
      <c r="AK384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385" spans="1:37" x14ac:dyDescent="0.25">
      <c r="A385" t="s">
        <v>282</v>
      </c>
      <c r="B385" t="s">
        <v>104</v>
      </c>
      <c r="C385" t="s">
        <v>41</v>
      </c>
      <c r="D385" t="s">
        <v>60</v>
      </c>
      <c r="E385" t="s">
        <v>46</v>
      </c>
      <c r="F385">
        <v>19</v>
      </c>
      <c r="G385">
        <v>8</v>
      </c>
      <c r="H385">
        <v>6</v>
      </c>
      <c r="I385">
        <v>21</v>
      </c>
      <c r="J385">
        <v>1150</v>
      </c>
      <c r="K385">
        <v>28</v>
      </c>
      <c r="L385">
        <v>0</v>
      </c>
      <c r="M385">
        <v>3</v>
      </c>
      <c r="N385" t="s">
        <v>23</v>
      </c>
      <c r="O385">
        <v>0.27400000000000002</v>
      </c>
      <c r="P385">
        <v>6617.1</v>
      </c>
      <c r="Q385">
        <f>(Table1[[#This Row],[Closing_Stock]]*Table1[[#This Row],[Unit_Cost_INR]])</f>
        <v>24150</v>
      </c>
      <c r="R385">
        <f>(Table1[[#This Row],[Unit_Cost_INR]]*Table1[[#This Row],[Consumption]])</f>
        <v>6900</v>
      </c>
      <c r="S385">
        <f>IFERROR(Table1[[#This Row],[Annual_Consumption_Value_INR]]/Table1[[#This Row],[Inventory_Value_INR]],0)</f>
        <v>0.2857142857142857</v>
      </c>
      <c r="T385">
        <f>IFERROR(365/Table1[[#This Row],[Inventory_Turnover]],0)</f>
        <v>1277.5</v>
      </c>
      <c r="U385" t="str">
        <f>IF(Table1[[#This Row],[Consumption]]=0,"Non-Moving", IF(Table1[[#This Row],[Days_Since_Last_Movement]]&gt;90,"Slow-Moving","Active"))</f>
        <v>Active</v>
      </c>
      <c r="V385">
        <f>SUM($Q$2:Q385)</f>
        <v>74170480</v>
      </c>
      <c r="W385">
        <f>Table1[[#This Row],[Cumulative_Inventory_Value]]/$AP$3</f>
        <v>0.97985491054472684</v>
      </c>
      <c r="X385" t="str">
        <f>IF(Table1[[#This Row],[Cumulative_Value_%]]&lt;80%,"A", IF(Table1[[#This Row],[Cumulative_Value_%]]&lt;=95%,"B","C"))</f>
        <v>C</v>
      </c>
      <c r="Y385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385">
        <f>Table1[[#This Row],[Consumption]]/365</f>
        <v>1.643835616438356E-2</v>
      </c>
      <c r="AA385">
        <f>Table1[[#This Row],[Avg_Daily_Consumption]]*Table1[[#This Row],[Lead_Time_Days]]+Table1[[#This Row],[Safety_Stock]]</f>
        <v>1.4602739726027396</v>
      </c>
      <c r="AB385">
        <f>IFERROR(Table1[[#This Row],[Closing_Stock]]/Table1[[#This Row],[Avg_Daily_Consumption]],9999)</f>
        <v>1277.5000000000002</v>
      </c>
      <c r="AC385">
        <f>MAX(1,ROUNDUP(Table1[[#This Row],[Avg_Daily_Consumption]]*Table1[[#This Row],[Lead_Time_Days]]*0.8,0))</f>
        <v>1</v>
      </c>
      <c r="AD385" t="str">
        <f>IF(Table1[[#This Row],[Closing_Stock]]&lt;Table1[[#This Row],[Reorder_Point]],"Stock-out Risk","Adequate")</f>
        <v>Adequate</v>
      </c>
      <c r="AE385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385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385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385" s="11">
        <f>MAX(0,Table1[[#This Row],[Closing_Stock]]-Table1[[#This Row],[Reorder_Point]])</f>
        <v>19.539726027397261</v>
      </c>
      <c r="AI385" s="11">
        <f>Table1[[#This Row],[Excess_Stock_Units]]*Table1[[#This Row],[Unit_Cost_INR]]</f>
        <v>22470.68493150685</v>
      </c>
      <c r="AJ385" s="11">
        <f>IF(Table1[[#This Row],[Criticality]]="Critical",0,Table1[[#This Row],[Excess_Inventory_Value_INR]])</f>
        <v>22470.68493150685</v>
      </c>
      <c r="AK385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386" spans="1:37" x14ac:dyDescent="0.25">
      <c r="A386" t="s">
        <v>226</v>
      </c>
      <c r="B386" t="s">
        <v>71</v>
      </c>
      <c r="C386" t="s">
        <v>20</v>
      </c>
      <c r="D386" t="s">
        <v>42</v>
      </c>
      <c r="E386" t="s">
        <v>22</v>
      </c>
      <c r="F386">
        <v>8</v>
      </c>
      <c r="G386">
        <v>12</v>
      </c>
      <c r="H386">
        <v>7</v>
      </c>
      <c r="I386">
        <v>13</v>
      </c>
      <c r="J386">
        <v>1850</v>
      </c>
      <c r="K386">
        <v>24</v>
      </c>
      <c r="L386">
        <v>0</v>
      </c>
      <c r="M386">
        <v>123</v>
      </c>
      <c r="N386" t="s">
        <v>23</v>
      </c>
      <c r="O386">
        <v>0.22800000000000001</v>
      </c>
      <c r="P386">
        <v>5483.4000000000005</v>
      </c>
      <c r="Q386">
        <f>(Table1[[#This Row],[Closing_Stock]]*Table1[[#This Row],[Unit_Cost_INR]])</f>
        <v>24050</v>
      </c>
      <c r="R386">
        <f>(Table1[[#This Row],[Unit_Cost_INR]]*Table1[[#This Row],[Consumption]])</f>
        <v>12950</v>
      </c>
      <c r="S386">
        <f>IFERROR(Table1[[#This Row],[Annual_Consumption_Value_INR]]/Table1[[#This Row],[Inventory_Value_INR]],0)</f>
        <v>0.53846153846153844</v>
      </c>
      <c r="T386">
        <f>IFERROR(365/Table1[[#This Row],[Inventory_Turnover]],0)</f>
        <v>677.85714285714289</v>
      </c>
      <c r="U386" t="str">
        <f>IF(Table1[[#This Row],[Consumption]]=0,"Non-Moving", IF(Table1[[#This Row],[Days_Since_Last_Movement]]&gt;90,"Slow-Moving","Active"))</f>
        <v>Slow-Moving</v>
      </c>
      <c r="V386">
        <f>SUM($Q$2:Q386)</f>
        <v>74194530</v>
      </c>
      <c r="W386">
        <f>Table1[[#This Row],[Cumulative_Inventory_Value]]/$AP$3</f>
        <v>0.98017263143042965</v>
      </c>
      <c r="X386" t="str">
        <f>IF(Table1[[#This Row],[Cumulative_Value_%]]&lt;80%,"A", IF(Table1[[#This Row],[Cumulative_Value_%]]&lt;=95%,"B","C"))</f>
        <v>C</v>
      </c>
      <c r="Y386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386">
        <f>Table1[[#This Row],[Consumption]]/365</f>
        <v>1.9178082191780823E-2</v>
      </c>
      <c r="AA386">
        <f>Table1[[#This Row],[Avg_Daily_Consumption]]*Table1[[#This Row],[Lead_Time_Days]]+Table1[[#This Row],[Safety_Stock]]</f>
        <v>1.4602739726027396</v>
      </c>
      <c r="AB386">
        <f>IFERROR(Table1[[#This Row],[Closing_Stock]]/Table1[[#This Row],[Avg_Daily_Consumption]],9999)</f>
        <v>677.85714285714278</v>
      </c>
      <c r="AC386">
        <f>MAX(1,ROUNDUP(Table1[[#This Row],[Avg_Daily_Consumption]]*Table1[[#This Row],[Lead_Time_Days]]*0.8,0))</f>
        <v>1</v>
      </c>
      <c r="AD386" t="str">
        <f>IF(Table1[[#This Row],[Closing_Stock]]&lt;Table1[[#This Row],[Reorder_Point]],"Stock-out Risk","Adequate")</f>
        <v>Adequate</v>
      </c>
      <c r="AE386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386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386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386" s="11">
        <f>MAX(0,Table1[[#This Row],[Closing_Stock]]-Table1[[#This Row],[Reorder_Point]])</f>
        <v>11.539726027397261</v>
      </c>
      <c r="AI386" s="11">
        <f>Table1[[#This Row],[Excess_Stock_Units]]*Table1[[#This Row],[Unit_Cost_INR]]</f>
        <v>21348.493150684932</v>
      </c>
      <c r="AJ386" s="11">
        <f>IF(Table1[[#This Row],[Criticality]]="Critical",0,Table1[[#This Row],[Excess_Inventory_Value_INR]])</f>
        <v>21348.493150684932</v>
      </c>
      <c r="AK386" s="11">
        <f>IF(AND(Table1[[#This Row],[Criticality]]&lt;&gt;"Critical",OR(Table1[[#This Row],[Movement_Class]]="Slow-Moving",Table1[[#This Row],[Movement_Class]]="Non-Moving")),Table1[[#This Row],[Excess_Inventory_Value_INR]],0)</f>
        <v>21348.493150684932</v>
      </c>
    </row>
    <row r="387" spans="1:37" x14ac:dyDescent="0.25">
      <c r="A387" t="s">
        <v>219</v>
      </c>
      <c r="B387" t="s">
        <v>75</v>
      </c>
      <c r="C387" t="s">
        <v>36</v>
      </c>
      <c r="D387" t="s">
        <v>60</v>
      </c>
      <c r="E387" t="s">
        <v>46</v>
      </c>
      <c r="F387">
        <v>11</v>
      </c>
      <c r="G387">
        <v>4</v>
      </c>
      <c r="H387">
        <v>4</v>
      </c>
      <c r="I387">
        <v>11</v>
      </c>
      <c r="J387">
        <v>2170</v>
      </c>
      <c r="K387">
        <v>28</v>
      </c>
      <c r="L387">
        <v>0</v>
      </c>
      <c r="M387">
        <v>99</v>
      </c>
      <c r="N387" t="s">
        <v>49</v>
      </c>
      <c r="O387">
        <v>0.224</v>
      </c>
      <c r="P387">
        <v>5346.88</v>
      </c>
      <c r="Q387">
        <f>(Table1[[#This Row],[Closing_Stock]]*Table1[[#This Row],[Unit_Cost_INR]])</f>
        <v>23870</v>
      </c>
      <c r="R387">
        <f>(Table1[[#This Row],[Unit_Cost_INR]]*Table1[[#This Row],[Consumption]])</f>
        <v>8680</v>
      </c>
      <c r="S387">
        <f>IFERROR(Table1[[#This Row],[Annual_Consumption_Value_INR]]/Table1[[#This Row],[Inventory_Value_INR]],0)</f>
        <v>0.36363636363636365</v>
      </c>
      <c r="T387">
        <f>IFERROR(365/Table1[[#This Row],[Inventory_Turnover]],0)</f>
        <v>1003.75</v>
      </c>
      <c r="U387" t="str">
        <f>IF(Table1[[#This Row],[Consumption]]=0,"Non-Moving", IF(Table1[[#This Row],[Days_Since_Last_Movement]]&gt;90,"Slow-Moving","Active"))</f>
        <v>Slow-Moving</v>
      </c>
      <c r="V387">
        <f>SUM($Q$2:Q387)</f>
        <v>74218400</v>
      </c>
      <c r="W387">
        <f>Table1[[#This Row],[Cumulative_Inventory_Value]]/$AP$3</f>
        <v>0.9804879743635575</v>
      </c>
      <c r="X387" t="str">
        <f>IF(Table1[[#This Row],[Cumulative_Value_%]]&lt;80%,"A", IF(Table1[[#This Row],[Cumulative_Value_%]]&lt;=95%,"B","C"))</f>
        <v>C</v>
      </c>
      <c r="Y387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387">
        <f>Table1[[#This Row],[Consumption]]/365</f>
        <v>1.0958904109589041E-2</v>
      </c>
      <c r="AA387">
        <f>Table1[[#This Row],[Avg_Daily_Consumption]]*Table1[[#This Row],[Lead_Time_Days]]+Table1[[#This Row],[Safety_Stock]]</f>
        <v>1.3068493150684932</v>
      </c>
      <c r="AB387">
        <f>IFERROR(Table1[[#This Row],[Closing_Stock]]/Table1[[#This Row],[Avg_Daily_Consumption]],9999)</f>
        <v>1003.75</v>
      </c>
      <c r="AC387">
        <f>MAX(1,ROUNDUP(Table1[[#This Row],[Avg_Daily_Consumption]]*Table1[[#This Row],[Lead_Time_Days]]*0.8,0))</f>
        <v>1</v>
      </c>
      <c r="AD387" t="str">
        <f>IF(Table1[[#This Row],[Closing_Stock]]&lt;Table1[[#This Row],[Reorder_Point]],"Stock-out Risk","Adequate")</f>
        <v>Adequate</v>
      </c>
      <c r="AE387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387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387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387" s="11">
        <f>MAX(0,Table1[[#This Row],[Closing_Stock]]-Table1[[#This Row],[Reorder_Point]])</f>
        <v>9.6931506849315063</v>
      </c>
      <c r="AI387" s="11">
        <f>Table1[[#This Row],[Excess_Stock_Units]]*Table1[[#This Row],[Unit_Cost_INR]]</f>
        <v>21034.136986301368</v>
      </c>
      <c r="AJ387" s="11">
        <f>IF(Table1[[#This Row],[Criticality]]="Critical",0,Table1[[#This Row],[Excess_Inventory_Value_INR]])</f>
        <v>21034.136986301368</v>
      </c>
      <c r="AK387" s="11">
        <f>IF(AND(Table1[[#This Row],[Criticality]]&lt;&gt;"Critical",OR(Table1[[#This Row],[Movement_Class]]="Slow-Moving",Table1[[#This Row],[Movement_Class]]="Non-Moving")),Table1[[#This Row],[Excess_Inventory_Value_INR]],0)</f>
        <v>21034.136986301368</v>
      </c>
    </row>
    <row r="388" spans="1:37" x14ac:dyDescent="0.25">
      <c r="A388" t="s">
        <v>346</v>
      </c>
      <c r="B388" t="s">
        <v>25</v>
      </c>
      <c r="C388" t="s">
        <v>26</v>
      </c>
      <c r="D388" t="s">
        <v>45</v>
      </c>
      <c r="E388" t="s">
        <v>22</v>
      </c>
      <c r="F388">
        <v>12</v>
      </c>
      <c r="G388">
        <v>15</v>
      </c>
      <c r="H388">
        <v>14</v>
      </c>
      <c r="I388">
        <v>22</v>
      </c>
      <c r="J388">
        <v>1070</v>
      </c>
      <c r="K388">
        <v>36</v>
      </c>
      <c r="L388">
        <v>0</v>
      </c>
      <c r="M388">
        <v>18</v>
      </c>
      <c r="N388" t="s">
        <v>23</v>
      </c>
      <c r="O388">
        <v>0.27700000000000002</v>
      </c>
      <c r="P388">
        <v>6520.5800000000008</v>
      </c>
      <c r="Q388">
        <f>(Table1[[#This Row],[Closing_Stock]]*Table1[[#This Row],[Unit_Cost_INR]])</f>
        <v>23540</v>
      </c>
      <c r="R388">
        <f>(Table1[[#This Row],[Unit_Cost_INR]]*Table1[[#This Row],[Consumption]])</f>
        <v>14980</v>
      </c>
      <c r="S388">
        <f>IFERROR(Table1[[#This Row],[Annual_Consumption_Value_INR]]/Table1[[#This Row],[Inventory_Value_INR]],0)</f>
        <v>0.63636363636363635</v>
      </c>
      <c r="T388">
        <f>IFERROR(365/Table1[[#This Row],[Inventory_Turnover]],0)</f>
        <v>573.57142857142856</v>
      </c>
      <c r="U388" t="str">
        <f>IF(Table1[[#This Row],[Consumption]]=0,"Non-Moving", IF(Table1[[#This Row],[Days_Since_Last_Movement]]&gt;90,"Slow-Moving","Active"))</f>
        <v>Active</v>
      </c>
      <c r="V388">
        <f>SUM($Q$2:Q388)</f>
        <v>74241940</v>
      </c>
      <c r="W388">
        <f>Table1[[#This Row],[Cumulative_Inventory_Value]]/$AP$3</f>
        <v>0.98079895771696468</v>
      </c>
      <c r="X388" t="str">
        <f>IF(Table1[[#This Row],[Cumulative_Value_%]]&lt;80%,"A", IF(Table1[[#This Row],[Cumulative_Value_%]]&lt;=95%,"B","C"))</f>
        <v>C</v>
      </c>
      <c r="Y388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388">
        <f>Table1[[#This Row],[Consumption]]/365</f>
        <v>3.8356164383561646E-2</v>
      </c>
      <c r="AA388">
        <f>Table1[[#This Row],[Avg_Daily_Consumption]]*Table1[[#This Row],[Lead_Time_Days]]+Table1[[#This Row],[Safety_Stock]]</f>
        <v>3.3808219178082193</v>
      </c>
      <c r="AB388">
        <f>IFERROR(Table1[[#This Row],[Closing_Stock]]/Table1[[#This Row],[Avg_Daily_Consumption]],9999)</f>
        <v>573.57142857142856</v>
      </c>
      <c r="AC388">
        <f>MAX(1,ROUNDUP(Table1[[#This Row],[Avg_Daily_Consumption]]*Table1[[#This Row],[Lead_Time_Days]]*0.8,0))</f>
        <v>2</v>
      </c>
      <c r="AD388" t="str">
        <f>IF(Table1[[#This Row],[Closing_Stock]]&lt;Table1[[#This Row],[Reorder_Point]],"Stock-out Risk","Adequate")</f>
        <v>Adequate</v>
      </c>
      <c r="AE388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388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388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388" s="11">
        <f>MAX(0,Table1[[#This Row],[Closing_Stock]]-Table1[[#This Row],[Reorder_Point]])</f>
        <v>18.61917808219178</v>
      </c>
      <c r="AI388" s="11">
        <f>Table1[[#This Row],[Excess_Stock_Units]]*Table1[[#This Row],[Unit_Cost_INR]]</f>
        <v>19922.520547945205</v>
      </c>
      <c r="AJ388" s="11">
        <f>IF(Table1[[#This Row],[Criticality]]="Critical",0,Table1[[#This Row],[Excess_Inventory_Value_INR]])</f>
        <v>19922.520547945205</v>
      </c>
      <c r="AK388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389" spans="1:37" x14ac:dyDescent="0.25">
      <c r="A389" t="s">
        <v>355</v>
      </c>
      <c r="B389" t="s">
        <v>99</v>
      </c>
      <c r="C389" t="s">
        <v>20</v>
      </c>
      <c r="D389" t="s">
        <v>66</v>
      </c>
      <c r="E389" t="s">
        <v>28</v>
      </c>
      <c r="F389">
        <v>28</v>
      </c>
      <c r="G389">
        <v>28</v>
      </c>
      <c r="H389">
        <v>29</v>
      </c>
      <c r="I389">
        <v>27</v>
      </c>
      <c r="J389">
        <v>870</v>
      </c>
      <c r="K389">
        <v>23</v>
      </c>
      <c r="L389">
        <v>1</v>
      </c>
      <c r="M389">
        <v>26</v>
      </c>
      <c r="N389" t="s">
        <v>81</v>
      </c>
      <c r="O389">
        <v>0.159</v>
      </c>
      <c r="P389">
        <v>3734.91</v>
      </c>
      <c r="Q389">
        <f>(Table1[[#This Row],[Closing_Stock]]*Table1[[#This Row],[Unit_Cost_INR]])</f>
        <v>23490</v>
      </c>
      <c r="R389">
        <f>(Table1[[#This Row],[Unit_Cost_INR]]*Table1[[#This Row],[Consumption]])</f>
        <v>25230</v>
      </c>
      <c r="S389">
        <f>IFERROR(Table1[[#This Row],[Annual_Consumption_Value_INR]]/Table1[[#This Row],[Inventory_Value_INR]],0)</f>
        <v>1.0740740740740742</v>
      </c>
      <c r="T389">
        <f>IFERROR(365/Table1[[#This Row],[Inventory_Turnover]],0)</f>
        <v>339.82758620689651</v>
      </c>
      <c r="U389" t="str">
        <f>IF(Table1[[#This Row],[Consumption]]=0,"Non-Moving", IF(Table1[[#This Row],[Days_Since_Last_Movement]]&gt;90,"Slow-Moving","Active"))</f>
        <v>Active</v>
      </c>
      <c r="V389">
        <f>SUM($Q$2:Q389)</f>
        <v>74265430</v>
      </c>
      <c r="W389">
        <f>Table1[[#This Row],[Cumulative_Inventory_Value]]/$AP$3</f>
        <v>0.98110928052799007</v>
      </c>
      <c r="X389" t="str">
        <f>IF(Table1[[#This Row],[Cumulative_Value_%]]&lt;80%,"A", IF(Table1[[#This Row],[Cumulative_Value_%]]&lt;=95%,"B","C"))</f>
        <v>C</v>
      </c>
      <c r="Y389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389">
        <f>Table1[[#This Row],[Consumption]]/365</f>
        <v>7.9452054794520555E-2</v>
      </c>
      <c r="AA389">
        <f>Table1[[#This Row],[Avg_Daily_Consumption]]*Table1[[#This Row],[Lead_Time_Days]]+Table1[[#This Row],[Safety_Stock]]</f>
        <v>3.8273972602739725</v>
      </c>
      <c r="AB389">
        <f>IFERROR(Table1[[#This Row],[Closing_Stock]]/Table1[[#This Row],[Avg_Daily_Consumption]],9999)</f>
        <v>339.82758620689651</v>
      </c>
      <c r="AC389">
        <f>MAX(1,ROUNDUP(Table1[[#This Row],[Avg_Daily_Consumption]]*Table1[[#This Row],[Lead_Time_Days]]*0.8,0))</f>
        <v>2</v>
      </c>
      <c r="AD389" t="str">
        <f>IF(Table1[[#This Row],[Closing_Stock]]&lt;Table1[[#This Row],[Reorder_Point]],"Stock-out Risk","Adequate")</f>
        <v>Adequate</v>
      </c>
      <c r="AE389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389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389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389" s="11">
        <f>MAX(0,Table1[[#This Row],[Closing_Stock]]-Table1[[#This Row],[Reorder_Point]])</f>
        <v>23.172602739726027</v>
      </c>
      <c r="AI389" s="11">
        <f>Table1[[#This Row],[Excess_Stock_Units]]*Table1[[#This Row],[Unit_Cost_INR]]</f>
        <v>20160.164383561645</v>
      </c>
      <c r="AJ389" s="11">
        <f>IF(Table1[[#This Row],[Criticality]]="Critical",0,Table1[[#This Row],[Excess_Inventory_Value_INR]])</f>
        <v>20160.164383561645</v>
      </c>
      <c r="AK389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390" spans="1:37" x14ac:dyDescent="0.25">
      <c r="A390" t="s">
        <v>98</v>
      </c>
      <c r="B390" t="s">
        <v>99</v>
      </c>
      <c r="C390" t="s">
        <v>20</v>
      </c>
      <c r="D390" t="s">
        <v>60</v>
      </c>
      <c r="E390" t="s">
        <v>22</v>
      </c>
      <c r="F390">
        <v>16</v>
      </c>
      <c r="G390">
        <v>3</v>
      </c>
      <c r="H390">
        <v>3</v>
      </c>
      <c r="I390">
        <v>16</v>
      </c>
      <c r="J390">
        <v>1460</v>
      </c>
      <c r="K390">
        <v>36</v>
      </c>
      <c r="L390">
        <v>0</v>
      </c>
      <c r="M390">
        <v>1</v>
      </c>
      <c r="N390" t="s">
        <v>49</v>
      </c>
      <c r="O390">
        <v>0.154</v>
      </c>
      <c r="P390">
        <v>3597.44</v>
      </c>
      <c r="Q390">
        <f>(Table1[[#This Row],[Closing_Stock]]*Table1[[#This Row],[Unit_Cost_INR]])</f>
        <v>23360</v>
      </c>
      <c r="R390">
        <f>(Table1[[#This Row],[Unit_Cost_INR]]*Table1[[#This Row],[Consumption]])</f>
        <v>4380</v>
      </c>
      <c r="S390">
        <f>IFERROR(Table1[[#This Row],[Annual_Consumption_Value_INR]]/Table1[[#This Row],[Inventory_Value_INR]],0)</f>
        <v>0.1875</v>
      </c>
      <c r="T390">
        <f>IFERROR(365/Table1[[#This Row],[Inventory_Turnover]],0)</f>
        <v>1946.6666666666667</v>
      </c>
      <c r="U390" t="str">
        <f>IF(Table1[[#This Row],[Consumption]]=0,"Non-Moving", IF(Table1[[#This Row],[Days_Since_Last_Movement]]&gt;90,"Slow-Moving","Active"))</f>
        <v>Active</v>
      </c>
      <c r="V390">
        <f>SUM($Q$2:Q390)</f>
        <v>74288790</v>
      </c>
      <c r="W390">
        <f>Table1[[#This Row],[Cumulative_Inventory_Value]]/$AP$3</f>
        <v>0.98141788592882229</v>
      </c>
      <c r="X390" t="str">
        <f>IF(Table1[[#This Row],[Cumulative_Value_%]]&lt;80%,"A", IF(Table1[[#This Row],[Cumulative_Value_%]]&lt;=95%,"B","C"))</f>
        <v>C</v>
      </c>
      <c r="Y390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390">
        <f>Table1[[#This Row],[Consumption]]/365</f>
        <v>8.21917808219178E-3</v>
      </c>
      <c r="AA390">
        <f>Table1[[#This Row],[Avg_Daily_Consumption]]*Table1[[#This Row],[Lead_Time_Days]]+Table1[[#This Row],[Safety_Stock]]</f>
        <v>1.295890410958904</v>
      </c>
      <c r="AB390">
        <f>IFERROR(Table1[[#This Row],[Closing_Stock]]/Table1[[#This Row],[Avg_Daily_Consumption]],9999)</f>
        <v>1946.666666666667</v>
      </c>
      <c r="AC390">
        <f>MAX(1,ROUNDUP(Table1[[#This Row],[Avg_Daily_Consumption]]*Table1[[#This Row],[Lead_Time_Days]]*0.8,0))</f>
        <v>1</v>
      </c>
      <c r="AD390" t="str">
        <f>IF(Table1[[#This Row],[Closing_Stock]]&lt;Table1[[#This Row],[Reorder_Point]],"Stock-out Risk","Adequate")</f>
        <v>Adequate</v>
      </c>
      <c r="AE390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390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390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390" s="11">
        <f>MAX(0,Table1[[#This Row],[Closing_Stock]]-Table1[[#This Row],[Reorder_Point]])</f>
        <v>14.704109589041096</v>
      </c>
      <c r="AI390" s="11">
        <f>Table1[[#This Row],[Excess_Stock_Units]]*Table1[[#This Row],[Unit_Cost_INR]]</f>
        <v>21468</v>
      </c>
      <c r="AJ390" s="11">
        <f>IF(Table1[[#This Row],[Criticality]]="Critical",0,Table1[[#This Row],[Excess_Inventory_Value_INR]])</f>
        <v>21468</v>
      </c>
      <c r="AK390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391" spans="1:37" x14ac:dyDescent="0.25">
      <c r="A391" t="s">
        <v>405</v>
      </c>
      <c r="B391" t="s">
        <v>44</v>
      </c>
      <c r="C391" t="s">
        <v>41</v>
      </c>
      <c r="D391" t="s">
        <v>21</v>
      </c>
      <c r="E391" t="s">
        <v>28</v>
      </c>
      <c r="F391">
        <v>10</v>
      </c>
      <c r="G391">
        <v>11</v>
      </c>
      <c r="H391">
        <v>9</v>
      </c>
      <c r="I391">
        <v>12</v>
      </c>
      <c r="J391">
        <v>1930</v>
      </c>
      <c r="K391">
        <v>34</v>
      </c>
      <c r="L391">
        <v>0</v>
      </c>
      <c r="M391">
        <v>36</v>
      </c>
      <c r="N391" t="s">
        <v>61</v>
      </c>
      <c r="O391">
        <v>0.27500000000000002</v>
      </c>
      <c r="P391">
        <v>6369.0000000000009</v>
      </c>
      <c r="Q391">
        <f>(Table1[[#This Row],[Closing_Stock]]*Table1[[#This Row],[Unit_Cost_INR]])</f>
        <v>23160</v>
      </c>
      <c r="R391">
        <f>(Table1[[#This Row],[Unit_Cost_INR]]*Table1[[#This Row],[Consumption]])</f>
        <v>17370</v>
      </c>
      <c r="S391">
        <f>IFERROR(Table1[[#This Row],[Annual_Consumption_Value_INR]]/Table1[[#This Row],[Inventory_Value_INR]],0)</f>
        <v>0.75</v>
      </c>
      <c r="T391">
        <f>IFERROR(365/Table1[[#This Row],[Inventory_Turnover]],0)</f>
        <v>486.66666666666669</v>
      </c>
      <c r="U391" t="str">
        <f>IF(Table1[[#This Row],[Consumption]]=0,"Non-Moving", IF(Table1[[#This Row],[Days_Since_Last_Movement]]&gt;90,"Slow-Moving","Active"))</f>
        <v>Active</v>
      </c>
      <c r="V391">
        <f>SUM($Q$2:Q391)</f>
        <v>74311950</v>
      </c>
      <c r="W391">
        <f>Table1[[#This Row],[Cumulative_Inventory_Value]]/$AP$3</f>
        <v>0.981723849160127</v>
      </c>
      <c r="X391" t="str">
        <f>IF(Table1[[#This Row],[Cumulative_Value_%]]&lt;80%,"A", IF(Table1[[#This Row],[Cumulative_Value_%]]&lt;=95%,"B","C"))</f>
        <v>C</v>
      </c>
      <c r="Y391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391">
        <f>Table1[[#This Row],[Consumption]]/365</f>
        <v>2.4657534246575342E-2</v>
      </c>
      <c r="AA391">
        <f>Table1[[#This Row],[Avg_Daily_Consumption]]*Table1[[#This Row],[Lead_Time_Days]]+Table1[[#This Row],[Safety_Stock]]</f>
        <v>1.8383561643835615</v>
      </c>
      <c r="AB391">
        <f>IFERROR(Table1[[#This Row],[Closing_Stock]]/Table1[[#This Row],[Avg_Daily_Consumption]],9999)</f>
        <v>486.66666666666669</v>
      </c>
      <c r="AC391">
        <f>MAX(1,ROUNDUP(Table1[[#This Row],[Avg_Daily_Consumption]]*Table1[[#This Row],[Lead_Time_Days]]*0.8,0))</f>
        <v>1</v>
      </c>
      <c r="AD391" t="str">
        <f>IF(Table1[[#This Row],[Closing_Stock]]&lt;Table1[[#This Row],[Reorder_Point]],"Stock-out Risk","Adequate")</f>
        <v>Adequate</v>
      </c>
      <c r="AE391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391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391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391" s="11">
        <f>MAX(0,Table1[[#This Row],[Closing_Stock]]-Table1[[#This Row],[Reorder_Point]])</f>
        <v>10.161643835616438</v>
      </c>
      <c r="AI391" s="11">
        <f>Table1[[#This Row],[Excess_Stock_Units]]*Table1[[#This Row],[Unit_Cost_INR]]</f>
        <v>19611.972602739726</v>
      </c>
      <c r="AJ391" s="11">
        <f>IF(Table1[[#This Row],[Criticality]]="Critical",0,Table1[[#This Row],[Excess_Inventory_Value_INR]])</f>
        <v>19611.972602739726</v>
      </c>
      <c r="AK391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392" spans="1:37" x14ac:dyDescent="0.25">
      <c r="A392" t="s">
        <v>131</v>
      </c>
      <c r="B392" t="s">
        <v>85</v>
      </c>
      <c r="C392" t="s">
        <v>41</v>
      </c>
      <c r="D392" t="s">
        <v>27</v>
      </c>
      <c r="E392" t="s">
        <v>28</v>
      </c>
      <c r="F392">
        <v>12</v>
      </c>
      <c r="G392">
        <v>6</v>
      </c>
      <c r="H392">
        <v>5</v>
      </c>
      <c r="I392">
        <v>13</v>
      </c>
      <c r="J392">
        <v>1780</v>
      </c>
      <c r="K392">
        <v>23</v>
      </c>
      <c r="L392">
        <v>1</v>
      </c>
      <c r="M392">
        <v>54</v>
      </c>
      <c r="N392" t="s">
        <v>29</v>
      </c>
      <c r="O392">
        <v>0.28499999999999998</v>
      </c>
      <c r="P392">
        <v>6594.9</v>
      </c>
      <c r="Q392">
        <f>(Table1[[#This Row],[Closing_Stock]]*Table1[[#This Row],[Unit_Cost_INR]])</f>
        <v>23140</v>
      </c>
      <c r="R392">
        <f>(Table1[[#This Row],[Unit_Cost_INR]]*Table1[[#This Row],[Consumption]])</f>
        <v>8900</v>
      </c>
      <c r="S392">
        <f>IFERROR(Table1[[#This Row],[Annual_Consumption_Value_INR]]/Table1[[#This Row],[Inventory_Value_INR]],0)</f>
        <v>0.38461538461538464</v>
      </c>
      <c r="T392">
        <f>IFERROR(365/Table1[[#This Row],[Inventory_Turnover]],0)</f>
        <v>949</v>
      </c>
      <c r="U392" t="str">
        <f>IF(Table1[[#This Row],[Consumption]]=0,"Non-Moving", IF(Table1[[#This Row],[Days_Since_Last_Movement]]&gt;90,"Slow-Moving","Active"))</f>
        <v>Active</v>
      </c>
      <c r="V392">
        <f>SUM($Q$2:Q392)</f>
        <v>74335090</v>
      </c>
      <c r="W392">
        <f>Table1[[#This Row],[Cumulative_Inventory_Value]]/$AP$3</f>
        <v>0.98202954817447885</v>
      </c>
      <c r="X392" t="str">
        <f>IF(Table1[[#This Row],[Cumulative_Value_%]]&lt;80%,"A", IF(Table1[[#This Row],[Cumulative_Value_%]]&lt;=95%,"B","C"))</f>
        <v>C</v>
      </c>
      <c r="Y392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392">
        <f>Table1[[#This Row],[Consumption]]/365</f>
        <v>1.3698630136986301E-2</v>
      </c>
      <c r="AA392">
        <f>Table1[[#This Row],[Avg_Daily_Consumption]]*Table1[[#This Row],[Lead_Time_Days]]+Table1[[#This Row],[Safety_Stock]]</f>
        <v>1.3150684931506849</v>
      </c>
      <c r="AB392">
        <f>IFERROR(Table1[[#This Row],[Closing_Stock]]/Table1[[#This Row],[Avg_Daily_Consumption]],9999)</f>
        <v>949</v>
      </c>
      <c r="AC392">
        <f>MAX(1,ROUNDUP(Table1[[#This Row],[Avg_Daily_Consumption]]*Table1[[#This Row],[Lead_Time_Days]]*0.8,0))</f>
        <v>1</v>
      </c>
      <c r="AD392" t="str">
        <f>IF(Table1[[#This Row],[Closing_Stock]]&lt;Table1[[#This Row],[Reorder_Point]],"Stock-out Risk","Adequate")</f>
        <v>Adequate</v>
      </c>
      <c r="AE392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392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392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392" s="11">
        <f>MAX(0,Table1[[#This Row],[Closing_Stock]]-Table1[[#This Row],[Reorder_Point]])</f>
        <v>11.684931506849315</v>
      </c>
      <c r="AI392" s="11">
        <f>Table1[[#This Row],[Excess_Stock_Units]]*Table1[[#This Row],[Unit_Cost_INR]]</f>
        <v>20799.178082191782</v>
      </c>
      <c r="AJ392" s="11">
        <f>IF(Table1[[#This Row],[Criticality]]="Critical",0,Table1[[#This Row],[Excess_Inventory_Value_INR]])</f>
        <v>20799.178082191782</v>
      </c>
      <c r="AK392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393" spans="1:37" x14ac:dyDescent="0.25">
      <c r="A393" t="s">
        <v>307</v>
      </c>
      <c r="B393" t="s">
        <v>104</v>
      </c>
      <c r="C393" t="s">
        <v>41</v>
      </c>
      <c r="D393" t="s">
        <v>66</v>
      </c>
      <c r="E393" t="s">
        <v>46</v>
      </c>
      <c r="F393">
        <v>14</v>
      </c>
      <c r="G393">
        <v>34</v>
      </c>
      <c r="H393">
        <v>37</v>
      </c>
      <c r="I393">
        <v>11</v>
      </c>
      <c r="J393">
        <v>2080</v>
      </c>
      <c r="K393">
        <v>35</v>
      </c>
      <c r="L393">
        <v>0</v>
      </c>
      <c r="M393">
        <v>32</v>
      </c>
      <c r="N393" t="s">
        <v>38</v>
      </c>
      <c r="O393">
        <v>0.21</v>
      </c>
      <c r="P393">
        <v>4804.8</v>
      </c>
      <c r="Q393">
        <f>(Table1[[#This Row],[Closing_Stock]]*Table1[[#This Row],[Unit_Cost_INR]])</f>
        <v>22880</v>
      </c>
      <c r="R393">
        <f>(Table1[[#This Row],[Unit_Cost_INR]]*Table1[[#This Row],[Consumption]])</f>
        <v>76960</v>
      </c>
      <c r="S393">
        <f>IFERROR(Table1[[#This Row],[Annual_Consumption_Value_INR]]/Table1[[#This Row],[Inventory_Value_INR]],0)</f>
        <v>3.3636363636363638</v>
      </c>
      <c r="T393">
        <f>IFERROR(365/Table1[[#This Row],[Inventory_Turnover]],0)</f>
        <v>108.51351351351352</v>
      </c>
      <c r="U393" t="str">
        <f>IF(Table1[[#This Row],[Consumption]]=0,"Non-Moving", IF(Table1[[#This Row],[Days_Since_Last_Movement]]&gt;90,"Slow-Moving","Active"))</f>
        <v>Active</v>
      </c>
      <c r="V393">
        <f>SUM($Q$2:Q393)</f>
        <v>74357970</v>
      </c>
      <c r="W393">
        <f>Table1[[#This Row],[Cumulative_Inventory_Value]]/$AP$3</f>
        <v>0.98233181236844469</v>
      </c>
      <c r="X393" t="str">
        <f>IF(Table1[[#This Row],[Cumulative_Value_%]]&lt;80%,"A", IF(Table1[[#This Row],[Cumulative_Value_%]]&lt;=95%,"B","C"))</f>
        <v>C</v>
      </c>
      <c r="Y393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393">
        <f>Table1[[#This Row],[Consumption]]/365</f>
        <v>0.10136986301369863</v>
      </c>
      <c r="AA393">
        <f>Table1[[#This Row],[Avg_Daily_Consumption]]*Table1[[#This Row],[Lead_Time_Days]]+Table1[[#This Row],[Safety_Stock]]</f>
        <v>6.5479452054794525</v>
      </c>
      <c r="AB393">
        <f>IFERROR(Table1[[#This Row],[Closing_Stock]]/Table1[[#This Row],[Avg_Daily_Consumption]],9999)</f>
        <v>108.51351351351352</v>
      </c>
      <c r="AC393">
        <f>MAX(1,ROUNDUP(Table1[[#This Row],[Avg_Daily_Consumption]]*Table1[[#This Row],[Lead_Time_Days]]*0.8,0))</f>
        <v>3</v>
      </c>
      <c r="AD393" t="str">
        <f>IF(Table1[[#This Row],[Closing_Stock]]&lt;Table1[[#This Row],[Reorder_Point]],"Stock-out Risk","Adequate")</f>
        <v>Adequate</v>
      </c>
      <c r="AE393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393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393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393" s="11">
        <f>MAX(0,Table1[[#This Row],[Closing_Stock]]-Table1[[#This Row],[Reorder_Point]])</f>
        <v>4.4520547945205475</v>
      </c>
      <c r="AI393" s="11">
        <f>Table1[[#This Row],[Excess_Stock_Units]]*Table1[[#This Row],[Unit_Cost_INR]]</f>
        <v>9260.2739726027394</v>
      </c>
      <c r="AJ393" s="11">
        <f>IF(Table1[[#This Row],[Criticality]]="Critical",0,Table1[[#This Row],[Excess_Inventory_Value_INR]])</f>
        <v>9260.2739726027394</v>
      </c>
      <c r="AK393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394" spans="1:37" x14ac:dyDescent="0.25">
      <c r="A394" t="s">
        <v>557</v>
      </c>
      <c r="B394" t="s">
        <v>35</v>
      </c>
      <c r="C394" t="s">
        <v>36</v>
      </c>
      <c r="D394" t="s">
        <v>42</v>
      </c>
      <c r="E394" t="s">
        <v>22</v>
      </c>
      <c r="F394">
        <v>19</v>
      </c>
      <c r="G394">
        <v>81</v>
      </c>
      <c r="H394">
        <v>0</v>
      </c>
      <c r="I394">
        <v>52</v>
      </c>
      <c r="J394">
        <v>440</v>
      </c>
      <c r="K394">
        <v>4</v>
      </c>
      <c r="L394">
        <v>0</v>
      </c>
      <c r="M394">
        <v>636</v>
      </c>
      <c r="N394" t="s">
        <v>81</v>
      </c>
      <c r="O394">
        <v>0.20399999999999999</v>
      </c>
      <c r="P394">
        <v>4667.5200000000004</v>
      </c>
      <c r="Q394">
        <f>(Table1[[#This Row],[Closing_Stock]]*Table1[[#This Row],[Unit_Cost_INR]])</f>
        <v>22880</v>
      </c>
      <c r="R394">
        <f>(Table1[[#This Row],[Unit_Cost_INR]]*Table1[[#This Row],[Consumption]])</f>
        <v>0</v>
      </c>
      <c r="S394">
        <f>IFERROR(Table1[[#This Row],[Annual_Consumption_Value_INR]]/Table1[[#This Row],[Inventory_Value_INR]],0)</f>
        <v>0</v>
      </c>
      <c r="T394">
        <f>IFERROR(365/Table1[[#This Row],[Inventory_Turnover]],0)</f>
        <v>0</v>
      </c>
      <c r="U394" t="str">
        <f>IF(Table1[[#This Row],[Consumption]]=0,"Non-Moving", IF(Table1[[#This Row],[Days_Since_Last_Movement]]&gt;90,"Slow-Moving","Active"))</f>
        <v>Non-Moving</v>
      </c>
      <c r="V394">
        <f>SUM($Q$2:Q394)</f>
        <v>74380850</v>
      </c>
      <c r="W394">
        <f>Table1[[#This Row],[Cumulative_Inventory_Value]]/$AP$3</f>
        <v>0.98263407656241064</v>
      </c>
      <c r="X394" t="str">
        <f>IF(Table1[[#This Row],[Cumulative_Value_%]]&lt;80%,"A", IF(Table1[[#This Row],[Cumulative_Value_%]]&lt;=95%,"B","C"))</f>
        <v>C</v>
      </c>
      <c r="Y394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Review</v>
      </c>
      <c r="Z394">
        <f>Table1[[#This Row],[Consumption]]/365</f>
        <v>0</v>
      </c>
      <c r="AA394">
        <f>Table1[[#This Row],[Avg_Daily_Consumption]]*Table1[[#This Row],[Lead_Time_Days]]+Table1[[#This Row],[Safety_Stock]]</f>
        <v>1</v>
      </c>
      <c r="AB394">
        <f>IFERROR(Table1[[#This Row],[Closing_Stock]]/Table1[[#This Row],[Avg_Daily_Consumption]],9999)</f>
        <v>9999</v>
      </c>
      <c r="AC394">
        <f>MAX(1,ROUNDUP(Table1[[#This Row],[Avg_Daily_Consumption]]*Table1[[#This Row],[Lead_Time_Days]]*0.8,0))</f>
        <v>1</v>
      </c>
      <c r="AD394" t="str">
        <f>IF(Table1[[#This Row],[Closing_Stock]]&lt;Table1[[#This Row],[Reorder_Point]],"Stock-out Risk","Adequate")</f>
        <v>Adequate</v>
      </c>
      <c r="AE394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394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 for Disposal/De-procurement</v>
      </c>
      <c r="AG394">
        <f>IF(Table1[[#This Row],[Action_Recommendation]]="Review for Disposal/De-procurement",Table1[[#This Row],[Inventory_Value_INR]]*70%,IF(Table1[[#This Row],[Action_Recommendation]]="Review Safety Stock",Table1[[#This Row],[Inventory_Value_INR]]*20%,0))</f>
        <v>16015.999999999998</v>
      </c>
      <c r="AH394" s="11">
        <f>MAX(0,Table1[[#This Row],[Closing_Stock]]-Table1[[#This Row],[Reorder_Point]])</f>
        <v>51</v>
      </c>
      <c r="AI394" s="11">
        <f>Table1[[#This Row],[Excess_Stock_Units]]*Table1[[#This Row],[Unit_Cost_INR]]</f>
        <v>22440</v>
      </c>
      <c r="AJ394" s="11">
        <f>IF(Table1[[#This Row],[Criticality]]="Critical",0,Table1[[#This Row],[Excess_Inventory_Value_INR]])</f>
        <v>22440</v>
      </c>
      <c r="AK394" s="11">
        <f>IF(AND(Table1[[#This Row],[Criticality]]&lt;&gt;"Critical",OR(Table1[[#This Row],[Movement_Class]]="Slow-Moving",Table1[[#This Row],[Movement_Class]]="Non-Moving")),Table1[[#This Row],[Excess_Inventory_Value_INR]],0)</f>
        <v>22440</v>
      </c>
    </row>
    <row r="395" spans="1:37" x14ac:dyDescent="0.25">
      <c r="A395" t="s">
        <v>220</v>
      </c>
      <c r="B395" t="s">
        <v>80</v>
      </c>
      <c r="C395" t="s">
        <v>20</v>
      </c>
      <c r="D395" t="s">
        <v>42</v>
      </c>
      <c r="E395" t="s">
        <v>22</v>
      </c>
      <c r="F395">
        <v>22</v>
      </c>
      <c r="G395">
        <v>67</v>
      </c>
      <c r="H395">
        <v>43</v>
      </c>
      <c r="I395">
        <v>46</v>
      </c>
      <c r="J395">
        <v>490</v>
      </c>
      <c r="K395">
        <v>21</v>
      </c>
      <c r="L395">
        <v>0</v>
      </c>
      <c r="M395">
        <v>18</v>
      </c>
      <c r="N395" t="s">
        <v>23</v>
      </c>
      <c r="O395">
        <v>0.20100000000000001</v>
      </c>
      <c r="P395">
        <v>4530.54</v>
      </c>
      <c r="Q395">
        <f>(Table1[[#This Row],[Closing_Stock]]*Table1[[#This Row],[Unit_Cost_INR]])</f>
        <v>22540</v>
      </c>
      <c r="R395">
        <f>(Table1[[#This Row],[Unit_Cost_INR]]*Table1[[#This Row],[Consumption]])</f>
        <v>21070</v>
      </c>
      <c r="S395">
        <f>IFERROR(Table1[[#This Row],[Annual_Consumption_Value_INR]]/Table1[[#This Row],[Inventory_Value_INR]],0)</f>
        <v>0.93478260869565222</v>
      </c>
      <c r="T395">
        <f>IFERROR(365/Table1[[#This Row],[Inventory_Turnover]],0)</f>
        <v>390.46511627906978</v>
      </c>
      <c r="U395" t="str">
        <f>IF(Table1[[#This Row],[Consumption]]=0,"Non-Moving", IF(Table1[[#This Row],[Days_Since_Last_Movement]]&gt;90,"Slow-Moving","Active"))</f>
        <v>Active</v>
      </c>
      <c r="V395">
        <f>SUM($Q$2:Q395)</f>
        <v>74403390</v>
      </c>
      <c r="W395">
        <f>Table1[[#This Row],[Cumulative_Inventory_Value]]/$AP$3</f>
        <v>0.98293184906817943</v>
      </c>
      <c r="X395" t="str">
        <f>IF(Table1[[#This Row],[Cumulative_Value_%]]&lt;80%,"A", IF(Table1[[#This Row],[Cumulative_Value_%]]&lt;=95%,"B","C"))</f>
        <v>C</v>
      </c>
      <c r="Y395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395">
        <f>Table1[[#This Row],[Consumption]]/365</f>
        <v>0.11780821917808219</v>
      </c>
      <c r="AA395">
        <f>Table1[[#This Row],[Avg_Daily_Consumption]]*Table1[[#This Row],[Lead_Time_Days]]+Table1[[#This Row],[Safety_Stock]]</f>
        <v>4.4739726027397264</v>
      </c>
      <c r="AB395">
        <f>IFERROR(Table1[[#This Row],[Closing_Stock]]/Table1[[#This Row],[Avg_Daily_Consumption]],9999)</f>
        <v>390.46511627906978</v>
      </c>
      <c r="AC395">
        <f>MAX(1,ROUNDUP(Table1[[#This Row],[Avg_Daily_Consumption]]*Table1[[#This Row],[Lead_Time_Days]]*0.8,0))</f>
        <v>2</v>
      </c>
      <c r="AD395" t="str">
        <f>IF(Table1[[#This Row],[Closing_Stock]]&lt;Table1[[#This Row],[Reorder_Point]],"Stock-out Risk","Adequate")</f>
        <v>Adequate</v>
      </c>
      <c r="AE395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395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395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395" s="11">
        <f>MAX(0,Table1[[#This Row],[Closing_Stock]]-Table1[[#This Row],[Reorder_Point]])</f>
        <v>41.526027397260272</v>
      </c>
      <c r="AI395" s="11">
        <f>Table1[[#This Row],[Excess_Stock_Units]]*Table1[[#This Row],[Unit_Cost_INR]]</f>
        <v>20347.753424657534</v>
      </c>
      <c r="AJ395" s="11">
        <f>IF(Table1[[#This Row],[Criticality]]="Critical",0,Table1[[#This Row],[Excess_Inventory_Value_INR]])</f>
        <v>20347.753424657534</v>
      </c>
      <c r="AK395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396" spans="1:37" x14ac:dyDescent="0.25">
      <c r="A396" t="s">
        <v>155</v>
      </c>
      <c r="B396" t="s">
        <v>99</v>
      </c>
      <c r="C396" t="s">
        <v>20</v>
      </c>
      <c r="D396" t="s">
        <v>45</v>
      </c>
      <c r="E396" t="s">
        <v>46</v>
      </c>
      <c r="F396">
        <v>20</v>
      </c>
      <c r="G396">
        <v>5</v>
      </c>
      <c r="H396">
        <v>5</v>
      </c>
      <c r="I396">
        <v>20</v>
      </c>
      <c r="J396">
        <v>1110</v>
      </c>
      <c r="K396">
        <v>44</v>
      </c>
      <c r="L396">
        <v>0</v>
      </c>
      <c r="M396">
        <v>10</v>
      </c>
      <c r="N396" t="s">
        <v>81</v>
      </c>
      <c r="O396">
        <v>0.193</v>
      </c>
      <c r="P396">
        <v>4284.6000000000004</v>
      </c>
      <c r="Q396">
        <f>(Table1[[#This Row],[Closing_Stock]]*Table1[[#This Row],[Unit_Cost_INR]])</f>
        <v>22200</v>
      </c>
      <c r="R396">
        <f>(Table1[[#This Row],[Unit_Cost_INR]]*Table1[[#This Row],[Consumption]])</f>
        <v>5550</v>
      </c>
      <c r="S396">
        <f>IFERROR(Table1[[#This Row],[Annual_Consumption_Value_INR]]/Table1[[#This Row],[Inventory_Value_INR]],0)</f>
        <v>0.25</v>
      </c>
      <c r="T396">
        <f>IFERROR(365/Table1[[#This Row],[Inventory_Turnover]],0)</f>
        <v>1460</v>
      </c>
      <c r="U396" t="str">
        <f>IF(Table1[[#This Row],[Consumption]]=0,"Non-Moving", IF(Table1[[#This Row],[Days_Since_Last_Movement]]&gt;90,"Slow-Moving","Active"))</f>
        <v>Active</v>
      </c>
      <c r="V396">
        <f>SUM($Q$2:Q396)</f>
        <v>74425590</v>
      </c>
      <c r="W396">
        <f>Table1[[#This Row],[Cumulative_Inventory_Value]]/$AP$3</f>
        <v>0.98322512988575128</v>
      </c>
      <c r="X396" t="str">
        <f>IF(Table1[[#This Row],[Cumulative_Value_%]]&lt;80%,"A", IF(Table1[[#This Row],[Cumulative_Value_%]]&lt;=95%,"B","C"))</f>
        <v>C</v>
      </c>
      <c r="Y396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396">
        <f>Table1[[#This Row],[Consumption]]/365</f>
        <v>1.3698630136986301E-2</v>
      </c>
      <c r="AA396">
        <f>Table1[[#This Row],[Avg_Daily_Consumption]]*Table1[[#This Row],[Lead_Time_Days]]+Table1[[#This Row],[Safety_Stock]]</f>
        <v>1.6027397260273972</v>
      </c>
      <c r="AB396">
        <f>IFERROR(Table1[[#This Row],[Closing_Stock]]/Table1[[#This Row],[Avg_Daily_Consumption]],9999)</f>
        <v>1460</v>
      </c>
      <c r="AC396">
        <f>MAX(1,ROUNDUP(Table1[[#This Row],[Avg_Daily_Consumption]]*Table1[[#This Row],[Lead_Time_Days]]*0.8,0))</f>
        <v>1</v>
      </c>
      <c r="AD396" t="str">
        <f>IF(Table1[[#This Row],[Closing_Stock]]&lt;Table1[[#This Row],[Reorder_Point]],"Stock-out Risk","Adequate")</f>
        <v>Adequate</v>
      </c>
      <c r="AE396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396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396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396" s="11">
        <f>MAX(0,Table1[[#This Row],[Closing_Stock]]-Table1[[#This Row],[Reorder_Point]])</f>
        <v>18.397260273972602</v>
      </c>
      <c r="AI396" s="11">
        <f>Table1[[#This Row],[Excess_Stock_Units]]*Table1[[#This Row],[Unit_Cost_INR]]</f>
        <v>20420.95890410959</v>
      </c>
      <c r="AJ396" s="11">
        <f>IF(Table1[[#This Row],[Criticality]]="Critical",0,Table1[[#This Row],[Excess_Inventory_Value_INR]])</f>
        <v>20420.95890410959</v>
      </c>
      <c r="AK396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397" spans="1:37" x14ac:dyDescent="0.25">
      <c r="A397" t="s">
        <v>200</v>
      </c>
      <c r="B397" t="s">
        <v>44</v>
      </c>
      <c r="C397" t="s">
        <v>41</v>
      </c>
      <c r="D397" t="s">
        <v>66</v>
      </c>
      <c r="E397" t="s">
        <v>22</v>
      </c>
      <c r="F397">
        <v>2</v>
      </c>
      <c r="G397">
        <v>4</v>
      </c>
      <c r="H397">
        <v>2</v>
      </c>
      <c r="I397">
        <v>34</v>
      </c>
      <c r="J397">
        <v>640</v>
      </c>
      <c r="K397">
        <v>50</v>
      </c>
      <c r="L397">
        <v>0</v>
      </c>
      <c r="M397">
        <v>253</v>
      </c>
      <c r="N397" t="s">
        <v>58</v>
      </c>
      <c r="O397">
        <v>0.17499999999999999</v>
      </c>
      <c r="P397">
        <v>3808</v>
      </c>
      <c r="Q397">
        <f>(Table1[[#This Row],[Closing_Stock]]*Table1[[#This Row],[Unit_Cost_INR]])</f>
        <v>21760</v>
      </c>
      <c r="R397">
        <f>(Table1[[#This Row],[Unit_Cost_INR]]*Table1[[#This Row],[Consumption]])</f>
        <v>1280</v>
      </c>
      <c r="S397">
        <f>IFERROR(Table1[[#This Row],[Annual_Consumption_Value_INR]]/Table1[[#This Row],[Inventory_Value_INR]],0)</f>
        <v>5.8823529411764705E-2</v>
      </c>
      <c r="T397">
        <f>IFERROR(365/Table1[[#This Row],[Inventory_Turnover]],0)</f>
        <v>6205</v>
      </c>
      <c r="U397" t="str">
        <f>IF(Table1[[#This Row],[Consumption]]=0,"Non-Moving", IF(Table1[[#This Row],[Days_Since_Last_Movement]]&gt;90,"Slow-Moving","Active"))</f>
        <v>Slow-Moving</v>
      </c>
      <c r="V397">
        <f>SUM($Q$2:Q397)</f>
        <v>74447350</v>
      </c>
      <c r="W397">
        <f>Table1[[#This Row],[Cumulative_Inventory_Value]]/$AP$3</f>
        <v>0.98351259793036216</v>
      </c>
      <c r="X397" t="str">
        <f>IF(Table1[[#This Row],[Cumulative_Value_%]]&lt;80%,"A", IF(Table1[[#This Row],[Cumulative_Value_%]]&lt;=95%,"B","C"))</f>
        <v>C</v>
      </c>
      <c r="Y397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397">
        <f>Table1[[#This Row],[Consumption]]/365</f>
        <v>5.4794520547945206E-3</v>
      </c>
      <c r="AA397">
        <f>Table1[[#This Row],[Avg_Daily_Consumption]]*Table1[[#This Row],[Lead_Time_Days]]+Table1[[#This Row],[Safety_Stock]]</f>
        <v>1.273972602739726</v>
      </c>
      <c r="AB397">
        <f>IFERROR(Table1[[#This Row],[Closing_Stock]]/Table1[[#This Row],[Avg_Daily_Consumption]],9999)</f>
        <v>6205</v>
      </c>
      <c r="AC397">
        <f>MAX(1,ROUNDUP(Table1[[#This Row],[Avg_Daily_Consumption]]*Table1[[#This Row],[Lead_Time_Days]]*0.8,0))</f>
        <v>1</v>
      </c>
      <c r="AD397" t="str">
        <f>IF(Table1[[#This Row],[Closing_Stock]]&lt;Table1[[#This Row],[Reorder_Point]],"Stock-out Risk","Adequate")</f>
        <v>Adequate</v>
      </c>
      <c r="AE397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397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397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397" s="11">
        <f>MAX(0,Table1[[#This Row],[Closing_Stock]]-Table1[[#This Row],[Reorder_Point]])</f>
        <v>32.726027397260275</v>
      </c>
      <c r="AI397" s="11">
        <f>Table1[[#This Row],[Excess_Stock_Units]]*Table1[[#This Row],[Unit_Cost_INR]]</f>
        <v>20944.657534246577</v>
      </c>
      <c r="AJ397" s="11">
        <f>IF(Table1[[#This Row],[Criticality]]="Critical",0,Table1[[#This Row],[Excess_Inventory_Value_INR]])</f>
        <v>20944.657534246577</v>
      </c>
      <c r="AK397" s="11">
        <f>IF(AND(Table1[[#This Row],[Criticality]]&lt;&gt;"Critical",OR(Table1[[#This Row],[Movement_Class]]="Slow-Moving",Table1[[#This Row],[Movement_Class]]="Non-Moving")),Table1[[#This Row],[Excess_Inventory_Value_INR]],0)</f>
        <v>20944.657534246577</v>
      </c>
    </row>
    <row r="398" spans="1:37" x14ac:dyDescent="0.25">
      <c r="A398" t="s">
        <v>174</v>
      </c>
      <c r="B398" t="s">
        <v>19</v>
      </c>
      <c r="C398" t="s">
        <v>20</v>
      </c>
      <c r="D398" t="s">
        <v>66</v>
      </c>
      <c r="E398" t="s">
        <v>22</v>
      </c>
      <c r="F398">
        <v>24</v>
      </c>
      <c r="G398">
        <v>21</v>
      </c>
      <c r="H398">
        <v>22</v>
      </c>
      <c r="I398">
        <v>23</v>
      </c>
      <c r="J398">
        <v>940</v>
      </c>
      <c r="K398">
        <v>21</v>
      </c>
      <c r="L398">
        <v>0</v>
      </c>
      <c r="M398">
        <v>57</v>
      </c>
      <c r="N398" t="s">
        <v>61</v>
      </c>
      <c r="O398">
        <v>0.26100000000000001</v>
      </c>
      <c r="P398">
        <v>5642.8200000000006</v>
      </c>
      <c r="Q398">
        <f>(Table1[[#This Row],[Closing_Stock]]*Table1[[#This Row],[Unit_Cost_INR]])</f>
        <v>21620</v>
      </c>
      <c r="R398">
        <f>(Table1[[#This Row],[Unit_Cost_INR]]*Table1[[#This Row],[Consumption]])</f>
        <v>20680</v>
      </c>
      <c r="S398">
        <f>IFERROR(Table1[[#This Row],[Annual_Consumption_Value_INR]]/Table1[[#This Row],[Inventory_Value_INR]],0)</f>
        <v>0.95652173913043481</v>
      </c>
      <c r="T398">
        <f>IFERROR(365/Table1[[#This Row],[Inventory_Turnover]],0)</f>
        <v>381.59090909090907</v>
      </c>
      <c r="U398" t="str">
        <f>IF(Table1[[#This Row],[Consumption]]=0,"Non-Moving", IF(Table1[[#This Row],[Days_Since_Last_Movement]]&gt;90,"Slow-Moving","Active"))</f>
        <v>Active</v>
      </c>
      <c r="V398">
        <f>SUM($Q$2:Q398)</f>
        <v>74468970</v>
      </c>
      <c r="W398">
        <f>Table1[[#This Row],[Cumulative_Inventory_Value]]/$AP$3</f>
        <v>0.98379821645630372</v>
      </c>
      <c r="X398" t="str">
        <f>IF(Table1[[#This Row],[Cumulative_Value_%]]&lt;80%,"A", IF(Table1[[#This Row],[Cumulative_Value_%]]&lt;=95%,"B","C"))</f>
        <v>C</v>
      </c>
      <c r="Y398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398">
        <f>Table1[[#This Row],[Consumption]]/365</f>
        <v>6.0273972602739728E-2</v>
      </c>
      <c r="AA398">
        <f>Table1[[#This Row],[Avg_Daily_Consumption]]*Table1[[#This Row],[Lead_Time_Days]]+Table1[[#This Row],[Safety_Stock]]</f>
        <v>3.2657534246575342</v>
      </c>
      <c r="AB398">
        <f>IFERROR(Table1[[#This Row],[Closing_Stock]]/Table1[[#This Row],[Avg_Daily_Consumption]],9999)</f>
        <v>381.59090909090907</v>
      </c>
      <c r="AC398">
        <f>MAX(1,ROUNDUP(Table1[[#This Row],[Avg_Daily_Consumption]]*Table1[[#This Row],[Lead_Time_Days]]*0.8,0))</f>
        <v>2</v>
      </c>
      <c r="AD398" t="str">
        <f>IF(Table1[[#This Row],[Closing_Stock]]&lt;Table1[[#This Row],[Reorder_Point]],"Stock-out Risk","Adequate")</f>
        <v>Adequate</v>
      </c>
      <c r="AE398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398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398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398" s="11">
        <f>MAX(0,Table1[[#This Row],[Closing_Stock]]-Table1[[#This Row],[Reorder_Point]])</f>
        <v>19.734246575342468</v>
      </c>
      <c r="AI398" s="11">
        <f>Table1[[#This Row],[Excess_Stock_Units]]*Table1[[#This Row],[Unit_Cost_INR]]</f>
        <v>18550.191780821919</v>
      </c>
      <c r="AJ398" s="11">
        <f>IF(Table1[[#This Row],[Criticality]]="Critical",0,Table1[[#This Row],[Excess_Inventory_Value_INR]])</f>
        <v>18550.191780821919</v>
      </c>
      <c r="AK398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399" spans="1:37" x14ac:dyDescent="0.25">
      <c r="A399" t="s">
        <v>279</v>
      </c>
      <c r="B399" t="s">
        <v>73</v>
      </c>
      <c r="C399" t="s">
        <v>41</v>
      </c>
      <c r="D399" t="s">
        <v>66</v>
      </c>
      <c r="E399" t="s">
        <v>22</v>
      </c>
      <c r="F399">
        <v>22</v>
      </c>
      <c r="G399">
        <v>18</v>
      </c>
      <c r="H399">
        <v>13</v>
      </c>
      <c r="I399">
        <v>27</v>
      </c>
      <c r="J399">
        <v>800</v>
      </c>
      <c r="K399">
        <v>15</v>
      </c>
      <c r="L399">
        <v>1</v>
      </c>
      <c r="M399">
        <v>289</v>
      </c>
      <c r="N399" t="s">
        <v>29</v>
      </c>
      <c r="O399">
        <v>0.186</v>
      </c>
      <c r="P399">
        <v>4017.6</v>
      </c>
      <c r="Q399">
        <f>(Table1[[#This Row],[Closing_Stock]]*Table1[[#This Row],[Unit_Cost_INR]])</f>
        <v>21600</v>
      </c>
      <c r="R399">
        <f>(Table1[[#This Row],[Unit_Cost_INR]]*Table1[[#This Row],[Consumption]])</f>
        <v>10400</v>
      </c>
      <c r="S399">
        <f>IFERROR(Table1[[#This Row],[Annual_Consumption_Value_INR]]/Table1[[#This Row],[Inventory_Value_INR]],0)</f>
        <v>0.48148148148148145</v>
      </c>
      <c r="T399">
        <f>IFERROR(365/Table1[[#This Row],[Inventory_Turnover]],0)</f>
        <v>758.07692307692309</v>
      </c>
      <c r="U399" t="str">
        <f>IF(Table1[[#This Row],[Consumption]]=0,"Non-Moving", IF(Table1[[#This Row],[Days_Since_Last_Movement]]&gt;90,"Slow-Moving","Active"))</f>
        <v>Slow-Moving</v>
      </c>
      <c r="V399">
        <f>SUM($Q$2:Q399)</f>
        <v>74490570</v>
      </c>
      <c r="W399">
        <f>Table1[[#This Row],[Cumulative_Inventory_Value]]/$AP$3</f>
        <v>0.98408357076529251</v>
      </c>
      <c r="X399" t="str">
        <f>IF(Table1[[#This Row],[Cumulative_Value_%]]&lt;80%,"A", IF(Table1[[#This Row],[Cumulative_Value_%]]&lt;=95%,"B","C"))</f>
        <v>C</v>
      </c>
      <c r="Y399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399">
        <f>Table1[[#This Row],[Consumption]]/365</f>
        <v>3.5616438356164383E-2</v>
      </c>
      <c r="AA399">
        <f>Table1[[#This Row],[Avg_Daily_Consumption]]*Table1[[#This Row],[Lead_Time_Days]]+Table1[[#This Row],[Safety_Stock]]</f>
        <v>1.5342465753424657</v>
      </c>
      <c r="AB399">
        <f>IFERROR(Table1[[#This Row],[Closing_Stock]]/Table1[[#This Row],[Avg_Daily_Consumption]],9999)</f>
        <v>758.07692307692309</v>
      </c>
      <c r="AC399">
        <f>MAX(1,ROUNDUP(Table1[[#This Row],[Avg_Daily_Consumption]]*Table1[[#This Row],[Lead_Time_Days]]*0.8,0))</f>
        <v>1</v>
      </c>
      <c r="AD399" t="str">
        <f>IF(Table1[[#This Row],[Closing_Stock]]&lt;Table1[[#This Row],[Reorder_Point]],"Stock-out Risk","Adequate")</f>
        <v>Adequate</v>
      </c>
      <c r="AE399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399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399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399" s="11">
        <f>MAX(0,Table1[[#This Row],[Closing_Stock]]-Table1[[#This Row],[Reorder_Point]])</f>
        <v>25.465753424657535</v>
      </c>
      <c r="AI399" s="11">
        <f>Table1[[#This Row],[Excess_Stock_Units]]*Table1[[#This Row],[Unit_Cost_INR]]</f>
        <v>20372.60273972603</v>
      </c>
      <c r="AJ399" s="11">
        <f>IF(Table1[[#This Row],[Criticality]]="Critical",0,Table1[[#This Row],[Excess_Inventory_Value_INR]])</f>
        <v>20372.60273972603</v>
      </c>
      <c r="AK399" s="11">
        <f>IF(AND(Table1[[#This Row],[Criticality]]&lt;&gt;"Critical",OR(Table1[[#This Row],[Movement_Class]]="Slow-Moving",Table1[[#This Row],[Movement_Class]]="Non-Moving")),Table1[[#This Row],[Excess_Inventory_Value_INR]],0)</f>
        <v>20372.60273972603</v>
      </c>
    </row>
    <row r="400" spans="1:37" x14ac:dyDescent="0.25">
      <c r="A400" t="s">
        <v>440</v>
      </c>
      <c r="B400" t="s">
        <v>95</v>
      </c>
      <c r="C400" t="s">
        <v>26</v>
      </c>
      <c r="D400" t="s">
        <v>27</v>
      </c>
      <c r="E400" t="s">
        <v>28</v>
      </c>
      <c r="F400">
        <v>21</v>
      </c>
      <c r="G400">
        <v>6</v>
      </c>
      <c r="H400">
        <v>5</v>
      </c>
      <c r="I400">
        <v>22</v>
      </c>
      <c r="J400">
        <v>980</v>
      </c>
      <c r="K400">
        <v>39</v>
      </c>
      <c r="L400">
        <v>1</v>
      </c>
      <c r="M400">
        <v>17</v>
      </c>
      <c r="N400" t="s">
        <v>23</v>
      </c>
      <c r="O400">
        <v>0.16700000000000001</v>
      </c>
      <c r="P400">
        <v>3600.52</v>
      </c>
      <c r="Q400">
        <f>(Table1[[#This Row],[Closing_Stock]]*Table1[[#This Row],[Unit_Cost_INR]])</f>
        <v>21560</v>
      </c>
      <c r="R400">
        <f>(Table1[[#This Row],[Unit_Cost_INR]]*Table1[[#This Row],[Consumption]])</f>
        <v>4900</v>
      </c>
      <c r="S400">
        <f>IFERROR(Table1[[#This Row],[Annual_Consumption_Value_INR]]/Table1[[#This Row],[Inventory_Value_INR]],0)</f>
        <v>0.22727272727272727</v>
      </c>
      <c r="T400">
        <f>IFERROR(365/Table1[[#This Row],[Inventory_Turnover]],0)</f>
        <v>1606</v>
      </c>
      <c r="U400" t="str">
        <f>IF(Table1[[#This Row],[Consumption]]=0,"Non-Moving", IF(Table1[[#This Row],[Days_Since_Last_Movement]]&gt;90,"Slow-Moving","Active"))</f>
        <v>Active</v>
      </c>
      <c r="V400">
        <f>SUM($Q$2:Q400)</f>
        <v>74512130</v>
      </c>
      <c r="W400">
        <f>Table1[[#This Row],[Cumulative_Inventory_Value]]/$AP$3</f>
        <v>0.98436839664037579</v>
      </c>
      <c r="X400" t="str">
        <f>IF(Table1[[#This Row],[Cumulative_Value_%]]&lt;80%,"A", IF(Table1[[#This Row],[Cumulative_Value_%]]&lt;=95%,"B","C"))</f>
        <v>C</v>
      </c>
      <c r="Y400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400">
        <f>Table1[[#This Row],[Consumption]]/365</f>
        <v>1.3698630136986301E-2</v>
      </c>
      <c r="AA400">
        <f>Table1[[#This Row],[Avg_Daily_Consumption]]*Table1[[#This Row],[Lead_Time_Days]]+Table1[[#This Row],[Safety_Stock]]</f>
        <v>1.5342465753424657</v>
      </c>
      <c r="AB400">
        <f>IFERROR(Table1[[#This Row],[Closing_Stock]]/Table1[[#This Row],[Avg_Daily_Consumption]],9999)</f>
        <v>1606</v>
      </c>
      <c r="AC400">
        <f>MAX(1,ROUNDUP(Table1[[#This Row],[Avg_Daily_Consumption]]*Table1[[#This Row],[Lead_Time_Days]]*0.8,0))</f>
        <v>1</v>
      </c>
      <c r="AD400" t="str">
        <f>IF(Table1[[#This Row],[Closing_Stock]]&lt;Table1[[#This Row],[Reorder_Point]],"Stock-out Risk","Adequate")</f>
        <v>Adequate</v>
      </c>
      <c r="AE400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400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400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400" s="11">
        <f>MAX(0,Table1[[#This Row],[Closing_Stock]]-Table1[[#This Row],[Reorder_Point]])</f>
        <v>20.465753424657535</v>
      </c>
      <c r="AI400" s="11">
        <f>Table1[[#This Row],[Excess_Stock_Units]]*Table1[[#This Row],[Unit_Cost_INR]]</f>
        <v>20056.438356164384</v>
      </c>
      <c r="AJ400" s="11">
        <f>IF(Table1[[#This Row],[Criticality]]="Critical",0,Table1[[#This Row],[Excess_Inventory_Value_INR]])</f>
        <v>20056.438356164384</v>
      </c>
      <c r="AK400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401" spans="1:37" x14ac:dyDescent="0.25">
      <c r="A401" t="s">
        <v>264</v>
      </c>
      <c r="B401" t="s">
        <v>93</v>
      </c>
      <c r="C401" t="s">
        <v>26</v>
      </c>
      <c r="D401" t="s">
        <v>21</v>
      </c>
      <c r="E401" t="s">
        <v>46</v>
      </c>
      <c r="F401">
        <v>24</v>
      </c>
      <c r="G401">
        <v>20</v>
      </c>
      <c r="H401">
        <v>7</v>
      </c>
      <c r="I401">
        <v>69</v>
      </c>
      <c r="J401">
        <v>310</v>
      </c>
      <c r="K401">
        <v>31</v>
      </c>
      <c r="L401">
        <v>0</v>
      </c>
      <c r="M401">
        <v>302</v>
      </c>
      <c r="N401" t="s">
        <v>29</v>
      </c>
      <c r="O401">
        <v>0.17799999999999999</v>
      </c>
      <c r="P401">
        <v>3807.42</v>
      </c>
      <c r="Q401">
        <f>(Table1[[#This Row],[Closing_Stock]]*Table1[[#This Row],[Unit_Cost_INR]])</f>
        <v>21390</v>
      </c>
      <c r="R401">
        <f>(Table1[[#This Row],[Unit_Cost_INR]]*Table1[[#This Row],[Consumption]])</f>
        <v>2170</v>
      </c>
      <c r="S401">
        <f>IFERROR(Table1[[#This Row],[Annual_Consumption_Value_INR]]/Table1[[#This Row],[Inventory_Value_INR]],0)</f>
        <v>0.10144927536231885</v>
      </c>
      <c r="T401">
        <f>IFERROR(365/Table1[[#This Row],[Inventory_Turnover]],0)</f>
        <v>3597.8571428571427</v>
      </c>
      <c r="U401" t="str">
        <f>IF(Table1[[#This Row],[Consumption]]=0,"Non-Moving", IF(Table1[[#This Row],[Days_Since_Last_Movement]]&gt;90,"Slow-Moving","Active"))</f>
        <v>Slow-Moving</v>
      </c>
      <c r="V401">
        <f>SUM($Q$2:Q401)</f>
        <v>74533520</v>
      </c>
      <c r="W401">
        <f>Table1[[#This Row],[Cumulative_Inventory_Value]]/$AP$3</f>
        <v>0.98465097667136048</v>
      </c>
      <c r="X401" t="str">
        <f>IF(Table1[[#This Row],[Cumulative_Value_%]]&lt;80%,"A", IF(Table1[[#This Row],[Cumulative_Value_%]]&lt;=95%,"B","C"))</f>
        <v>C</v>
      </c>
      <c r="Y401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401">
        <f>Table1[[#This Row],[Consumption]]/365</f>
        <v>1.9178082191780823E-2</v>
      </c>
      <c r="AA401">
        <f>Table1[[#This Row],[Avg_Daily_Consumption]]*Table1[[#This Row],[Lead_Time_Days]]+Table1[[#This Row],[Safety_Stock]]</f>
        <v>1.5945205479452054</v>
      </c>
      <c r="AB401">
        <f>IFERROR(Table1[[#This Row],[Closing_Stock]]/Table1[[#This Row],[Avg_Daily_Consumption]],9999)</f>
        <v>3597.8571428571427</v>
      </c>
      <c r="AC401">
        <f>MAX(1,ROUNDUP(Table1[[#This Row],[Avg_Daily_Consumption]]*Table1[[#This Row],[Lead_Time_Days]]*0.8,0))</f>
        <v>1</v>
      </c>
      <c r="AD401" t="str">
        <f>IF(Table1[[#This Row],[Closing_Stock]]&lt;Table1[[#This Row],[Reorder_Point]],"Stock-out Risk","Adequate")</f>
        <v>Adequate</v>
      </c>
      <c r="AE401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401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401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401" s="11">
        <f>MAX(0,Table1[[#This Row],[Closing_Stock]]-Table1[[#This Row],[Reorder_Point]])</f>
        <v>67.405479452054792</v>
      </c>
      <c r="AI401" s="11">
        <f>Table1[[#This Row],[Excess_Stock_Units]]*Table1[[#This Row],[Unit_Cost_INR]]</f>
        <v>20895.698630136987</v>
      </c>
      <c r="AJ401" s="11">
        <f>IF(Table1[[#This Row],[Criticality]]="Critical",0,Table1[[#This Row],[Excess_Inventory_Value_INR]])</f>
        <v>20895.698630136987</v>
      </c>
      <c r="AK401" s="11">
        <f>IF(AND(Table1[[#This Row],[Criticality]]&lt;&gt;"Critical",OR(Table1[[#This Row],[Movement_Class]]="Slow-Moving",Table1[[#This Row],[Movement_Class]]="Non-Moving")),Table1[[#This Row],[Excess_Inventory_Value_INR]],0)</f>
        <v>20895.698630136987</v>
      </c>
    </row>
    <row r="402" spans="1:37" x14ac:dyDescent="0.25">
      <c r="A402" t="s">
        <v>365</v>
      </c>
      <c r="B402" t="s">
        <v>63</v>
      </c>
      <c r="C402" t="s">
        <v>52</v>
      </c>
      <c r="D402" t="s">
        <v>45</v>
      </c>
      <c r="E402" t="s">
        <v>22</v>
      </c>
      <c r="F402">
        <v>23</v>
      </c>
      <c r="G402">
        <v>10</v>
      </c>
      <c r="H402">
        <v>6</v>
      </c>
      <c r="I402">
        <v>27</v>
      </c>
      <c r="J402">
        <v>790</v>
      </c>
      <c r="K402">
        <v>20</v>
      </c>
      <c r="L402">
        <v>0</v>
      </c>
      <c r="M402">
        <v>1</v>
      </c>
      <c r="N402" t="s">
        <v>23</v>
      </c>
      <c r="O402">
        <v>0.27400000000000002</v>
      </c>
      <c r="P402">
        <v>5844.42</v>
      </c>
      <c r="Q402">
        <f>(Table1[[#This Row],[Closing_Stock]]*Table1[[#This Row],[Unit_Cost_INR]])</f>
        <v>21330</v>
      </c>
      <c r="R402">
        <f>(Table1[[#This Row],[Unit_Cost_INR]]*Table1[[#This Row],[Consumption]])</f>
        <v>4740</v>
      </c>
      <c r="S402">
        <f>IFERROR(Table1[[#This Row],[Annual_Consumption_Value_INR]]/Table1[[#This Row],[Inventory_Value_INR]],0)</f>
        <v>0.22222222222222221</v>
      </c>
      <c r="T402">
        <f>IFERROR(365/Table1[[#This Row],[Inventory_Turnover]],0)</f>
        <v>1642.5</v>
      </c>
      <c r="U402" t="str">
        <f>IF(Table1[[#This Row],[Consumption]]=0,"Non-Moving", IF(Table1[[#This Row],[Days_Since_Last_Movement]]&gt;90,"Slow-Moving","Active"))</f>
        <v>Active</v>
      </c>
      <c r="V402">
        <f>SUM($Q$2:Q402)</f>
        <v>74554850</v>
      </c>
      <c r="W402">
        <f>Table1[[#This Row],[Cumulative_Inventory_Value]]/$AP$3</f>
        <v>0.98493276405148689</v>
      </c>
      <c r="X402" t="str">
        <f>IF(Table1[[#This Row],[Cumulative_Value_%]]&lt;80%,"A", IF(Table1[[#This Row],[Cumulative_Value_%]]&lt;=95%,"B","C"))</f>
        <v>C</v>
      </c>
      <c r="Y402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402">
        <f>Table1[[#This Row],[Consumption]]/365</f>
        <v>1.643835616438356E-2</v>
      </c>
      <c r="AA402">
        <f>Table1[[#This Row],[Avg_Daily_Consumption]]*Table1[[#This Row],[Lead_Time_Days]]+Table1[[#This Row],[Safety_Stock]]</f>
        <v>1.3287671232876712</v>
      </c>
      <c r="AB402">
        <f>IFERROR(Table1[[#This Row],[Closing_Stock]]/Table1[[#This Row],[Avg_Daily_Consumption]],9999)</f>
        <v>1642.5000000000002</v>
      </c>
      <c r="AC402">
        <f>MAX(1,ROUNDUP(Table1[[#This Row],[Avg_Daily_Consumption]]*Table1[[#This Row],[Lead_Time_Days]]*0.8,0))</f>
        <v>1</v>
      </c>
      <c r="AD402" t="str">
        <f>IF(Table1[[#This Row],[Closing_Stock]]&lt;Table1[[#This Row],[Reorder_Point]],"Stock-out Risk","Adequate")</f>
        <v>Adequate</v>
      </c>
      <c r="AE402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402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402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402" s="11">
        <f>MAX(0,Table1[[#This Row],[Closing_Stock]]-Table1[[#This Row],[Reorder_Point]])</f>
        <v>25.671232876712327</v>
      </c>
      <c r="AI402" s="11">
        <f>Table1[[#This Row],[Excess_Stock_Units]]*Table1[[#This Row],[Unit_Cost_INR]]</f>
        <v>20280.273972602739</v>
      </c>
      <c r="AJ402" s="11">
        <f>IF(Table1[[#This Row],[Criticality]]="Critical",0,Table1[[#This Row],[Excess_Inventory_Value_INR]])</f>
        <v>20280.273972602739</v>
      </c>
      <c r="AK402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403" spans="1:37" x14ac:dyDescent="0.25">
      <c r="A403" t="s">
        <v>114</v>
      </c>
      <c r="B403" t="s">
        <v>48</v>
      </c>
      <c r="C403" t="s">
        <v>41</v>
      </c>
      <c r="D403" t="s">
        <v>42</v>
      </c>
      <c r="E403" t="s">
        <v>28</v>
      </c>
      <c r="F403">
        <v>53</v>
      </c>
      <c r="G403">
        <v>83</v>
      </c>
      <c r="H403">
        <v>84</v>
      </c>
      <c r="I403">
        <v>52</v>
      </c>
      <c r="J403">
        <v>410</v>
      </c>
      <c r="K403">
        <v>13</v>
      </c>
      <c r="L403">
        <v>1</v>
      </c>
      <c r="M403">
        <v>64</v>
      </c>
      <c r="N403" t="s">
        <v>61</v>
      </c>
      <c r="O403">
        <v>0.247</v>
      </c>
      <c r="P403">
        <v>5266.04</v>
      </c>
      <c r="Q403">
        <f>(Table1[[#This Row],[Closing_Stock]]*Table1[[#This Row],[Unit_Cost_INR]])</f>
        <v>21320</v>
      </c>
      <c r="R403">
        <f>(Table1[[#This Row],[Unit_Cost_INR]]*Table1[[#This Row],[Consumption]])</f>
        <v>34440</v>
      </c>
      <c r="S403">
        <f>IFERROR(Table1[[#This Row],[Annual_Consumption_Value_INR]]/Table1[[#This Row],[Inventory_Value_INR]],0)</f>
        <v>1.6153846153846154</v>
      </c>
      <c r="T403">
        <f>IFERROR(365/Table1[[#This Row],[Inventory_Turnover]],0)</f>
        <v>225.95238095238093</v>
      </c>
      <c r="U403" t="str">
        <f>IF(Table1[[#This Row],[Consumption]]=0,"Non-Moving", IF(Table1[[#This Row],[Days_Since_Last_Movement]]&gt;90,"Slow-Moving","Active"))</f>
        <v>Active</v>
      </c>
      <c r="V403">
        <f>SUM($Q$2:Q403)</f>
        <v>74576170</v>
      </c>
      <c r="W403">
        <f>Table1[[#This Row],[Cumulative_Inventory_Value]]/$AP$3</f>
        <v>0.98521441932313691</v>
      </c>
      <c r="X403" t="str">
        <f>IF(Table1[[#This Row],[Cumulative_Value_%]]&lt;80%,"A", IF(Table1[[#This Row],[Cumulative_Value_%]]&lt;=95%,"B","C"))</f>
        <v>C</v>
      </c>
      <c r="Y403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403">
        <f>Table1[[#This Row],[Consumption]]/365</f>
        <v>0.23013698630136986</v>
      </c>
      <c r="AA403">
        <f>Table1[[#This Row],[Avg_Daily_Consumption]]*Table1[[#This Row],[Lead_Time_Days]]+Table1[[#This Row],[Safety_Stock]]</f>
        <v>5.9917808219178088</v>
      </c>
      <c r="AB403">
        <f>IFERROR(Table1[[#This Row],[Closing_Stock]]/Table1[[#This Row],[Avg_Daily_Consumption]],9999)</f>
        <v>225.95238095238096</v>
      </c>
      <c r="AC403">
        <f>MAX(1,ROUNDUP(Table1[[#This Row],[Avg_Daily_Consumption]]*Table1[[#This Row],[Lead_Time_Days]]*0.8,0))</f>
        <v>3</v>
      </c>
      <c r="AD403" t="str">
        <f>IF(Table1[[#This Row],[Closing_Stock]]&lt;Table1[[#This Row],[Reorder_Point]],"Stock-out Risk","Adequate")</f>
        <v>Adequate</v>
      </c>
      <c r="AE403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403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403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403" s="11">
        <f>MAX(0,Table1[[#This Row],[Closing_Stock]]-Table1[[#This Row],[Reorder_Point]])</f>
        <v>46.008219178082193</v>
      </c>
      <c r="AI403" s="11">
        <f>Table1[[#This Row],[Excess_Stock_Units]]*Table1[[#This Row],[Unit_Cost_INR]]</f>
        <v>18863.369863013701</v>
      </c>
      <c r="AJ403" s="11">
        <f>IF(Table1[[#This Row],[Criticality]]="Critical",0,Table1[[#This Row],[Excess_Inventory_Value_INR]])</f>
        <v>18863.369863013701</v>
      </c>
      <c r="AK403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404" spans="1:37" x14ac:dyDescent="0.25">
      <c r="A404" t="s">
        <v>185</v>
      </c>
      <c r="B404" t="s">
        <v>129</v>
      </c>
      <c r="C404" t="s">
        <v>52</v>
      </c>
      <c r="D404" t="s">
        <v>45</v>
      </c>
      <c r="E404" t="s">
        <v>37</v>
      </c>
      <c r="F404">
        <v>15</v>
      </c>
      <c r="G404">
        <v>4</v>
      </c>
      <c r="H404">
        <v>4</v>
      </c>
      <c r="I404">
        <v>15</v>
      </c>
      <c r="J404">
        <v>1410</v>
      </c>
      <c r="K404">
        <v>27</v>
      </c>
      <c r="L404">
        <v>0</v>
      </c>
      <c r="M404">
        <v>78</v>
      </c>
      <c r="N404" t="s">
        <v>38</v>
      </c>
      <c r="O404">
        <v>0.189</v>
      </c>
      <c r="P404">
        <v>3997.35</v>
      </c>
      <c r="Q404">
        <f>(Table1[[#This Row],[Closing_Stock]]*Table1[[#This Row],[Unit_Cost_INR]])</f>
        <v>21150</v>
      </c>
      <c r="R404">
        <f>(Table1[[#This Row],[Unit_Cost_INR]]*Table1[[#This Row],[Consumption]])</f>
        <v>5640</v>
      </c>
      <c r="S404">
        <f>IFERROR(Table1[[#This Row],[Annual_Consumption_Value_INR]]/Table1[[#This Row],[Inventory_Value_INR]],0)</f>
        <v>0.26666666666666666</v>
      </c>
      <c r="T404">
        <f>IFERROR(365/Table1[[#This Row],[Inventory_Turnover]],0)</f>
        <v>1368.75</v>
      </c>
      <c r="U404" t="str">
        <f>IF(Table1[[#This Row],[Consumption]]=0,"Non-Moving", IF(Table1[[#This Row],[Days_Since_Last_Movement]]&gt;90,"Slow-Moving","Active"))</f>
        <v>Active</v>
      </c>
      <c r="V404">
        <f>SUM($Q$2:Q404)</f>
        <v>74597320</v>
      </c>
      <c r="W404">
        <f>Table1[[#This Row],[Cumulative_Inventory_Value]]/$AP$3</f>
        <v>0.98549382875068847</v>
      </c>
      <c r="X404" t="str">
        <f>IF(Table1[[#This Row],[Cumulative_Value_%]]&lt;80%,"A", IF(Table1[[#This Row],[Cumulative_Value_%]]&lt;=95%,"B","C"))</f>
        <v>C</v>
      </c>
      <c r="Y404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404">
        <f>Table1[[#This Row],[Consumption]]/365</f>
        <v>1.0958904109589041E-2</v>
      </c>
      <c r="AA404">
        <f>Table1[[#This Row],[Avg_Daily_Consumption]]*Table1[[#This Row],[Lead_Time_Days]]+Table1[[#This Row],[Safety_Stock]]</f>
        <v>1.2958904109589042</v>
      </c>
      <c r="AB404">
        <f>IFERROR(Table1[[#This Row],[Closing_Stock]]/Table1[[#This Row],[Avg_Daily_Consumption]],9999)</f>
        <v>1368.75</v>
      </c>
      <c r="AC404">
        <f>MAX(1,ROUNDUP(Table1[[#This Row],[Avg_Daily_Consumption]]*Table1[[#This Row],[Lead_Time_Days]]*0.8,0))</f>
        <v>1</v>
      </c>
      <c r="AD404" t="str">
        <f>IF(Table1[[#This Row],[Closing_Stock]]&lt;Table1[[#This Row],[Reorder_Point]],"Stock-out Risk","Adequate")</f>
        <v>Adequate</v>
      </c>
      <c r="AE404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404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404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404" s="11">
        <f>MAX(0,Table1[[#This Row],[Closing_Stock]]-Table1[[#This Row],[Reorder_Point]])</f>
        <v>13.704109589041096</v>
      </c>
      <c r="AI404" s="11">
        <f>Table1[[#This Row],[Excess_Stock_Units]]*Table1[[#This Row],[Unit_Cost_INR]]</f>
        <v>19322.794520547945</v>
      </c>
      <c r="AJ404" s="11">
        <f>IF(Table1[[#This Row],[Criticality]]="Critical",0,Table1[[#This Row],[Excess_Inventory_Value_INR]])</f>
        <v>0</v>
      </c>
      <c r="AK404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405" spans="1:37" x14ac:dyDescent="0.25">
      <c r="A405" t="s">
        <v>379</v>
      </c>
      <c r="B405" t="s">
        <v>80</v>
      </c>
      <c r="C405" t="s">
        <v>20</v>
      </c>
      <c r="D405" t="s">
        <v>45</v>
      </c>
      <c r="E405" t="s">
        <v>37</v>
      </c>
      <c r="F405">
        <v>19</v>
      </c>
      <c r="G405">
        <v>11</v>
      </c>
      <c r="H405">
        <v>8</v>
      </c>
      <c r="I405">
        <v>22</v>
      </c>
      <c r="J405">
        <v>950</v>
      </c>
      <c r="K405">
        <v>15</v>
      </c>
      <c r="L405">
        <v>1</v>
      </c>
      <c r="M405">
        <v>27</v>
      </c>
      <c r="N405" t="s">
        <v>29</v>
      </c>
      <c r="O405">
        <v>0.17899999999999999</v>
      </c>
      <c r="P405">
        <v>3741.1</v>
      </c>
      <c r="Q405">
        <f>(Table1[[#This Row],[Closing_Stock]]*Table1[[#This Row],[Unit_Cost_INR]])</f>
        <v>20900</v>
      </c>
      <c r="R405">
        <f>(Table1[[#This Row],[Unit_Cost_INR]]*Table1[[#This Row],[Consumption]])</f>
        <v>7600</v>
      </c>
      <c r="S405">
        <f>IFERROR(Table1[[#This Row],[Annual_Consumption_Value_INR]]/Table1[[#This Row],[Inventory_Value_INR]],0)</f>
        <v>0.36363636363636365</v>
      </c>
      <c r="T405">
        <f>IFERROR(365/Table1[[#This Row],[Inventory_Turnover]],0)</f>
        <v>1003.75</v>
      </c>
      <c r="U405" t="str">
        <f>IF(Table1[[#This Row],[Consumption]]=0,"Non-Moving", IF(Table1[[#This Row],[Days_Since_Last_Movement]]&gt;90,"Slow-Moving","Active"))</f>
        <v>Active</v>
      </c>
      <c r="V405">
        <f>SUM($Q$2:Q405)</f>
        <v>74618220</v>
      </c>
      <c r="W405">
        <f>Table1[[#This Row],[Cumulative_Inventory_Value]]/$AP$3</f>
        <v>0.9857699354663304</v>
      </c>
      <c r="X405" t="str">
        <f>IF(Table1[[#This Row],[Cumulative_Value_%]]&lt;80%,"A", IF(Table1[[#This Row],[Cumulative_Value_%]]&lt;=95%,"B","C"))</f>
        <v>C</v>
      </c>
      <c r="Y405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405">
        <f>Table1[[#This Row],[Consumption]]/365</f>
        <v>2.1917808219178082E-2</v>
      </c>
      <c r="AA405">
        <f>Table1[[#This Row],[Avg_Daily_Consumption]]*Table1[[#This Row],[Lead_Time_Days]]+Table1[[#This Row],[Safety_Stock]]</f>
        <v>1.3287671232876712</v>
      </c>
      <c r="AB405">
        <f>IFERROR(Table1[[#This Row],[Closing_Stock]]/Table1[[#This Row],[Avg_Daily_Consumption]],9999)</f>
        <v>1003.75</v>
      </c>
      <c r="AC405">
        <f>MAX(1,ROUNDUP(Table1[[#This Row],[Avg_Daily_Consumption]]*Table1[[#This Row],[Lead_Time_Days]]*0.8,0))</f>
        <v>1</v>
      </c>
      <c r="AD405" t="str">
        <f>IF(Table1[[#This Row],[Closing_Stock]]&lt;Table1[[#This Row],[Reorder_Point]],"Stock-out Risk","Adequate")</f>
        <v>Adequate</v>
      </c>
      <c r="AE405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405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405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405" s="11">
        <f>MAX(0,Table1[[#This Row],[Closing_Stock]]-Table1[[#This Row],[Reorder_Point]])</f>
        <v>20.671232876712327</v>
      </c>
      <c r="AI405" s="11">
        <f>Table1[[#This Row],[Excess_Stock_Units]]*Table1[[#This Row],[Unit_Cost_INR]]</f>
        <v>19637.67123287671</v>
      </c>
      <c r="AJ405" s="11">
        <f>IF(Table1[[#This Row],[Criticality]]="Critical",0,Table1[[#This Row],[Excess_Inventory_Value_INR]])</f>
        <v>0</v>
      </c>
      <c r="AK405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406" spans="1:37" x14ac:dyDescent="0.25">
      <c r="A406" t="s">
        <v>267</v>
      </c>
      <c r="B406" t="s">
        <v>99</v>
      </c>
      <c r="C406" t="s">
        <v>20</v>
      </c>
      <c r="D406" t="s">
        <v>21</v>
      </c>
      <c r="E406" t="s">
        <v>46</v>
      </c>
      <c r="F406">
        <v>17</v>
      </c>
      <c r="G406">
        <v>23</v>
      </c>
      <c r="H406">
        <v>20</v>
      </c>
      <c r="I406">
        <v>20</v>
      </c>
      <c r="J406">
        <v>1040</v>
      </c>
      <c r="K406">
        <v>35</v>
      </c>
      <c r="L406">
        <v>0</v>
      </c>
      <c r="M406">
        <v>21</v>
      </c>
      <c r="N406" t="s">
        <v>38</v>
      </c>
      <c r="O406">
        <v>0.248</v>
      </c>
      <c r="P406">
        <v>5158.3999999999996</v>
      </c>
      <c r="Q406">
        <f>(Table1[[#This Row],[Closing_Stock]]*Table1[[#This Row],[Unit_Cost_INR]])</f>
        <v>20800</v>
      </c>
      <c r="R406">
        <f>(Table1[[#This Row],[Unit_Cost_INR]]*Table1[[#This Row],[Consumption]])</f>
        <v>20800</v>
      </c>
      <c r="S406">
        <f>IFERROR(Table1[[#This Row],[Annual_Consumption_Value_INR]]/Table1[[#This Row],[Inventory_Value_INR]],0)</f>
        <v>1</v>
      </c>
      <c r="T406">
        <f>IFERROR(365/Table1[[#This Row],[Inventory_Turnover]],0)</f>
        <v>365</v>
      </c>
      <c r="U406" t="str">
        <f>IF(Table1[[#This Row],[Consumption]]=0,"Non-Moving", IF(Table1[[#This Row],[Days_Since_Last_Movement]]&gt;90,"Slow-Moving","Active"))</f>
        <v>Active</v>
      </c>
      <c r="V406">
        <f>SUM($Q$2:Q406)</f>
        <v>74639020</v>
      </c>
      <c r="W406">
        <f>Table1[[#This Row],[Cumulative_Inventory_Value]]/$AP$3</f>
        <v>0.98604472109720842</v>
      </c>
      <c r="X406" t="str">
        <f>IF(Table1[[#This Row],[Cumulative_Value_%]]&lt;80%,"A", IF(Table1[[#This Row],[Cumulative_Value_%]]&lt;=95%,"B","C"))</f>
        <v>C</v>
      </c>
      <c r="Y406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406">
        <f>Table1[[#This Row],[Consumption]]/365</f>
        <v>5.4794520547945202E-2</v>
      </c>
      <c r="AA406">
        <f>Table1[[#This Row],[Avg_Daily_Consumption]]*Table1[[#This Row],[Lead_Time_Days]]+Table1[[#This Row],[Safety_Stock]]</f>
        <v>3.9178082191780819</v>
      </c>
      <c r="AB406">
        <f>IFERROR(Table1[[#This Row],[Closing_Stock]]/Table1[[#This Row],[Avg_Daily_Consumption]],9999)</f>
        <v>365</v>
      </c>
      <c r="AC406">
        <f>MAX(1,ROUNDUP(Table1[[#This Row],[Avg_Daily_Consumption]]*Table1[[#This Row],[Lead_Time_Days]]*0.8,0))</f>
        <v>2</v>
      </c>
      <c r="AD406" t="str">
        <f>IF(Table1[[#This Row],[Closing_Stock]]&lt;Table1[[#This Row],[Reorder_Point]],"Stock-out Risk","Adequate")</f>
        <v>Adequate</v>
      </c>
      <c r="AE406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406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406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406" s="11">
        <f>MAX(0,Table1[[#This Row],[Closing_Stock]]-Table1[[#This Row],[Reorder_Point]])</f>
        <v>16.082191780821919</v>
      </c>
      <c r="AI406" s="11">
        <f>Table1[[#This Row],[Excess_Stock_Units]]*Table1[[#This Row],[Unit_Cost_INR]]</f>
        <v>16725.479452054795</v>
      </c>
      <c r="AJ406" s="11">
        <f>IF(Table1[[#This Row],[Criticality]]="Critical",0,Table1[[#This Row],[Excess_Inventory_Value_INR]])</f>
        <v>16725.479452054795</v>
      </c>
      <c r="AK406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407" spans="1:37" x14ac:dyDescent="0.25">
      <c r="A407" t="s">
        <v>529</v>
      </c>
      <c r="B407" t="s">
        <v>73</v>
      </c>
      <c r="C407" t="s">
        <v>41</v>
      </c>
      <c r="D407" t="s">
        <v>42</v>
      </c>
      <c r="E407" t="s">
        <v>28</v>
      </c>
      <c r="F407">
        <v>20</v>
      </c>
      <c r="G407">
        <v>11</v>
      </c>
      <c r="H407">
        <v>9</v>
      </c>
      <c r="I407">
        <v>22</v>
      </c>
      <c r="J407">
        <v>940</v>
      </c>
      <c r="K407">
        <v>8</v>
      </c>
      <c r="L407">
        <v>0</v>
      </c>
      <c r="M407">
        <v>57</v>
      </c>
      <c r="N407" t="s">
        <v>33</v>
      </c>
      <c r="O407">
        <v>0.25600000000000001</v>
      </c>
      <c r="P407">
        <v>5294.08</v>
      </c>
      <c r="Q407">
        <f>(Table1[[#This Row],[Closing_Stock]]*Table1[[#This Row],[Unit_Cost_INR]])</f>
        <v>20680</v>
      </c>
      <c r="R407">
        <f>(Table1[[#This Row],[Unit_Cost_INR]]*Table1[[#This Row],[Consumption]])</f>
        <v>8460</v>
      </c>
      <c r="S407">
        <f>IFERROR(Table1[[#This Row],[Annual_Consumption_Value_INR]]/Table1[[#This Row],[Inventory_Value_INR]],0)</f>
        <v>0.40909090909090912</v>
      </c>
      <c r="T407">
        <f>IFERROR(365/Table1[[#This Row],[Inventory_Turnover]],0)</f>
        <v>892.22222222222217</v>
      </c>
      <c r="U407" t="str">
        <f>IF(Table1[[#This Row],[Consumption]]=0,"Non-Moving", IF(Table1[[#This Row],[Days_Since_Last_Movement]]&gt;90,"Slow-Moving","Active"))</f>
        <v>Active</v>
      </c>
      <c r="V407">
        <f>SUM($Q$2:Q407)</f>
        <v>74659700</v>
      </c>
      <c r="W407">
        <f>Table1[[#This Row],[Cumulative_Inventory_Value]]/$AP$3</f>
        <v>0.98631792142636998</v>
      </c>
      <c r="X407" t="str">
        <f>IF(Table1[[#This Row],[Cumulative_Value_%]]&lt;80%,"A", IF(Table1[[#This Row],[Cumulative_Value_%]]&lt;=95%,"B","C"))</f>
        <v>C</v>
      </c>
      <c r="Y407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407">
        <f>Table1[[#This Row],[Consumption]]/365</f>
        <v>2.4657534246575342E-2</v>
      </c>
      <c r="AA407">
        <f>Table1[[#This Row],[Avg_Daily_Consumption]]*Table1[[#This Row],[Lead_Time_Days]]+Table1[[#This Row],[Safety_Stock]]</f>
        <v>1.1972602739726028</v>
      </c>
      <c r="AB407">
        <f>IFERROR(Table1[[#This Row],[Closing_Stock]]/Table1[[#This Row],[Avg_Daily_Consumption]],9999)</f>
        <v>892.22222222222229</v>
      </c>
      <c r="AC407">
        <f>MAX(1,ROUNDUP(Table1[[#This Row],[Avg_Daily_Consumption]]*Table1[[#This Row],[Lead_Time_Days]]*0.8,0))</f>
        <v>1</v>
      </c>
      <c r="AD407" t="str">
        <f>IF(Table1[[#This Row],[Closing_Stock]]&lt;Table1[[#This Row],[Reorder_Point]],"Stock-out Risk","Adequate")</f>
        <v>Adequate</v>
      </c>
      <c r="AE407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407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407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407" s="11">
        <f>MAX(0,Table1[[#This Row],[Closing_Stock]]-Table1[[#This Row],[Reorder_Point]])</f>
        <v>20.802739726027397</v>
      </c>
      <c r="AI407" s="11">
        <f>Table1[[#This Row],[Excess_Stock_Units]]*Table1[[#This Row],[Unit_Cost_INR]]</f>
        <v>19554.575342465752</v>
      </c>
      <c r="AJ407" s="11">
        <f>IF(Table1[[#This Row],[Criticality]]="Critical",0,Table1[[#This Row],[Excess_Inventory_Value_INR]])</f>
        <v>19554.575342465752</v>
      </c>
      <c r="AK407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408" spans="1:37" x14ac:dyDescent="0.25">
      <c r="A408" t="s">
        <v>300</v>
      </c>
      <c r="B408" t="s">
        <v>152</v>
      </c>
      <c r="C408" t="s">
        <v>20</v>
      </c>
      <c r="D408" t="s">
        <v>66</v>
      </c>
      <c r="E408" t="s">
        <v>37</v>
      </c>
      <c r="F408">
        <v>29</v>
      </c>
      <c r="G408">
        <v>12</v>
      </c>
      <c r="H408">
        <v>12</v>
      </c>
      <c r="I408">
        <v>29</v>
      </c>
      <c r="J408">
        <v>690</v>
      </c>
      <c r="K408">
        <v>9</v>
      </c>
      <c r="L408">
        <v>1</v>
      </c>
      <c r="M408">
        <v>80</v>
      </c>
      <c r="N408" t="s">
        <v>29</v>
      </c>
      <c r="O408">
        <v>0.29099999999999998</v>
      </c>
      <c r="P408">
        <v>5822.91</v>
      </c>
      <c r="Q408">
        <f>(Table1[[#This Row],[Closing_Stock]]*Table1[[#This Row],[Unit_Cost_INR]])</f>
        <v>20010</v>
      </c>
      <c r="R408">
        <f>(Table1[[#This Row],[Unit_Cost_INR]]*Table1[[#This Row],[Consumption]])</f>
        <v>8280</v>
      </c>
      <c r="S408">
        <f>IFERROR(Table1[[#This Row],[Annual_Consumption_Value_INR]]/Table1[[#This Row],[Inventory_Value_INR]],0)</f>
        <v>0.41379310344827586</v>
      </c>
      <c r="T408">
        <f>IFERROR(365/Table1[[#This Row],[Inventory_Turnover]],0)</f>
        <v>882.08333333333337</v>
      </c>
      <c r="U408" t="str">
        <f>IF(Table1[[#This Row],[Consumption]]=0,"Non-Moving", IF(Table1[[#This Row],[Days_Since_Last_Movement]]&gt;90,"Slow-Moving","Active"))</f>
        <v>Active</v>
      </c>
      <c r="V408">
        <f>SUM($Q$2:Q408)</f>
        <v>74679710</v>
      </c>
      <c r="W408">
        <f>Table1[[#This Row],[Cumulative_Inventory_Value]]/$AP$3</f>
        <v>0.98658227048761371</v>
      </c>
      <c r="X408" t="str">
        <f>IF(Table1[[#This Row],[Cumulative_Value_%]]&lt;80%,"A", IF(Table1[[#This Row],[Cumulative_Value_%]]&lt;=95%,"B","C"))</f>
        <v>C</v>
      </c>
      <c r="Y408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408">
        <f>Table1[[#This Row],[Consumption]]/365</f>
        <v>3.287671232876712E-2</v>
      </c>
      <c r="AA408">
        <f>Table1[[#This Row],[Avg_Daily_Consumption]]*Table1[[#This Row],[Lead_Time_Days]]+Table1[[#This Row],[Safety_Stock]]</f>
        <v>1.295890410958904</v>
      </c>
      <c r="AB408">
        <f>IFERROR(Table1[[#This Row],[Closing_Stock]]/Table1[[#This Row],[Avg_Daily_Consumption]],9999)</f>
        <v>882.08333333333337</v>
      </c>
      <c r="AC408">
        <f>MAX(1,ROUNDUP(Table1[[#This Row],[Avg_Daily_Consumption]]*Table1[[#This Row],[Lead_Time_Days]]*0.8,0))</f>
        <v>1</v>
      </c>
      <c r="AD408" t="str">
        <f>IF(Table1[[#This Row],[Closing_Stock]]&lt;Table1[[#This Row],[Reorder_Point]],"Stock-out Risk","Adequate")</f>
        <v>Adequate</v>
      </c>
      <c r="AE408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408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408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408" s="11">
        <f>MAX(0,Table1[[#This Row],[Closing_Stock]]-Table1[[#This Row],[Reorder_Point]])</f>
        <v>27.704109589041096</v>
      </c>
      <c r="AI408" s="11">
        <f>Table1[[#This Row],[Excess_Stock_Units]]*Table1[[#This Row],[Unit_Cost_INR]]</f>
        <v>19115.835616438355</v>
      </c>
      <c r="AJ408" s="11">
        <f>IF(Table1[[#This Row],[Criticality]]="Critical",0,Table1[[#This Row],[Excess_Inventory_Value_INR]])</f>
        <v>0</v>
      </c>
      <c r="AK408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409" spans="1:37" x14ac:dyDescent="0.25">
      <c r="A409" t="s">
        <v>245</v>
      </c>
      <c r="B409" t="s">
        <v>19</v>
      </c>
      <c r="C409" t="s">
        <v>20</v>
      </c>
      <c r="D409" t="s">
        <v>42</v>
      </c>
      <c r="E409" t="s">
        <v>22</v>
      </c>
      <c r="F409">
        <v>26</v>
      </c>
      <c r="G409">
        <v>49</v>
      </c>
      <c r="H409">
        <v>39</v>
      </c>
      <c r="I409">
        <v>36</v>
      </c>
      <c r="J409">
        <v>550</v>
      </c>
      <c r="K409">
        <v>23</v>
      </c>
      <c r="L409">
        <v>1</v>
      </c>
      <c r="M409">
        <v>36</v>
      </c>
      <c r="N409" t="s">
        <v>23</v>
      </c>
      <c r="O409">
        <v>0.20799999999999999</v>
      </c>
      <c r="P409">
        <v>4118.3999999999996</v>
      </c>
      <c r="Q409">
        <f>(Table1[[#This Row],[Closing_Stock]]*Table1[[#This Row],[Unit_Cost_INR]])</f>
        <v>19800</v>
      </c>
      <c r="R409">
        <f>(Table1[[#This Row],[Unit_Cost_INR]]*Table1[[#This Row],[Consumption]])</f>
        <v>21450</v>
      </c>
      <c r="S409">
        <f>IFERROR(Table1[[#This Row],[Annual_Consumption_Value_INR]]/Table1[[#This Row],[Inventory_Value_INR]],0)</f>
        <v>1.0833333333333333</v>
      </c>
      <c r="T409">
        <f>IFERROR(365/Table1[[#This Row],[Inventory_Turnover]],0)</f>
        <v>336.92307692307696</v>
      </c>
      <c r="U409" t="str">
        <f>IF(Table1[[#This Row],[Consumption]]=0,"Non-Moving", IF(Table1[[#This Row],[Days_Since_Last_Movement]]&gt;90,"Slow-Moving","Active"))</f>
        <v>Active</v>
      </c>
      <c r="V409">
        <f>SUM($Q$2:Q409)</f>
        <v>74699510</v>
      </c>
      <c r="W409">
        <f>Table1[[#This Row],[Cumulative_Inventory_Value]]/$AP$3</f>
        <v>0.98684384527085345</v>
      </c>
      <c r="X409" t="str">
        <f>IF(Table1[[#This Row],[Cumulative_Value_%]]&lt;80%,"A", IF(Table1[[#This Row],[Cumulative_Value_%]]&lt;=95%,"B","C"))</f>
        <v>C</v>
      </c>
      <c r="Y409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409">
        <f>Table1[[#This Row],[Consumption]]/365</f>
        <v>0.10684931506849316</v>
      </c>
      <c r="AA409">
        <f>Table1[[#This Row],[Avg_Daily_Consumption]]*Table1[[#This Row],[Lead_Time_Days]]+Table1[[#This Row],[Safety_Stock]]</f>
        <v>4.4575342465753423</v>
      </c>
      <c r="AB409">
        <f>IFERROR(Table1[[#This Row],[Closing_Stock]]/Table1[[#This Row],[Avg_Daily_Consumption]],9999)</f>
        <v>336.92307692307691</v>
      </c>
      <c r="AC409">
        <f>MAX(1,ROUNDUP(Table1[[#This Row],[Avg_Daily_Consumption]]*Table1[[#This Row],[Lead_Time_Days]]*0.8,0))</f>
        <v>2</v>
      </c>
      <c r="AD409" t="str">
        <f>IF(Table1[[#This Row],[Closing_Stock]]&lt;Table1[[#This Row],[Reorder_Point]],"Stock-out Risk","Adequate")</f>
        <v>Adequate</v>
      </c>
      <c r="AE409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409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409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409" s="11">
        <f>MAX(0,Table1[[#This Row],[Closing_Stock]]-Table1[[#This Row],[Reorder_Point]])</f>
        <v>31.542465753424658</v>
      </c>
      <c r="AI409" s="11">
        <f>Table1[[#This Row],[Excess_Stock_Units]]*Table1[[#This Row],[Unit_Cost_INR]]</f>
        <v>17348.35616438356</v>
      </c>
      <c r="AJ409" s="11">
        <f>IF(Table1[[#This Row],[Criticality]]="Critical",0,Table1[[#This Row],[Excess_Inventory_Value_INR]])</f>
        <v>17348.35616438356</v>
      </c>
      <c r="AK409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410" spans="1:37" x14ac:dyDescent="0.25">
      <c r="A410" t="s">
        <v>556</v>
      </c>
      <c r="B410" t="s">
        <v>75</v>
      </c>
      <c r="C410" t="s">
        <v>36</v>
      </c>
      <c r="D410" t="s">
        <v>27</v>
      </c>
      <c r="E410" t="s">
        <v>22</v>
      </c>
      <c r="F410">
        <v>22</v>
      </c>
      <c r="G410">
        <v>33</v>
      </c>
      <c r="H410">
        <v>33</v>
      </c>
      <c r="I410">
        <v>22</v>
      </c>
      <c r="J410">
        <v>900</v>
      </c>
      <c r="K410">
        <v>31</v>
      </c>
      <c r="L410">
        <v>0</v>
      </c>
      <c r="M410">
        <v>161</v>
      </c>
      <c r="N410" t="s">
        <v>23</v>
      </c>
      <c r="O410">
        <v>0.26900000000000002</v>
      </c>
      <c r="P410">
        <v>5326.2000000000007</v>
      </c>
      <c r="Q410">
        <f>(Table1[[#This Row],[Closing_Stock]]*Table1[[#This Row],[Unit_Cost_INR]])</f>
        <v>19800</v>
      </c>
      <c r="R410">
        <f>(Table1[[#This Row],[Unit_Cost_INR]]*Table1[[#This Row],[Consumption]])</f>
        <v>29700</v>
      </c>
      <c r="S410">
        <f>IFERROR(Table1[[#This Row],[Annual_Consumption_Value_INR]]/Table1[[#This Row],[Inventory_Value_INR]],0)</f>
        <v>1.5</v>
      </c>
      <c r="T410">
        <f>IFERROR(365/Table1[[#This Row],[Inventory_Turnover]],0)</f>
        <v>243.33333333333334</v>
      </c>
      <c r="U410" t="str">
        <f>IF(Table1[[#This Row],[Consumption]]=0,"Non-Moving", IF(Table1[[#This Row],[Days_Since_Last_Movement]]&gt;90,"Slow-Moving","Active"))</f>
        <v>Slow-Moving</v>
      </c>
      <c r="V410">
        <f>SUM($Q$2:Q410)</f>
        <v>74719310</v>
      </c>
      <c r="W410">
        <f>Table1[[#This Row],[Cumulative_Inventory_Value]]/$AP$3</f>
        <v>0.98710542005409319</v>
      </c>
      <c r="X410" t="str">
        <f>IF(Table1[[#This Row],[Cumulative_Value_%]]&lt;80%,"A", IF(Table1[[#This Row],[Cumulative_Value_%]]&lt;=95%,"B","C"))</f>
        <v>C</v>
      </c>
      <c r="Y410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410">
        <f>Table1[[#This Row],[Consumption]]/365</f>
        <v>9.0410958904109592E-2</v>
      </c>
      <c r="AA410">
        <f>Table1[[#This Row],[Avg_Daily_Consumption]]*Table1[[#This Row],[Lead_Time_Days]]+Table1[[#This Row],[Safety_Stock]]</f>
        <v>5.8027397260273972</v>
      </c>
      <c r="AB410">
        <f>IFERROR(Table1[[#This Row],[Closing_Stock]]/Table1[[#This Row],[Avg_Daily_Consumption]],9999)</f>
        <v>243.33333333333331</v>
      </c>
      <c r="AC410">
        <f>MAX(1,ROUNDUP(Table1[[#This Row],[Avg_Daily_Consumption]]*Table1[[#This Row],[Lead_Time_Days]]*0.8,0))</f>
        <v>3</v>
      </c>
      <c r="AD410" t="str">
        <f>IF(Table1[[#This Row],[Closing_Stock]]&lt;Table1[[#This Row],[Reorder_Point]],"Stock-out Risk","Adequate")</f>
        <v>Adequate</v>
      </c>
      <c r="AE410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410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410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410" s="11">
        <f>MAX(0,Table1[[#This Row],[Closing_Stock]]-Table1[[#This Row],[Reorder_Point]])</f>
        <v>16.197260273972603</v>
      </c>
      <c r="AI410" s="11">
        <f>Table1[[#This Row],[Excess_Stock_Units]]*Table1[[#This Row],[Unit_Cost_INR]]</f>
        <v>14577.534246575342</v>
      </c>
      <c r="AJ410" s="11">
        <f>IF(Table1[[#This Row],[Criticality]]="Critical",0,Table1[[#This Row],[Excess_Inventory_Value_INR]])</f>
        <v>14577.534246575342</v>
      </c>
      <c r="AK410" s="11">
        <f>IF(AND(Table1[[#This Row],[Criticality]]&lt;&gt;"Critical",OR(Table1[[#This Row],[Movement_Class]]="Slow-Moving",Table1[[#This Row],[Movement_Class]]="Non-Moving")),Table1[[#This Row],[Excess_Inventory_Value_INR]],0)</f>
        <v>14577.534246575342</v>
      </c>
    </row>
    <row r="411" spans="1:37" x14ac:dyDescent="0.25">
      <c r="A411" t="s">
        <v>144</v>
      </c>
      <c r="B411" t="s">
        <v>31</v>
      </c>
      <c r="C411" t="s">
        <v>32</v>
      </c>
      <c r="D411" t="s">
        <v>66</v>
      </c>
      <c r="E411" t="s">
        <v>22</v>
      </c>
      <c r="F411">
        <v>26</v>
      </c>
      <c r="G411">
        <v>36</v>
      </c>
      <c r="H411">
        <v>19</v>
      </c>
      <c r="I411">
        <v>43</v>
      </c>
      <c r="J411">
        <v>460</v>
      </c>
      <c r="K411">
        <v>21</v>
      </c>
      <c r="L411">
        <v>0</v>
      </c>
      <c r="M411">
        <v>54</v>
      </c>
      <c r="N411" t="s">
        <v>29</v>
      </c>
      <c r="O411">
        <v>0.17299999999999999</v>
      </c>
      <c r="P411">
        <v>3421.94</v>
      </c>
      <c r="Q411">
        <f>(Table1[[#This Row],[Closing_Stock]]*Table1[[#This Row],[Unit_Cost_INR]])</f>
        <v>19780</v>
      </c>
      <c r="R411">
        <f>(Table1[[#This Row],[Unit_Cost_INR]]*Table1[[#This Row],[Consumption]])</f>
        <v>8740</v>
      </c>
      <c r="S411">
        <f>IFERROR(Table1[[#This Row],[Annual_Consumption_Value_INR]]/Table1[[#This Row],[Inventory_Value_INR]],0)</f>
        <v>0.44186046511627908</v>
      </c>
      <c r="T411">
        <f>IFERROR(365/Table1[[#This Row],[Inventory_Turnover]],0)</f>
        <v>826.0526315789474</v>
      </c>
      <c r="U411" t="str">
        <f>IF(Table1[[#This Row],[Consumption]]=0,"Non-Moving", IF(Table1[[#This Row],[Days_Since_Last_Movement]]&gt;90,"Slow-Moving","Active"))</f>
        <v>Active</v>
      </c>
      <c r="V411">
        <f>SUM($Q$2:Q411)</f>
        <v>74739090</v>
      </c>
      <c r="W411">
        <f>Table1[[#This Row],[Cumulative_Inventory_Value]]/$AP$3</f>
        <v>0.98736673062038005</v>
      </c>
      <c r="X411" t="str">
        <f>IF(Table1[[#This Row],[Cumulative_Value_%]]&lt;80%,"A", IF(Table1[[#This Row],[Cumulative_Value_%]]&lt;=95%,"B","C"))</f>
        <v>C</v>
      </c>
      <c r="Y411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411">
        <f>Table1[[#This Row],[Consumption]]/365</f>
        <v>5.2054794520547946E-2</v>
      </c>
      <c r="AA411">
        <f>Table1[[#This Row],[Avg_Daily_Consumption]]*Table1[[#This Row],[Lead_Time_Days]]+Table1[[#This Row],[Safety_Stock]]</f>
        <v>2.0931506849315067</v>
      </c>
      <c r="AB411">
        <f>IFERROR(Table1[[#This Row],[Closing_Stock]]/Table1[[#This Row],[Avg_Daily_Consumption]],9999)</f>
        <v>826.0526315789474</v>
      </c>
      <c r="AC411">
        <f>MAX(1,ROUNDUP(Table1[[#This Row],[Avg_Daily_Consumption]]*Table1[[#This Row],[Lead_Time_Days]]*0.8,0))</f>
        <v>1</v>
      </c>
      <c r="AD411" t="str">
        <f>IF(Table1[[#This Row],[Closing_Stock]]&lt;Table1[[#This Row],[Reorder_Point]],"Stock-out Risk","Adequate")</f>
        <v>Adequate</v>
      </c>
      <c r="AE411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411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411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411" s="11">
        <f>MAX(0,Table1[[#This Row],[Closing_Stock]]-Table1[[#This Row],[Reorder_Point]])</f>
        <v>40.906849315068492</v>
      </c>
      <c r="AI411" s="11">
        <f>Table1[[#This Row],[Excess_Stock_Units]]*Table1[[#This Row],[Unit_Cost_INR]]</f>
        <v>18817.150684931505</v>
      </c>
      <c r="AJ411" s="11">
        <f>IF(Table1[[#This Row],[Criticality]]="Critical",0,Table1[[#This Row],[Excess_Inventory_Value_INR]])</f>
        <v>18817.150684931505</v>
      </c>
      <c r="AK411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412" spans="1:37" x14ac:dyDescent="0.25">
      <c r="A412" t="s">
        <v>359</v>
      </c>
      <c r="B412" t="s">
        <v>19</v>
      </c>
      <c r="C412" t="s">
        <v>20</v>
      </c>
      <c r="D412" t="s">
        <v>42</v>
      </c>
      <c r="E412" t="s">
        <v>37</v>
      </c>
      <c r="F412">
        <v>21</v>
      </c>
      <c r="G412">
        <v>28</v>
      </c>
      <c r="H412">
        <v>19</v>
      </c>
      <c r="I412">
        <v>30</v>
      </c>
      <c r="J412">
        <v>650</v>
      </c>
      <c r="K412">
        <v>8</v>
      </c>
      <c r="L412">
        <v>1</v>
      </c>
      <c r="M412">
        <v>60</v>
      </c>
      <c r="N412" t="s">
        <v>38</v>
      </c>
      <c r="O412">
        <v>0.29499999999999998</v>
      </c>
      <c r="P412">
        <v>5752.5</v>
      </c>
      <c r="Q412">
        <f>(Table1[[#This Row],[Closing_Stock]]*Table1[[#This Row],[Unit_Cost_INR]])</f>
        <v>19500</v>
      </c>
      <c r="R412">
        <f>(Table1[[#This Row],[Unit_Cost_INR]]*Table1[[#This Row],[Consumption]])</f>
        <v>12350</v>
      </c>
      <c r="S412">
        <f>IFERROR(Table1[[#This Row],[Annual_Consumption_Value_INR]]/Table1[[#This Row],[Inventory_Value_INR]],0)</f>
        <v>0.6333333333333333</v>
      </c>
      <c r="T412">
        <f>IFERROR(365/Table1[[#This Row],[Inventory_Turnover]],0)</f>
        <v>576.31578947368428</v>
      </c>
      <c r="U412" t="str">
        <f>IF(Table1[[#This Row],[Consumption]]=0,"Non-Moving", IF(Table1[[#This Row],[Days_Since_Last_Movement]]&gt;90,"Slow-Moving","Active"))</f>
        <v>Active</v>
      </c>
      <c r="V412">
        <f>SUM($Q$2:Q412)</f>
        <v>74758590</v>
      </c>
      <c r="W412">
        <f>Table1[[#This Row],[Cumulative_Inventory_Value]]/$AP$3</f>
        <v>0.98762434214932826</v>
      </c>
      <c r="X412" t="str">
        <f>IF(Table1[[#This Row],[Cumulative_Value_%]]&lt;80%,"A", IF(Table1[[#This Row],[Cumulative_Value_%]]&lt;=95%,"B","C"))</f>
        <v>C</v>
      </c>
      <c r="Y412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412">
        <f>Table1[[#This Row],[Consumption]]/365</f>
        <v>5.2054794520547946E-2</v>
      </c>
      <c r="AA412">
        <f>Table1[[#This Row],[Avg_Daily_Consumption]]*Table1[[#This Row],[Lead_Time_Days]]+Table1[[#This Row],[Safety_Stock]]</f>
        <v>1.4164383561643836</v>
      </c>
      <c r="AB412">
        <f>IFERROR(Table1[[#This Row],[Closing_Stock]]/Table1[[#This Row],[Avg_Daily_Consumption]],9999)</f>
        <v>576.31578947368416</v>
      </c>
      <c r="AC412">
        <f>MAX(1,ROUNDUP(Table1[[#This Row],[Avg_Daily_Consumption]]*Table1[[#This Row],[Lead_Time_Days]]*0.8,0))</f>
        <v>1</v>
      </c>
      <c r="AD412" t="str">
        <f>IF(Table1[[#This Row],[Closing_Stock]]&lt;Table1[[#This Row],[Reorder_Point]],"Stock-out Risk","Adequate")</f>
        <v>Adequate</v>
      </c>
      <c r="AE412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412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412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412" s="11">
        <f>MAX(0,Table1[[#This Row],[Closing_Stock]]-Table1[[#This Row],[Reorder_Point]])</f>
        <v>28.583561643835615</v>
      </c>
      <c r="AI412" s="11">
        <f>Table1[[#This Row],[Excess_Stock_Units]]*Table1[[#This Row],[Unit_Cost_INR]]</f>
        <v>18579.31506849315</v>
      </c>
      <c r="AJ412" s="11">
        <f>IF(Table1[[#This Row],[Criticality]]="Critical",0,Table1[[#This Row],[Excess_Inventory_Value_INR]])</f>
        <v>0</v>
      </c>
      <c r="AK412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413" spans="1:37" x14ac:dyDescent="0.25">
      <c r="A413" t="s">
        <v>527</v>
      </c>
      <c r="B413" t="s">
        <v>85</v>
      </c>
      <c r="C413" t="s">
        <v>41</v>
      </c>
      <c r="D413" t="s">
        <v>45</v>
      </c>
      <c r="E413" t="s">
        <v>46</v>
      </c>
      <c r="F413">
        <v>169</v>
      </c>
      <c r="G413">
        <v>190</v>
      </c>
      <c r="H413">
        <v>0</v>
      </c>
      <c r="I413">
        <v>162</v>
      </c>
      <c r="J413">
        <v>120</v>
      </c>
      <c r="K413">
        <v>23</v>
      </c>
      <c r="L413">
        <v>0</v>
      </c>
      <c r="M413">
        <v>534</v>
      </c>
      <c r="N413" t="s">
        <v>23</v>
      </c>
      <c r="O413">
        <v>0.224</v>
      </c>
      <c r="P413">
        <v>4354.5600000000004</v>
      </c>
      <c r="Q413">
        <f>(Table1[[#This Row],[Closing_Stock]]*Table1[[#This Row],[Unit_Cost_INR]])</f>
        <v>19440</v>
      </c>
      <c r="R413">
        <f>(Table1[[#This Row],[Unit_Cost_INR]]*Table1[[#This Row],[Consumption]])</f>
        <v>0</v>
      </c>
      <c r="S413">
        <f>IFERROR(Table1[[#This Row],[Annual_Consumption_Value_INR]]/Table1[[#This Row],[Inventory_Value_INR]],0)</f>
        <v>0</v>
      </c>
      <c r="T413">
        <f>IFERROR(365/Table1[[#This Row],[Inventory_Turnover]],0)</f>
        <v>0</v>
      </c>
      <c r="U413" t="str">
        <f>IF(Table1[[#This Row],[Consumption]]=0,"Non-Moving", IF(Table1[[#This Row],[Days_Since_Last_Movement]]&gt;90,"Slow-Moving","Active"))</f>
        <v>Non-Moving</v>
      </c>
      <c r="V413">
        <f>SUM($Q$2:Q413)</f>
        <v>74778030</v>
      </c>
      <c r="W413">
        <f>Table1[[#This Row],[Cumulative_Inventory_Value]]/$AP$3</f>
        <v>0.98788116102741819</v>
      </c>
      <c r="X413" t="str">
        <f>IF(Table1[[#This Row],[Cumulative_Value_%]]&lt;80%,"A", IF(Table1[[#This Row],[Cumulative_Value_%]]&lt;=95%,"B","C"))</f>
        <v>C</v>
      </c>
      <c r="Y413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Review</v>
      </c>
      <c r="Z413">
        <f>Table1[[#This Row],[Consumption]]/365</f>
        <v>0</v>
      </c>
      <c r="AA413">
        <f>Table1[[#This Row],[Avg_Daily_Consumption]]*Table1[[#This Row],[Lead_Time_Days]]+Table1[[#This Row],[Safety_Stock]]</f>
        <v>1</v>
      </c>
      <c r="AB413">
        <f>IFERROR(Table1[[#This Row],[Closing_Stock]]/Table1[[#This Row],[Avg_Daily_Consumption]],9999)</f>
        <v>9999</v>
      </c>
      <c r="AC413">
        <f>MAX(1,ROUNDUP(Table1[[#This Row],[Avg_Daily_Consumption]]*Table1[[#This Row],[Lead_Time_Days]]*0.8,0))</f>
        <v>1</v>
      </c>
      <c r="AD413" t="str">
        <f>IF(Table1[[#This Row],[Closing_Stock]]&lt;Table1[[#This Row],[Reorder_Point]],"Stock-out Risk","Adequate")</f>
        <v>Adequate</v>
      </c>
      <c r="AE413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413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 for Disposal/De-procurement</v>
      </c>
      <c r="AG413">
        <f>IF(Table1[[#This Row],[Action_Recommendation]]="Review for Disposal/De-procurement",Table1[[#This Row],[Inventory_Value_INR]]*70%,IF(Table1[[#This Row],[Action_Recommendation]]="Review Safety Stock",Table1[[#This Row],[Inventory_Value_INR]]*20%,0))</f>
        <v>13608</v>
      </c>
      <c r="AH413" s="11">
        <f>MAX(0,Table1[[#This Row],[Closing_Stock]]-Table1[[#This Row],[Reorder_Point]])</f>
        <v>161</v>
      </c>
      <c r="AI413" s="11">
        <f>Table1[[#This Row],[Excess_Stock_Units]]*Table1[[#This Row],[Unit_Cost_INR]]</f>
        <v>19320</v>
      </c>
      <c r="AJ413" s="11">
        <f>IF(Table1[[#This Row],[Criticality]]="Critical",0,Table1[[#This Row],[Excess_Inventory_Value_INR]])</f>
        <v>19320</v>
      </c>
      <c r="AK413" s="11">
        <f>IF(AND(Table1[[#This Row],[Criticality]]&lt;&gt;"Critical",OR(Table1[[#This Row],[Movement_Class]]="Slow-Moving",Table1[[#This Row],[Movement_Class]]="Non-Moving")),Table1[[#This Row],[Excess_Inventory_Value_INR]],0)</f>
        <v>19320</v>
      </c>
    </row>
    <row r="414" spans="1:37" x14ac:dyDescent="0.25">
      <c r="A414" t="s">
        <v>132</v>
      </c>
      <c r="B414" t="s">
        <v>35</v>
      </c>
      <c r="C414" t="s">
        <v>36</v>
      </c>
      <c r="D414" t="s">
        <v>60</v>
      </c>
      <c r="E414" t="s">
        <v>28</v>
      </c>
      <c r="F414">
        <v>5</v>
      </c>
      <c r="G414">
        <v>4</v>
      </c>
      <c r="H414">
        <v>3</v>
      </c>
      <c r="I414">
        <v>6</v>
      </c>
      <c r="J414">
        <v>3230</v>
      </c>
      <c r="K414">
        <v>35</v>
      </c>
      <c r="L414">
        <v>0</v>
      </c>
      <c r="M414">
        <v>24</v>
      </c>
      <c r="N414" t="s">
        <v>81</v>
      </c>
      <c r="O414">
        <v>0.27400000000000002</v>
      </c>
      <c r="P414">
        <v>5310.1200000000008</v>
      </c>
      <c r="Q414">
        <f>(Table1[[#This Row],[Closing_Stock]]*Table1[[#This Row],[Unit_Cost_INR]])</f>
        <v>19380</v>
      </c>
      <c r="R414">
        <f>(Table1[[#This Row],[Unit_Cost_INR]]*Table1[[#This Row],[Consumption]])</f>
        <v>9690</v>
      </c>
      <c r="S414">
        <f>IFERROR(Table1[[#This Row],[Annual_Consumption_Value_INR]]/Table1[[#This Row],[Inventory_Value_INR]],0)</f>
        <v>0.5</v>
      </c>
      <c r="T414">
        <f>IFERROR(365/Table1[[#This Row],[Inventory_Turnover]],0)</f>
        <v>730</v>
      </c>
      <c r="U414" t="str">
        <f>IF(Table1[[#This Row],[Consumption]]=0,"Non-Moving", IF(Table1[[#This Row],[Days_Since_Last_Movement]]&gt;90,"Slow-Moving","Active"))</f>
        <v>Active</v>
      </c>
      <c r="V414">
        <f>SUM($Q$2:Q414)</f>
        <v>74797410</v>
      </c>
      <c r="W414">
        <f>Table1[[#This Row],[Cumulative_Inventory_Value]]/$AP$3</f>
        <v>0.98813718725464983</v>
      </c>
      <c r="X414" t="str">
        <f>IF(Table1[[#This Row],[Cumulative_Value_%]]&lt;80%,"A", IF(Table1[[#This Row],[Cumulative_Value_%]]&lt;=95%,"B","C"))</f>
        <v>C</v>
      </c>
      <c r="Y414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414">
        <f>Table1[[#This Row],[Consumption]]/365</f>
        <v>8.21917808219178E-3</v>
      </c>
      <c r="AA414">
        <f>Table1[[#This Row],[Avg_Daily_Consumption]]*Table1[[#This Row],[Lead_Time_Days]]+Table1[[#This Row],[Safety_Stock]]</f>
        <v>1.2876712328767124</v>
      </c>
      <c r="AB414">
        <f>IFERROR(Table1[[#This Row],[Closing_Stock]]/Table1[[#This Row],[Avg_Daily_Consumption]],9999)</f>
        <v>730.00000000000011</v>
      </c>
      <c r="AC414">
        <f>MAX(1,ROUNDUP(Table1[[#This Row],[Avg_Daily_Consumption]]*Table1[[#This Row],[Lead_Time_Days]]*0.8,0))</f>
        <v>1</v>
      </c>
      <c r="AD414" t="str">
        <f>IF(Table1[[#This Row],[Closing_Stock]]&lt;Table1[[#This Row],[Reorder_Point]],"Stock-out Risk","Adequate")</f>
        <v>Adequate</v>
      </c>
      <c r="AE414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414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414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414" s="11">
        <f>MAX(0,Table1[[#This Row],[Closing_Stock]]-Table1[[#This Row],[Reorder_Point]])</f>
        <v>4.7123287671232879</v>
      </c>
      <c r="AI414" s="11">
        <f>Table1[[#This Row],[Excess_Stock_Units]]*Table1[[#This Row],[Unit_Cost_INR]]</f>
        <v>15220.82191780822</v>
      </c>
      <c r="AJ414" s="11">
        <f>IF(Table1[[#This Row],[Criticality]]="Critical",0,Table1[[#This Row],[Excess_Inventory_Value_INR]])</f>
        <v>15220.82191780822</v>
      </c>
      <c r="AK414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415" spans="1:37" x14ac:dyDescent="0.25">
      <c r="A415" t="s">
        <v>458</v>
      </c>
      <c r="B415" t="s">
        <v>129</v>
      </c>
      <c r="C415" t="s">
        <v>52</v>
      </c>
      <c r="D415" t="s">
        <v>60</v>
      </c>
      <c r="E415" t="s">
        <v>22</v>
      </c>
      <c r="F415">
        <v>13</v>
      </c>
      <c r="G415">
        <v>12</v>
      </c>
      <c r="H415">
        <v>14</v>
      </c>
      <c r="I415">
        <v>11</v>
      </c>
      <c r="J415">
        <v>1760</v>
      </c>
      <c r="K415">
        <v>21</v>
      </c>
      <c r="L415">
        <v>0</v>
      </c>
      <c r="M415">
        <v>28</v>
      </c>
      <c r="N415" t="s">
        <v>61</v>
      </c>
      <c r="O415">
        <v>0.29799999999999999</v>
      </c>
      <c r="P415">
        <v>5769.28</v>
      </c>
      <c r="Q415">
        <f>(Table1[[#This Row],[Closing_Stock]]*Table1[[#This Row],[Unit_Cost_INR]])</f>
        <v>19360</v>
      </c>
      <c r="R415">
        <f>(Table1[[#This Row],[Unit_Cost_INR]]*Table1[[#This Row],[Consumption]])</f>
        <v>24640</v>
      </c>
      <c r="S415">
        <f>IFERROR(Table1[[#This Row],[Annual_Consumption_Value_INR]]/Table1[[#This Row],[Inventory_Value_INR]],0)</f>
        <v>1.2727272727272727</v>
      </c>
      <c r="T415">
        <f>IFERROR(365/Table1[[#This Row],[Inventory_Turnover]],0)</f>
        <v>286.78571428571428</v>
      </c>
      <c r="U415" t="str">
        <f>IF(Table1[[#This Row],[Consumption]]=0,"Non-Moving", IF(Table1[[#This Row],[Days_Since_Last_Movement]]&gt;90,"Slow-Moving","Active"))</f>
        <v>Active</v>
      </c>
      <c r="V415">
        <f>SUM($Q$2:Q415)</f>
        <v>74816770</v>
      </c>
      <c r="W415">
        <f>Table1[[#This Row],[Cumulative_Inventory_Value]]/$AP$3</f>
        <v>0.9883929492649286</v>
      </c>
      <c r="X415" t="str">
        <f>IF(Table1[[#This Row],[Cumulative_Value_%]]&lt;80%,"A", IF(Table1[[#This Row],[Cumulative_Value_%]]&lt;=95%,"B","C"))</f>
        <v>C</v>
      </c>
      <c r="Y415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415">
        <f>Table1[[#This Row],[Consumption]]/365</f>
        <v>3.8356164383561646E-2</v>
      </c>
      <c r="AA415">
        <f>Table1[[#This Row],[Avg_Daily_Consumption]]*Table1[[#This Row],[Lead_Time_Days]]+Table1[[#This Row],[Safety_Stock]]</f>
        <v>1.8054794520547945</v>
      </c>
      <c r="AB415">
        <f>IFERROR(Table1[[#This Row],[Closing_Stock]]/Table1[[#This Row],[Avg_Daily_Consumption]],9999)</f>
        <v>286.78571428571428</v>
      </c>
      <c r="AC415">
        <f>MAX(1,ROUNDUP(Table1[[#This Row],[Avg_Daily_Consumption]]*Table1[[#This Row],[Lead_Time_Days]]*0.8,0))</f>
        <v>1</v>
      </c>
      <c r="AD415" t="str">
        <f>IF(Table1[[#This Row],[Closing_Stock]]&lt;Table1[[#This Row],[Reorder_Point]],"Stock-out Risk","Adequate")</f>
        <v>Adequate</v>
      </c>
      <c r="AE415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415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415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415" s="11">
        <f>MAX(0,Table1[[#This Row],[Closing_Stock]]-Table1[[#This Row],[Reorder_Point]])</f>
        <v>9.1945205479452063</v>
      </c>
      <c r="AI415" s="11">
        <f>Table1[[#This Row],[Excess_Stock_Units]]*Table1[[#This Row],[Unit_Cost_INR]]</f>
        <v>16182.356164383564</v>
      </c>
      <c r="AJ415" s="11">
        <f>IF(Table1[[#This Row],[Criticality]]="Critical",0,Table1[[#This Row],[Excess_Inventory_Value_INR]])</f>
        <v>16182.356164383564</v>
      </c>
      <c r="AK415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416" spans="1:37" x14ac:dyDescent="0.25">
      <c r="A416" t="s">
        <v>203</v>
      </c>
      <c r="B416" t="s">
        <v>73</v>
      </c>
      <c r="C416" t="s">
        <v>41</v>
      </c>
      <c r="D416" t="s">
        <v>66</v>
      </c>
      <c r="E416" t="s">
        <v>28</v>
      </c>
      <c r="F416">
        <v>21</v>
      </c>
      <c r="G416">
        <v>27</v>
      </c>
      <c r="H416">
        <v>0</v>
      </c>
      <c r="I416">
        <v>32</v>
      </c>
      <c r="J416">
        <v>600</v>
      </c>
      <c r="K416">
        <v>22</v>
      </c>
      <c r="L416">
        <v>1</v>
      </c>
      <c r="M416">
        <v>537</v>
      </c>
      <c r="N416" t="s">
        <v>61</v>
      </c>
      <c r="O416">
        <v>0.152</v>
      </c>
      <c r="P416">
        <v>2918.4</v>
      </c>
      <c r="Q416">
        <f>(Table1[[#This Row],[Closing_Stock]]*Table1[[#This Row],[Unit_Cost_INR]])</f>
        <v>19200</v>
      </c>
      <c r="R416">
        <f>(Table1[[#This Row],[Unit_Cost_INR]]*Table1[[#This Row],[Consumption]])</f>
        <v>0</v>
      </c>
      <c r="S416">
        <f>IFERROR(Table1[[#This Row],[Annual_Consumption_Value_INR]]/Table1[[#This Row],[Inventory_Value_INR]],0)</f>
        <v>0</v>
      </c>
      <c r="T416">
        <f>IFERROR(365/Table1[[#This Row],[Inventory_Turnover]],0)</f>
        <v>0</v>
      </c>
      <c r="U416" t="str">
        <f>IF(Table1[[#This Row],[Consumption]]=0,"Non-Moving", IF(Table1[[#This Row],[Days_Since_Last_Movement]]&gt;90,"Slow-Moving","Active"))</f>
        <v>Non-Moving</v>
      </c>
      <c r="V416">
        <f>SUM($Q$2:Q416)</f>
        <v>74835970</v>
      </c>
      <c r="W416">
        <f>Table1[[#This Row],[Cumulative_Inventory_Value]]/$AP$3</f>
        <v>0.98864659753958528</v>
      </c>
      <c r="X416" t="str">
        <f>IF(Table1[[#This Row],[Cumulative_Value_%]]&lt;80%,"A", IF(Table1[[#This Row],[Cumulative_Value_%]]&lt;=95%,"B","C"))</f>
        <v>C</v>
      </c>
      <c r="Y416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Review</v>
      </c>
      <c r="Z416">
        <f>Table1[[#This Row],[Consumption]]/365</f>
        <v>0</v>
      </c>
      <c r="AA416">
        <f>Table1[[#This Row],[Avg_Daily_Consumption]]*Table1[[#This Row],[Lead_Time_Days]]+Table1[[#This Row],[Safety_Stock]]</f>
        <v>1</v>
      </c>
      <c r="AB416">
        <f>IFERROR(Table1[[#This Row],[Closing_Stock]]/Table1[[#This Row],[Avg_Daily_Consumption]],9999)</f>
        <v>9999</v>
      </c>
      <c r="AC416">
        <f>MAX(1,ROUNDUP(Table1[[#This Row],[Avg_Daily_Consumption]]*Table1[[#This Row],[Lead_Time_Days]]*0.8,0))</f>
        <v>1</v>
      </c>
      <c r="AD416" t="str">
        <f>IF(Table1[[#This Row],[Closing_Stock]]&lt;Table1[[#This Row],[Reorder_Point]],"Stock-out Risk","Adequate")</f>
        <v>Adequate</v>
      </c>
      <c r="AE416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416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 for Disposal/De-procurement</v>
      </c>
      <c r="AG416">
        <f>IF(Table1[[#This Row],[Action_Recommendation]]="Review for Disposal/De-procurement",Table1[[#This Row],[Inventory_Value_INR]]*70%,IF(Table1[[#This Row],[Action_Recommendation]]="Review Safety Stock",Table1[[#This Row],[Inventory_Value_INR]]*20%,0))</f>
        <v>13440</v>
      </c>
      <c r="AH416" s="11">
        <f>MAX(0,Table1[[#This Row],[Closing_Stock]]-Table1[[#This Row],[Reorder_Point]])</f>
        <v>31</v>
      </c>
      <c r="AI416" s="11">
        <f>Table1[[#This Row],[Excess_Stock_Units]]*Table1[[#This Row],[Unit_Cost_INR]]</f>
        <v>18600</v>
      </c>
      <c r="AJ416" s="11">
        <f>IF(Table1[[#This Row],[Criticality]]="Critical",0,Table1[[#This Row],[Excess_Inventory_Value_INR]])</f>
        <v>18600</v>
      </c>
      <c r="AK416" s="11">
        <f>IF(AND(Table1[[#This Row],[Criticality]]&lt;&gt;"Critical",OR(Table1[[#This Row],[Movement_Class]]="Slow-Moving",Table1[[#This Row],[Movement_Class]]="Non-Moving")),Table1[[#This Row],[Excess_Inventory_Value_INR]],0)</f>
        <v>18600</v>
      </c>
    </row>
    <row r="417" spans="1:37" x14ac:dyDescent="0.25">
      <c r="A417" t="s">
        <v>205</v>
      </c>
      <c r="B417" t="s">
        <v>126</v>
      </c>
      <c r="C417" t="s">
        <v>20</v>
      </c>
      <c r="D417" t="s">
        <v>21</v>
      </c>
      <c r="E417" t="s">
        <v>37</v>
      </c>
      <c r="F417">
        <v>8</v>
      </c>
      <c r="G417">
        <v>18</v>
      </c>
      <c r="H417">
        <v>12</v>
      </c>
      <c r="I417">
        <v>14</v>
      </c>
      <c r="J417">
        <v>1370</v>
      </c>
      <c r="K417">
        <v>49</v>
      </c>
      <c r="L417">
        <v>0</v>
      </c>
      <c r="M417">
        <v>26</v>
      </c>
      <c r="N417" t="s">
        <v>49</v>
      </c>
      <c r="O417">
        <v>0.17799999999999999</v>
      </c>
      <c r="P417">
        <v>3414.04</v>
      </c>
      <c r="Q417">
        <f>(Table1[[#This Row],[Closing_Stock]]*Table1[[#This Row],[Unit_Cost_INR]])</f>
        <v>19180</v>
      </c>
      <c r="R417">
        <f>(Table1[[#This Row],[Unit_Cost_INR]]*Table1[[#This Row],[Consumption]])</f>
        <v>16440</v>
      </c>
      <c r="S417">
        <f>IFERROR(Table1[[#This Row],[Annual_Consumption_Value_INR]]/Table1[[#This Row],[Inventory_Value_INR]],0)</f>
        <v>0.8571428571428571</v>
      </c>
      <c r="T417">
        <f>IFERROR(365/Table1[[#This Row],[Inventory_Turnover]],0)</f>
        <v>425.83333333333337</v>
      </c>
      <c r="U417" t="str">
        <f>IF(Table1[[#This Row],[Consumption]]=0,"Non-Moving", IF(Table1[[#This Row],[Days_Since_Last_Movement]]&gt;90,"Slow-Moving","Active"))</f>
        <v>Active</v>
      </c>
      <c r="V417">
        <f>SUM($Q$2:Q417)</f>
        <v>74855150</v>
      </c>
      <c r="W417">
        <f>Table1[[#This Row],[Cumulative_Inventory_Value]]/$AP$3</f>
        <v>0.9888999815972892</v>
      </c>
      <c r="X417" t="str">
        <f>IF(Table1[[#This Row],[Cumulative_Value_%]]&lt;80%,"A", IF(Table1[[#This Row],[Cumulative_Value_%]]&lt;=95%,"B","C"))</f>
        <v>C</v>
      </c>
      <c r="Y417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417">
        <f>Table1[[#This Row],[Consumption]]/365</f>
        <v>3.287671232876712E-2</v>
      </c>
      <c r="AA417">
        <f>Table1[[#This Row],[Avg_Daily_Consumption]]*Table1[[#This Row],[Lead_Time_Days]]+Table1[[#This Row],[Safety_Stock]]</f>
        <v>3.6109589041095891</v>
      </c>
      <c r="AB417">
        <f>IFERROR(Table1[[#This Row],[Closing_Stock]]/Table1[[#This Row],[Avg_Daily_Consumption]],9999)</f>
        <v>425.83333333333337</v>
      </c>
      <c r="AC417">
        <f>MAX(1,ROUNDUP(Table1[[#This Row],[Avg_Daily_Consumption]]*Table1[[#This Row],[Lead_Time_Days]]*0.8,0))</f>
        <v>2</v>
      </c>
      <c r="AD417" t="str">
        <f>IF(Table1[[#This Row],[Closing_Stock]]&lt;Table1[[#This Row],[Reorder_Point]],"Stock-out Risk","Adequate")</f>
        <v>Adequate</v>
      </c>
      <c r="AE417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417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417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417" s="11">
        <f>MAX(0,Table1[[#This Row],[Closing_Stock]]-Table1[[#This Row],[Reorder_Point]])</f>
        <v>10.389041095890411</v>
      </c>
      <c r="AI417" s="11">
        <f>Table1[[#This Row],[Excess_Stock_Units]]*Table1[[#This Row],[Unit_Cost_INR]]</f>
        <v>14232.986301369863</v>
      </c>
      <c r="AJ417" s="11">
        <f>IF(Table1[[#This Row],[Criticality]]="Critical",0,Table1[[#This Row],[Excess_Inventory_Value_INR]])</f>
        <v>0</v>
      </c>
      <c r="AK417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418" spans="1:37" x14ac:dyDescent="0.25">
      <c r="A418" t="s">
        <v>435</v>
      </c>
      <c r="B418" t="s">
        <v>71</v>
      </c>
      <c r="C418" t="s">
        <v>20</v>
      </c>
      <c r="D418" t="s">
        <v>21</v>
      </c>
      <c r="E418" t="s">
        <v>22</v>
      </c>
      <c r="F418">
        <v>20</v>
      </c>
      <c r="G418">
        <v>32</v>
      </c>
      <c r="H418">
        <v>23</v>
      </c>
      <c r="I418">
        <v>29</v>
      </c>
      <c r="J418">
        <v>660</v>
      </c>
      <c r="K418">
        <v>40</v>
      </c>
      <c r="L418">
        <v>0</v>
      </c>
      <c r="M418">
        <v>30</v>
      </c>
      <c r="N418" t="s">
        <v>38</v>
      </c>
      <c r="O418">
        <v>0.24299999999999999</v>
      </c>
      <c r="P418">
        <v>4651.0200000000004</v>
      </c>
      <c r="Q418">
        <f>(Table1[[#This Row],[Closing_Stock]]*Table1[[#This Row],[Unit_Cost_INR]])</f>
        <v>19140</v>
      </c>
      <c r="R418">
        <f>(Table1[[#This Row],[Unit_Cost_INR]]*Table1[[#This Row],[Consumption]])</f>
        <v>15180</v>
      </c>
      <c r="S418">
        <f>IFERROR(Table1[[#This Row],[Annual_Consumption_Value_INR]]/Table1[[#This Row],[Inventory_Value_INR]],0)</f>
        <v>0.7931034482758621</v>
      </c>
      <c r="T418">
        <f>IFERROR(365/Table1[[#This Row],[Inventory_Turnover]],0)</f>
        <v>460.21739130434781</v>
      </c>
      <c r="U418" t="str">
        <f>IF(Table1[[#This Row],[Consumption]]=0,"Non-Moving", IF(Table1[[#This Row],[Days_Since_Last_Movement]]&gt;90,"Slow-Moving","Active"))</f>
        <v>Active</v>
      </c>
      <c r="V418">
        <f>SUM($Q$2:Q418)</f>
        <v>74874290</v>
      </c>
      <c r="W418">
        <f>Table1[[#This Row],[Cumulative_Inventory_Value]]/$AP$3</f>
        <v>0.9891528372210876</v>
      </c>
      <c r="X418" t="str">
        <f>IF(Table1[[#This Row],[Cumulative_Value_%]]&lt;80%,"A", IF(Table1[[#This Row],[Cumulative_Value_%]]&lt;=95%,"B","C"))</f>
        <v>C</v>
      </c>
      <c r="Y418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418">
        <f>Table1[[#This Row],[Consumption]]/365</f>
        <v>6.3013698630136991E-2</v>
      </c>
      <c r="AA418">
        <f>Table1[[#This Row],[Avg_Daily_Consumption]]*Table1[[#This Row],[Lead_Time_Days]]+Table1[[#This Row],[Safety_Stock]]</f>
        <v>5.5205479452054798</v>
      </c>
      <c r="AB418">
        <f>IFERROR(Table1[[#This Row],[Closing_Stock]]/Table1[[#This Row],[Avg_Daily_Consumption]],9999)</f>
        <v>460.21739130434781</v>
      </c>
      <c r="AC418">
        <f>MAX(1,ROUNDUP(Table1[[#This Row],[Avg_Daily_Consumption]]*Table1[[#This Row],[Lead_Time_Days]]*0.8,0))</f>
        <v>3</v>
      </c>
      <c r="AD418" t="str">
        <f>IF(Table1[[#This Row],[Closing_Stock]]&lt;Table1[[#This Row],[Reorder_Point]],"Stock-out Risk","Adequate")</f>
        <v>Adequate</v>
      </c>
      <c r="AE418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418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418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418" s="11">
        <f>MAX(0,Table1[[#This Row],[Closing_Stock]]-Table1[[#This Row],[Reorder_Point]])</f>
        <v>23.479452054794521</v>
      </c>
      <c r="AI418" s="11">
        <f>Table1[[#This Row],[Excess_Stock_Units]]*Table1[[#This Row],[Unit_Cost_INR]]</f>
        <v>15496.438356164384</v>
      </c>
      <c r="AJ418" s="11">
        <f>IF(Table1[[#This Row],[Criticality]]="Critical",0,Table1[[#This Row],[Excess_Inventory_Value_INR]])</f>
        <v>15496.438356164384</v>
      </c>
      <c r="AK418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419" spans="1:37" x14ac:dyDescent="0.25">
      <c r="A419" t="s">
        <v>564</v>
      </c>
      <c r="B419" t="s">
        <v>75</v>
      </c>
      <c r="C419" t="s">
        <v>36</v>
      </c>
      <c r="D419" t="s">
        <v>27</v>
      </c>
      <c r="E419" t="s">
        <v>22</v>
      </c>
      <c r="F419">
        <v>21</v>
      </c>
      <c r="G419">
        <v>5</v>
      </c>
      <c r="H419">
        <v>4</v>
      </c>
      <c r="I419">
        <v>22</v>
      </c>
      <c r="J419">
        <v>850</v>
      </c>
      <c r="K419">
        <v>22</v>
      </c>
      <c r="L419">
        <v>0</v>
      </c>
      <c r="M419">
        <v>5</v>
      </c>
      <c r="N419" t="s">
        <v>58</v>
      </c>
      <c r="O419">
        <v>0.21299999999999999</v>
      </c>
      <c r="P419">
        <v>3983.1</v>
      </c>
      <c r="Q419">
        <f>(Table1[[#This Row],[Closing_Stock]]*Table1[[#This Row],[Unit_Cost_INR]])</f>
        <v>18700</v>
      </c>
      <c r="R419">
        <f>(Table1[[#This Row],[Unit_Cost_INR]]*Table1[[#This Row],[Consumption]])</f>
        <v>3400</v>
      </c>
      <c r="S419">
        <f>IFERROR(Table1[[#This Row],[Annual_Consumption_Value_INR]]/Table1[[#This Row],[Inventory_Value_INR]],0)</f>
        <v>0.18181818181818182</v>
      </c>
      <c r="T419">
        <f>IFERROR(365/Table1[[#This Row],[Inventory_Turnover]],0)</f>
        <v>2007.5</v>
      </c>
      <c r="U419" t="str">
        <f>IF(Table1[[#This Row],[Consumption]]=0,"Non-Moving", IF(Table1[[#This Row],[Days_Since_Last_Movement]]&gt;90,"Slow-Moving","Active"))</f>
        <v>Active</v>
      </c>
      <c r="V419">
        <f>SUM($Q$2:Q419)</f>
        <v>74892990</v>
      </c>
      <c r="W419">
        <f>Table1[[#This Row],[Cumulative_Inventory_Value]]/$AP$3</f>
        <v>0.98939988007192514</v>
      </c>
      <c r="X419" t="str">
        <f>IF(Table1[[#This Row],[Cumulative_Value_%]]&lt;80%,"A", IF(Table1[[#This Row],[Cumulative_Value_%]]&lt;=95%,"B","C"))</f>
        <v>C</v>
      </c>
      <c r="Y419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419">
        <f>Table1[[#This Row],[Consumption]]/365</f>
        <v>1.0958904109589041E-2</v>
      </c>
      <c r="AA419">
        <f>Table1[[#This Row],[Avg_Daily_Consumption]]*Table1[[#This Row],[Lead_Time_Days]]+Table1[[#This Row],[Safety_Stock]]</f>
        <v>1.2410958904109588</v>
      </c>
      <c r="AB419">
        <f>IFERROR(Table1[[#This Row],[Closing_Stock]]/Table1[[#This Row],[Avg_Daily_Consumption]],9999)</f>
        <v>2007.5</v>
      </c>
      <c r="AC419">
        <f>MAX(1,ROUNDUP(Table1[[#This Row],[Avg_Daily_Consumption]]*Table1[[#This Row],[Lead_Time_Days]]*0.8,0))</f>
        <v>1</v>
      </c>
      <c r="AD419" t="str">
        <f>IF(Table1[[#This Row],[Closing_Stock]]&lt;Table1[[#This Row],[Reorder_Point]],"Stock-out Risk","Adequate")</f>
        <v>Adequate</v>
      </c>
      <c r="AE419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419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419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419" s="11">
        <f>MAX(0,Table1[[#This Row],[Closing_Stock]]-Table1[[#This Row],[Reorder_Point]])</f>
        <v>20.758904109589039</v>
      </c>
      <c r="AI419" s="11">
        <f>Table1[[#This Row],[Excess_Stock_Units]]*Table1[[#This Row],[Unit_Cost_INR]]</f>
        <v>17645.068493150684</v>
      </c>
      <c r="AJ419" s="11">
        <f>IF(Table1[[#This Row],[Criticality]]="Critical",0,Table1[[#This Row],[Excess_Inventory_Value_INR]])</f>
        <v>17645.068493150684</v>
      </c>
      <c r="AK419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420" spans="1:37" x14ac:dyDescent="0.25">
      <c r="A420" t="s">
        <v>89</v>
      </c>
      <c r="B420" t="s">
        <v>75</v>
      </c>
      <c r="C420" t="s">
        <v>36</v>
      </c>
      <c r="D420" t="s">
        <v>60</v>
      </c>
      <c r="E420" t="s">
        <v>28</v>
      </c>
      <c r="F420">
        <v>24</v>
      </c>
      <c r="G420">
        <v>6</v>
      </c>
      <c r="H420">
        <v>5</v>
      </c>
      <c r="I420">
        <v>25</v>
      </c>
      <c r="J420">
        <v>710</v>
      </c>
      <c r="K420">
        <v>12</v>
      </c>
      <c r="L420">
        <v>3</v>
      </c>
      <c r="M420">
        <v>79</v>
      </c>
      <c r="N420" t="s">
        <v>81</v>
      </c>
      <c r="O420">
        <v>0.253</v>
      </c>
      <c r="P420">
        <v>4490.75</v>
      </c>
      <c r="Q420">
        <f>(Table1[[#This Row],[Closing_Stock]]*Table1[[#This Row],[Unit_Cost_INR]])</f>
        <v>17750</v>
      </c>
      <c r="R420">
        <f>(Table1[[#This Row],[Unit_Cost_INR]]*Table1[[#This Row],[Consumption]])</f>
        <v>3550</v>
      </c>
      <c r="S420">
        <f>IFERROR(Table1[[#This Row],[Annual_Consumption_Value_INR]]/Table1[[#This Row],[Inventory_Value_INR]],0)</f>
        <v>0.2</v>
      </c>
      <c r="T420">
        <f>IFERROR(365/Table1[[#This Row],[Inventory_Turnover]],0)</f>
        <v>1825</v>
      </c>
      <c r="U420" t="str">
        <f>IF(Table1[[#This Row],[Consumption]]=0,"Non-Moving", IF(Table1[[#This Row],[Days_Since_Last_Movement]]&gt;90,"Slow-Moving","Active"))</f>
        <v>Active</v>
      </c>
      <c r="V420">
        <f>SUM($Q$2:Q420)</f>
        <v>74910740</v>
      </c>
      <c r="W420">
        <f>Table1[[#This Row],[Cumulative_Inventory_Value]]/$AP$3</f>
        <v>0.9896343726175062</v>
      </c>
      <c r="X420" t="str">
        <f>IF(Table1[[#This Row],[Cumulative_Value_%]]&lt;80%,"A", IF(Table1[[#This Row],[Cumulative_Value_%]]&lt;=95%,"B","C"))</f>
        <v>C</v>
      </c>
      <c r="Y420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420">
        <f>Table1[[#This Row],[Consumption]]/365</f>
        <v>1.3698630136986301E-2</v>
      </c>
      <c r="AA420">
        <f>Table1[[#This Row],[Avg_Daily_Consumption]]*Table1[[#This Row],[Lead_Time_Days]]+Table1[[#This Row],[Safety_Stock]]</f>
        <v>1.1643835616438356</v>
      </c>
      <c r="AB420">
        <f>IFERROR(Table1[[#This Row],[Closing_Stock]]/Table1[[#This Row],[Avg_Daily_Consumption]],9999)</f>
        <v>1825</v>
      </c>
      <c r="AC420">
        <f>MAX(1,ROUNDUP(Table1[[#This Row],[Avg_Daily_Consumption]]*Table1[[#This Row],[Lead_Time_Days]]*0.8,0))</f>
        <v>1</v>
      </c>
      <c r="AD420" t="str">
        <f>IF(Table1[[#This Row],[Closing_Stock]]&lt;Table1[[#This Row],[Reorder_Point]],"Stock-out Risk","Adequate")</f>
        <v>Adequate</v>
      </c>
      <c r="AE420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420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420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420" s="11">
        <f>MAX(0,Table1[[#This Row],[Closing_Stock]]-Table1[[#This Row],[Reorder_Point]])</f>
        <v>23.835616438356166</v>
      </c>
      <c r="AI420" s="11">
        <f>Table1[[#This Row],[Excess_Stock_Units]]*Table1[[#This Row],[Unit_Cost_INR]]</f>
        <v>16923.287671232876</v>
      </c>
      <c r="AJ420" s="11">
        <f>IF(Table1[[#This Row],[Criticality]]="Critical",0,Table1[[#This Row],[Excess_Inventory_Value_INR]])</f>
        <v>16923.287671232876</v>
      </c>
      <c r="AK420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421" spans="1:37" x14ac:dyDescent="0.25">
      <c r="A421" t="s">
        <v>181</v>
      </c>
      <c r="B421" t="s">
        <v>85</v>
      </c>
      <c r="C421" t="s">
        <v>41</v>
      </c>
      <c r="D421" t="s">
        <v>27</v>
      </c>
      <c r="E421" t="s">
        <v>22</v>
      </c>
      <c r="F421">
        <v>7</v>
      </c>
      <c r="G421">
        <v>5</v>
      </c>
      <c r="H421">
        <v>0</v>
      </c>
      <c r="I421">
        <v>40</v>
      </c>
      <c r="J421">
        <v>440</v>
      </c>
      <c r="K421">
        <v>6</v>
      </c>
      <c r="L421">
        <v>2</v>
      </c>
      <c r="M421">
        <v>611</v>
      </c>
      <c r="N421" t="s">
        <v>23</v>
      </c>
      <c r="O421">
        <v>0.23899999999999999</v>
      </c>
      <c r="P421">
        <v>4206.3999999999996</v>
      </c>
      <c r="Q421">
        <f>(Table1[[#This Row],[Closing_Stock]]*Table1[[#This Row],[Unit_Cost_INR]])</f>
        <v>17600</v>
      </c>
      <c r="R421">
        <f>(Table1[[#This Row],[Unit_Cost_INR]]*Table1[[#This Row],[Consumption]])</f>
        <v>0</v>
      </c>
      <c r="S421">
        <f>IFERROR(Table1[[#This Row],[Annual_Consumption_Value_INR]]/Table1[[#This Row],[Inventory_Value_INR]],0)</f>
        <v>0</v>
      </c>
      <c r="T421">
        <f>IFERROR(365/Table1[[#This Row],[Inventory_Turnover]],0)</f>
        <v>0</v>
      </c>
      <c r="U421" t="str">
        <f>IF(Table1[[#This Row],[Consumption]]=0,"Non-Moving", IF(Table1[[#This Row],[Days_Since_Last_Movement]]&gt;90,"Slow-Moving","Active"))</f>
        <v>Non-Moving</v>
      </c>
      <c r="V421">
        <f>SUM($Q$2:Q421)</f>
        <v>74928340</v>
      </c>
      <c r="W421">
        <f>Table1[[#This Row],[Cumulative_Inventory_Value]]/$AP$3</f>
        <v>0.98986688353594154</v>
      </c>
      <c r="X421" t="str">
        <f>IF(Table1[[#This Row],[Cumulative_Value_%]]&lt;80%,"A", IF(Table1[[#This Row],[Cumulative_Value_%]]&lt;=95%,"B","C"))</f>
        <v>C</v>
      </c>
      <c r="Y421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Review</v>
      </c>
      <c r="Z421">
        <f>Table1[[#This Row],[Consumption]]/365</f>
        <v>0</v>
      </c>
      <c r="AA421">
        <f>Table1[[#This Row],[Avg_Daily_Consumption]]*Table1[[#This Row],[Lead_Time_Days]]+Table1[[#This Row],[Safety_Stock]]</f>
        <v>1</v>
      </c>
      <c r="AB421">
        <f>IFERROR(Table1[[#This Row],[Closing_Stock]]/Table1[[#This Row],[Avg_Daily_Consumption]],9999)</f>
        <v>9999</v>
      </c>
      <c r="AC421">
        <f>MAX(1,ROUNDUP(Table1[[#This Row],[Avg_Daily_Consumption]]*Table1[[#This Row],[Lead_Time_Days]]*0.8,0))</f>
        <v>1</v>
      </c>
      <c r="AD421" t="str">
        <f>IF(Table1[[#This Row],[Closing_Stock]]&lt;Table1[[#This Row],[Reorder_Point]],"Stock-out Risk","Adequate")</f>
        <v>Adequate</v>
      </c>
      <c r="AE421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421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 for Disposal/De-procurement</v>
      </c>
      <c r="AG421">
        <f>IF(Table1[[#This Row],[Action_Recommendation]]="Review for Disposal/De-procurement",Table1[[#This Row],[Inventory_Value_INR]]*70%,IF(Table1[[#This Row],[Action_Recommendation]]="Review Safety Stock",Table1[[#This Row],[Inventory_Value_INR]]*20%,0))</f>
        <v>12320</v>
      </c>
      <c r="AH421" s="11">
        <f>MAX(0,Table1[[#This Row],[Closing_Stock]]-Table1[[#This Row],[Reorder_Point]])</f>
        <v>39</v>
      </c>
      <c r="AI421" s="11">
        <f>Table1[[#This Row],[Excess_Stock_Units]]*Table1[[#This Row],[Unit_Cost_INR]]</f>
        <v>17160</v>
      </c>
      <c r="AJ421" s="11">
        <f>IF(Table1[[#This Row],[Criticality]]="Critical",0,Table1[[#This Row],[Excess_Inventory_Value_INR]])</f>
        <v>17160</v>
      </c>
      <c r="AK421" s="11">
        <f>IF(AND(Table1[[#This Row],[Criticality]]&lt;&gt;"Critical",OR(Table1[[#This Row],[Movement_Class]]="Slow-Moving",Table1[[#This Row],[Movement_Class]]="Non-Moving")),Table1[[#This Row],[Excess_Inventory_Value_INR]],0)</f>
        <v>17160</v>
      </c>
    </row>
    <row r="422" spans="1:37" x14ac:dyDescent="0.25">
      <c r="A422" t="s">
        <v>510</v>
      </c>
      <c r="B422" t="s">
        <v>97</v>
      </c>
      <c r="C422" t="s">
        <v>52</v>
      </c>
      <c r="D422" t="s">
        <v>66</v>
      </c>
      <c r="E422" t="s">
        <v>22</v>
      </c>
      <c r="F422">
        <v>9</v>
      </c>
      <c r="G422">
        <v>9</v>
      </c>
      <c r="H422">
        <v>5</v>
      </c>
      <c r="I422">
        <v>13</v>
      </c>
      <c r="J422">
        <v>1340</v>
      </c>
      <c r="K422">
        <v>36</v>
      </c>
      <c r="L422">
        <v>0</v>
      </c>
      <c r="M422">
        <v>34</v>
      </c>
      <c r="N422" t="s">
        <v>58</v>
      </c>
      <c r="O422">
        <v>0.16500000000000001</v>
      </c>
      <c r="P422">
        <v>2874.3</v>
      </c>
      <c r="Q422">
        <f>(Table1[[#This Row],[Closing_Stock]]*Table1[[#This Row],[Unit_Cost_INR]])</f>
        <v>17420</v>
      </c>
      <c r="R422">
        <f>(Table1[[#This Row],[Unit_Cost_INR]]*Table1[[#This Row],[Consumption]])</f>
        <v>6700</v>
      </c>
      <c r="S422">
        <f>IFERROR(Table1[[#This Row],[Annual_Consumption_Value_INR]]/Table1[[#This Row],[Inventory_Value_INR]],0)</f>
        <v>0.38461538461538464</v>
      </c>
      <c r="T422">
        <f>IFERROR(365/Table1[[#This Row],[Inventory_Turnover]],0)</f>
        <v>949</v>
      </c>
      <c r="U422" t="str">
        <f>IF(Table1[[#This Row],[Consumption]]=0,"Non-Moving", IF(Table1[[#This Row],[Days_Since_Last_Movement]]&gt;90,"Slow-Moving","Active"))</f>
        <v>Active</v>
      </c>
      <c r="V422">
        <f>SUM($Q$2:Q422)</f>
        <v>74945760</v>
      </c>
      <c r="W422">
        <f>Table1[[#This Row],[Cumulative_Inventory_Value]]/$AP$3</f>
        <v>0.99009701650180193</v>
      </c>
      <c r="X422" t="str">
        <f>IF(Table1[[#This Row],[Cumulative_Value_%]]&lt;80%,"A", IF(Table1[[#This Row],[Cumulative_Value_%]]&lt;=95%,"B","C"))</f>
        <v>C</v>
      </c>
      <c r="Y422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422">
        <f>Table1[[#This Row],[Consumption]]/365</f>
        <v>1.3698630136986301E-2</v>
      </c>
      <c r="AA422">
        <f>Table1[[#This Row],[Avg_Daily_Consumption]]*Table1[[#This Row],[Lead_Time_Days]]+Table1[[#This Row],[Safety_Stock]]</f>
        <v>1.4931506849315068</v>
      </c>
      <c r="AB422">
        <f>IFERROR(Table1[[#This Row],[Closing_Stock]]/Table1[[#This Row],[Avg_Daily_Consumption]],9999)</f>
        <v>949</v>
      </c>
      <c r="AC422">
        <f>MAX(1,ROUNDUP(Table1[[#This Row],[Avg_Daily_Consumption]]*Table1[[#This Row],[Lead_Time_Days]]*0.8,0))</f>
        <v>1</v>
      </c>
      <c r="AD422" t="str">
        <f>IF(Table1[[#This Row],[Closing_Stock]]&lt;Table1[[#This Row],[Reorder_Point]],"Stock-out Risk","Adequate")</f>
        <v>Adequate</v>
      </c>
      <c r="AE422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422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422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422" s="11">
        <f>MAX(0,Table1[[#This Row],[Closing_Stock]]-Table1[[#This Row],[Reorder_Point]])</f>
        <v>11.506849315068493</v>
      </c>
      <c r="AI422" s="11">
        <f>Table1[[#This Row],[Excess_Stock_Units]]*Table1[[#This Row],[Unit_Cost_INR]]</f>
        <v>15419.17808219178</v>
      </c>
      <c r="AJ422" s="11">
        <f>IF(Table1[[#This Row],[Criticality]]="Critical",0,Table1[[#This Row],[Excess_Inventory_Value_INR]])</f>
        <v>15419.17808219178</v>
      </c>
      <c r="AK422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423" spans="1:37" x14ac:dyDescent="0.25">
      <c r="A423" t="s">
        <v>170</v>
      </c>
      <c r="B423" t="s">
        <v>85</v>
      </c>
      <c r="C423" t="s">
        <v>41</v>
      </c>
      <c r="D423" t="s">
        <v>45</v>
      </c>
      <c r="E423" t="s">
        <v>22</v>
      </c>
      <c r="F423">
        <v>7</v>
      </c>
      <c r="G423">
        <v>4</v>
      </c>
      <c r="H423">
        <v>3</v>
      </c>
      <c r="I423">
        <v>8</v>
      </c>
      <c r="J423">
        <v>2170</v>
      </c>
      <c r="K423">
        <v>21</v>
      </c>
      <c r="L423">
        <v>0</v>
      </c>
      <c r="M423">
        <v>73</v>
      </c>
      <c r="N423" t="s">
        <v>61</v>
      </c>
      <c r="O423">
        <v>0.27500000000000002</v>
      </c>
      <c r="P423">
        <v>4774</v>
      </c>
      <c r="Q423">
        <f>(Table1[[#This Row],[Closing_Stock]]*Table1[[#This Row],[Unit_Cost_INR]])</f>
        <v>17360</v>
      </c>
      <c r="R423">
        <f>(Table1[[#This Row],[Unit_Cost_INR]]*Table1[[#This Row],[Consumption]])</f>
        <v>6510</v>
      </c>
      <c r="S423">
        <f>IFERROR(Table1[[#This Row],[Annual_Consumption_Value_INR]]/Table1[[#This Row],[Inventory_Value_INR]],0)</f>
        <v>0.375</v>
      </c>
      <c r="T423">
        <f>IFERROR(365/Table1[[#This Row],[Inventory_Turnover]],0)</f>
        <v>973.33333333333337</v>
      </c>
      <c r="U423" t="str">
        <f>IF(Table1[[#This Row],[Consumption]]=0,"Non-Moving", IF(Table1[[#This Row],[Days_Since_Last_Movement]]&gt;90,"Slow-Moving","Active"))</f>
        <v>Active</v>
      </c>
      <c r="V423">
        <f>SUM($Q$2:Q423)</f>
        <v>74963120</v>
      </c>
      <c r="W423">
        <f>Table1[[#This Row],[Cumulative_Inventory_Value]]/$AP$3</f>
        <v>0.99032635681680403</v>
      </c>
      <c r="X423" t="str">
        <f>IF(Table1[[#This Row],[Cumulative_Value_%]]&lt;80%,"A", IF(Table1[[#This Row],[Cumulative_Value_%]]&lt;=95%,"B","C"))</f>
        <v>C</v>
      </c>
      <c r="Y423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423">
        <f>Table1[[#This Row],[Consumption]]/365</f>
        <v>8.21917808219178E-3</v>
      </c>
      <c r="AA423">
        <f>Table1[[#This Row],[Avg_Daily_Consumption]]*Table1[[#This Row],[Lead_Time_Days]]+Table1[[#This Row],[Safety_Stock]]</f>
        <v>1.1726027397260275</v>
      </c>
      <c r="AB423">
        <f>IFERROR(Table1[[#This Row],[Closing_Stock]]/Table1[[#This Row],[Avg_Daily_Consumption]],9999)</f>
        <v>973.33333333333348</v>
      </c>
      <c r="AC423">
        <f>MAX(1,ROUNDUP(Table1[[#This Row],[Avg_Daily_Consumption]]*Table1[[#This Row],[Lead_Time_Days]]*0.8,0))</f>
        <v>1</v>
      </c>
      <c r="AD423" t="str">
        <f>IF(Table1[[#This Row],[Closing_Stock]]&lt;Table1[[#This Row],[Reorder_Point]],"Stock-out Risk","Adequate")</f>
        <v>Adequate</v>
      </c>
      <c r="AE423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423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423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423" s="11">
        <f>MAX(0,Table1[[#This Row],[Closing_Stock]]-Table1[[#This Row],[Reorder_Point]])</f>
        <v>6.8273972602739725</v>
      </c>
      <c r="AI423" s="11">
        <f>Table1[[#This Row],[Excess_Stock_Units]]*Table1[[#This Row],[Unit_Cost_INR]]</f>
        <v>14815.452054794521</v>
      </c>
      <c r="AJ423" s="11">
        <f>IF(Table1[[#This Row],[Criticality]]="Critical",0,Table1[[#This Row],[Excess_Inventory_Value_INR]])</f>
        <v>14815.452054794521</v>
      </c>
      <c r="AK423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424" spans="1:37" x14ac:dyDescent="0.25">
      <c r="A424" t="s">
        <v>416</v>
      </c>
      <c r="B424" t="s">
        <v>99</v>
      </c>
      <c r="C424" t="s">
        <v>20</v>
      </c>
      <c r="D424" t="s">
        <v>60</v>
      </c>
      <c r="E424" t="s">
        <v>46</v>
      </c>
      <c r="F424">
        <v>20</v>
      </c>
      <c r="G424">
        <v>41</v>
      </c>
      <c r="H424">
        <v>33</v>
      </c>
      <c r="I424">
        <v>28</v>
      </c>
      <c r="J424">
        <v>620</v>
      </c>
      <c r="K424">
        <v>7</v>
      </c>
      <c r="L424">
        <v>1</v>
      </c>
      <c r="M424">
        <v>22</v>
      </c>
      <c r="N424" t="s">
        <v>58</v>
      </c>
      <c r="O424">
        <v>0.20599999999999999</v>
      </c>
      <c r="P424">
        <v>3576.16</v>
      </c>
      <c r="Q424">
        <f>(Table1[[#This Row],[Closing_Stock]]*Table1[[#This Row],[Unit_Cost_INR]])</f>
        <v>17360</v>
      </c>
      <c r="R424">
        <f>(Table1[[#This Row],[Unit_Cost_INR]]*Table1[[#This Row],[Consumption]])</f>
        <v>20460</v>
      </c>
      <c r="S424">
        <f>IFERROR(Table1[[#This Row],[Annual_Consumption_Value_INR]]/Table1[[#This Row],[Inventory_Value_INR]],0)</f>
        <v>1.1785714285714286</v>
      </c>
      <c r="T424">
        <f>IFERROR(365/Table1[[#This Row],[Inventory_Turnover]],0)</f>
        <v>309.69696969696969</v>
      </c>
      <c r="U424" t="str">
        <f>IF(Table1[[#This Row],[Consumption]]=0,"Non-Moving", IF(Table1[[#This Row],[Days_Since_Last_Movement]]&gt;90,"Slow-Moving","Active"))</f>
        <v>Active</v>
      </c>
      <c r="V424">
        <f>SUM($Q$2:Q424)</f>
        <v>74980480</v>
      </c>
      <c r="W424">
        <f>Table1[[#This Row],[Cumulative_Inventory_Value]]/$AP$3</f>
        <v>0.99055569713180613</v>
      </c>
      <c r="X424" t="str">
        <f>IF(Table1[[#This Row],[Cumulative_Value_%]]&lt;80%,"A", IF(Table1[[#This Row],[Cumulative_Value_%]]&lt;=95%,"B","C"))</f>
        <v>C</v>
      </c>
      <c r="Y424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424">
        <f>Table1[[#This Row],[Consumption]]/365</f>
        <v>9.0410958904109592E-2</v>
      </c>
      <c r="AA424">
        <f>Table1[[#This Row],[Avg_Daily_Consumption]]*Table1[[#This Row],[Lead_Time_Days]]+Table1[[#This Row],[Safety_Stock]]</f>
        <v>1.6328767123287671</v>
      </c>
      <c r="AB424">
        <f>IFERROR(Table1[[#This Row],[Closing_Stock]]/Table1[[#This Row],[Avg_Daily_Consumption]],9999)</f>
        <v>309.69696969696969</v>
      </c>
      <c r="AC424">
        <f>MAX(1,ROUNDUP(Table1[[#This Row],[Avg_Daily_Consumption]]*Table1[[#This Row],[Lead_Time_Days]]*0.8,0))</f>
        <v>1</v>
      </c>
      <c r="AD424" t="str">
        <f>IF(Table1[[#This Row],[Closing_Stock]]&lt;Table1[[#This Row],[Reorder_Point]],"Stock-out Risk","Adequate")</f>
        <v>Adequate</v>
      </c>
      <c r="AE424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424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424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424" s="11">
        <f>MAX(0,Table1[[#This Row],[Closing_Stock]]-Table1[[#This Row],[Reorder_Point]])</f>
        <v>26.367123287671234</v>
      </c>
      <c r="AI424" s="11">
        <f>Table1[[#This Row],[Excess_Stock_Units]]*Table1[[#This Row],[Unit_Cost_INR]]</f>
        <v>16347.616438356165</v>
      </c>
      <c r="AJ424" s="11">
        <f>IF(Table1[[#This Row],[Criticality]]="Critical",0,Table1[[#This Row],[Excess_Inventory_Value_INR]])</f>
        <v>16347.616438356165</v>
      </c>
      <c r="AK424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425" spans="1:37" x14ac:dyDescent="0.25">
      <c r="A425" t="s">
        <v>310</v>
      </c>
      <c r="B425" t="s">
        <v>104</v>
      </c>
      <c r="C425" t="s">
        <v>41</v>
      </c>
      <c r="D425" t="s">
        <v>60</v>
      </c>
      <c r="E425" t="s">
        <v>22</v>
      </c>
      <c r="F425">
        <v>9</v>
      </c>
      <c r="G425">
        <v>8</v>
      </c>
      <c r="H425">
        <v>6</v>
      </c>
      <c r="I425">
        <v>11</v>
      </c>
      <c r="J425">
        <v>1560</v>
      </c>
      <c r="K425">
        <v>31</v>
      </c>
      <c r="L425">
        <v>0</v>
      </c>
      <c r="M425">
        <v>46</v>
      </c>
      <c r="N425" t="s">
        <v>33</v>
      </c>
      <c r="O425">
        <v>0.17599999999999999</v>
      </c>
      <c r="P425">
        <v>3020.16</v>
      </c>
      <c r="Q425">
        <f>(Table1[[#This Row],[Closing_Stock]]*Table1[[#This Row],[Unit_Cost_INR]])</f>
        <v>17160</v>
      </c>
      <c r="R425">
        <f>(Table1[[#This Row],[Unit_Cost_INR]]*Table1[[#This Row],[Consumption]])</f>
        <v>9360</v>
      </c>
      <c r="S425">
        <f>IFERROR(Table1[[#This Row],[Annual_Consumption_Value_INR]]/Table1[[#This Row],[Inventory_Value_INR]],0)</f>
        <v>0.54545454545454541</v>
      </c>
      <c r="T425">
        <f>IFERROR(365/Table1[[#This Row],[Inventory_Turnover]],0)</f>
        <v>669.16666666666674</v>
      </c>
      <c r="U425" t="str">
        <f>IF(Table1[[#This Row],[Consumption]]=0,"Non-Moving", IF(Table1[[#This Row],[Days_Since_Last_Movement]]&gt;90,"Slow-Moving","Active"))</f>
        <v>Active</v>
      </c>
      <c r="V425">
        <f>SUM($Q$2:Q425)</f>
        <v>74997640</v>
      </c>
      <c r="W425">
        <f>Table1[[#This Row],[Cumulative_Inventory_Value]]/$AP$3</f>
        <v>0.99078239527728051</v>
      </c>
      <c r="X425" t="str">
        <f>IF(Table1[[#This Row],[Cumulative_Value_%]]&lt;80%,"A", IF(Table1[[#This Row],[Cumulative_Value_%]]&lt;=95%,"B","C"))</f>
        <v>C</v>
      </c>
      <c r="Y425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425">
        <f>Table1[[#This Row],[Consumption]]/365</f>
        <v>1.643835616438356E-2</v>
      </c>
      <c r="AA425">
        <f>Table1[[#This Row],[Avg_Daily_Consumption]]*Table1[[#This Row],[Lead_Time_Days]]+Table1[[#This Row],[Safety_Stock]]</f>
        <v>1.5095890410958903</v>
      </c>
      <c r="AB425">
        <f>IFERROR(Table1[[#This Row],[Closing_Stock]]/Table1[[#This Row],[Avg_Daily_Consumption]],9999)</f>
        <v>669.16666666666674</v>
      </c>
      <c r="AC425">
        <f>MAX(1,ROUNDUP(Table1[[#This Row],[Avg_Daily_Consumption]]*Table1[[#This Row],[Lead_Time_Days]]*0.8,0))</f>
        <v>1</v>
      </c>
      <c r="AD425" t="str">
        <f>IF(Table1[[#This Row],[Closing_Stock]]&lt;Table1[[#This Row],[Reorder_Point]],"Stock-out Risk","Adequate")</f>
        <v>Adequate</v>
      </c>
      <c r="AE425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425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425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425" s="11">
        <f>MAX(0,Table1[[#This Row],[Closing_Stock]]-Table1[[#This Row],[Reorder_Point]])</f>
        <v>9.4904109589041106</v>
      </c>
      <c r="AI425" s="11">
        <f>Table1[[#This Row],[Excess_Stock_Units]]*Table1[[#This Row],[Unit_Cost_INR]]</f>
        <v>14805.041095890412</v>
      </c>
      <c r="AJ425" s="11">
        <f>IF(Table1[[#This Row],[Criticality]]="Critical",0,Table1[[#This Row],[Excess_Inventory_Value_INR]])</f>
        <v>14805.041095890412</v>
      </c>
      <c r="AK425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426" spans="1:37" x14ac:dyDescent="0.25">
      <c r="A426" t="s">
        <v>320</v>
      </c>
      <c r="B426" t="s">
        <v>25</v>
      </c>
      <c r="C426" t="s">
        <v>26</v>
      </c>
      <c r="D426" t="s">
        <v>42</v>
      </c>
      <c r="E426" t="s">
        <v>37</v>
      </c>
      <c r="F426">
        <v>16</v>
      </c>
      <c r="G426">
        <v>12</v>
      </c>
      <c r="H426">
        <v>13</v>
      </c>
      <c r="I426">
        <v>15</v>
      </c>
      <c r="J426">
        <v>1140</v>
      </c>
      <c r="K426">
        <v>27</v>
      </c>
      <c r="L426">
        <v>1</v>
      </c>
      <c r="M426">
        <v>30</v>
      </c>
      <c r="N426" t="s">
        <v>38</v>
      </c>
      <c r="O426">
        <v>0.20100000000000001</v>
      </c>
      <c r="P426">
        <v>3437.1</v>
      </c>
      <c r="Q426">
        <f>(Table1[[#This Row],[Closing_Stock]]*Table1[[#This Row],[Unit_Cost_INR]])</f>
        <v>17100</v>
      </c>
      <c r="R426">
        <f>(Table1[[#This Row],[Unit_Cost_INR]]*Table1[[#This Row],[Consumption]])</f>
        <v>14820</v>
      </c>
      <c r="S426">
        <f>IFERROR(Table1[[#This Row],[Annual_Consumption_Value_INR]]/Table1[[#This Row],[Inventory_Value_INR]],0)</f>
        <v>0.8666666666666667</v>
      </c>
      <c r="T426">
        <f>IFERROR(365/Table1[[#This Row],[Inventory_Turnover]],0)</f>
        <v>421.15384615384613</v>
      </c>
      <c r="U426" t="str">
        <f>IF(Table1[[#This Row],[Consumption]]=0,"Non-Moving", IF(Table1[[#This Row],[Days_Since_Last_Movement]]&gt;90,"Slow-Moving","Active"))</f>
        <v>Active</v>
      </c>
      <c r="V426">
        <f>SUM($Q$2:Q426)</f>
        <v>75014740</v>
      </c>
      <c r="W426">
        <f>Table1[[#This Row],[Cumulative_Inventory_Value]]/$AP$3</f>
        <v>0.99100830077189661</v>
      </c>
      <c r="X426" t="str">
        <f>IF(Table1[[#This Row],[Cumulative_Value_%]]&lt;80%,"A", IF(Table1[[#This Row],[Cumulative_Value_%]]&lt;=95%,"B","C"))</f>
        <v>C</v>
      </c>
      <c r="Y426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426">
        <f>Table1[[#This Row],[Consumption]]/365</f>
        <v>3.5616438356164383E-2</v>
      </c>
      <c r="AA426">
        <f>Table1[[#This Row],[Avg_Daily_Consumption]]*Table1[[#This Row],[Lead_Time_Days]]+Table1[[#This Row],[Safety_Stock]]</f>
        <v>1.9616438356164383</v>
      </c>
      <c r="AB426">
        <f>IFERROR(Table1[[#This Row],[Closing_Stock]]/Table1[[#This Row],[Avg_Daily_Consumption]],9999)</f>
        <v>421.15384615384619</v>
      </c>
      <c r="AC426">
        <f>MAX(1,ROUNDUP(Table1[[#This Row],[Avg_Daily_Consumption]]*Table1[[#This Row],[Lead_Time_Days]]*0.8,0))</f>
        <v>1</v>
      </c>
      <c r="AD426" t="str">
        <f>IF(Table1[[#This Row],[Closing_Stock]]&lt;Table1[[#This Row],[Reorder_Point]],"Stock-out Risk","Adequate")</f>
        <v>Adequate</v>
      </c>
      <c r="AE426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426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426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426" s="11">
        <f>MAX(0,Table1[[#This Row],[Closing_Stock]]-Table1[[#This Row],[Reorder_Point]])</f>
        <v>13.038356164383561</v>
      </c>
      <c r="AI426" s="11">
        <f>Table1[[#This Row],[Excess_Stock_Units]]*Table1[[#This Row],[Unit_Cost_INR]]</f>
        <v>14863.726027397261</v>
      </c>
      <c r="AJ426" s="11">
        <f>IF(Table1[[#This Row],[Criticality]]="Critical",0,Table1[[#This Row],[Excess_Inventory_Value_INR]])</f>
        <v>0</v>
      </c>
      <c r="AK426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427" spans="1:37" x14ac:dyDescent="0.25">
      <c r="A427" t="s">
        <v>461</v>
      </c>
      <c r="B427" t="s">
        <v>210</v>
      </c>
      <c r="C427" t="s">
        <v>32</v>
      </c>
      <c r="D427" t="s">
        <v>45</v>
      </c>
      <c r="E427" t="s">
        <v>28</v>
      </c>
      <c r="F427">
        <v>32</v>
      </c>
      <c r="G427">
        <v>29</v>
      </c>
      <c r="H427">
        <v>31</v>
      </c>
      <c r="I427">
        <v>30</v>
      </c>
      <c r="J427">
        <v>560</v>
      </c>
      <c r="K427">
        <v>3</v>
      </c>
      <c r="L427">
        <v>0</v>
      </c>
      <c r="M427">
        <v>17</v>
      </c>
      <c r="N427" t="s">
        <v>61</v>
      </c>
      <c r="O427">
        <v>0.214</v>
      </c>
      <c r="P427">
        <v>3595.2</v>
      </c>
      <c r="Q427">
        <f>(Table1[[#This Row],[Closing_Stock]]*Table1[[#This Row],[Unit_Cost_INR]])</f>
        <v>16800</v>
      </c>
      <c r="R427">
        <f>(Table1[[#This Row],[Unit_Cost_INR]]*Table1[[#This Row],[Consumption]])</f>
        <v>17360</v>
      </c>
      <c r="S427">
        <f>IFERROR(Table1[[#This Row],[Annual_Consumption_Value_INR]]/Table1[[#This Row],[Inventory_Value_INR]],0)</f>
        <v>1.0333333333333334</v>
      </c>
      <c r="T427">
        <f>IFERROR(365/Table1[[#This Row],[Inventory_Turnover]],0)</f>
        <v>353.22580645161287</v>
      </c>
      <c r="U427" t="str">
        <f>IF(Table1[[#This Row],[Consumption]]=0,"Non-Moving", IF(Table1[[#This Row],[Days_Since_Last_Movement]]&gt;90,"Slow-Moving","Active"))</f>
        <v>Active</v>
      </c>
      <c r="V427">
        <f>SUM($Q$2:Q427)</f>
        <v>75031540</v>
      </c>
      <c r="W427">
        <f>Table1[[#This Row],[Cumulative_Inventory_Value]]/$AP$3</f>
        <v>0.99123024301222118</v>
      </c>
      <c r="X427" t="str">
        <f>IF(Table1[[#This Row],[Cumulative_Value_%]]&lt;80%,"A", IF(Table1[[#This Row],[Cumulative_Value_%]]&lt;=95%,"B","C"))</f>
        <v>C</v>
      </c>
      <c r="Y427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427">
        <f>Table1[[#This Row],[Consumption]]/365</f>
        <v>8.4931506849315067E-2</v>
      </c>
      <c r="AA427">
        <f>Table1[[#This Row],[Avg_Daily_Consumption]]*Table1[[#This Row],[Lead_Time_Days]]+Table1[[#This Row],[Safety_Stock]]</f>
        <v>1.2547945205479452</v>
      </c>
      <c r="AB427">
        <f>IFERROR(Table1[[#This Row],[Closing_Stock]]/Table1[[#This Row],[Avg_Daily_Consumption]],9999)</f>
        <v>353.22580645161293</v>
      </c>
      <c r="AC427">
        <f>MAX(1,ROUNDUP(Table1[[#This Row],[Avg_Daily_Consumption]]*Table1[[#This Row],[Lead_Time_Days]]*0.8,0))</f>
        <v>1</v>
      </c>
      <c r="AD427" t="str">
        <f>IF(Table1[[#This Row],[Closing_Stock]]&lt;Table1[[#This Row],[Reorder_Point]],"Stock-out Risk","Adequate")</f>
        <v>Adequate</v>
      </c>
      <c r="AE427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427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427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427" s="11">
        <f>MAX(0,Table1[[#This Row],[Closing_Stock]]-Table1[[#This Row],[Reorder_Point]])</f>
        <v>28.745205479452054</v>
      </c>
      <c r="AI427" s="11">
        <f>Table1[[#This Row],[Excess_Stock_Units]]*Table1[[#This Row],[Unit_Cost_INR]]</f>
        <v>16097.31506849315</v>
      </c>
      <c r="AJ427" s="11">
        <f>IF(Table1[[#This Row],[Criticality]]="Critical",0,Table1[[#This Row],[Excess_Inventory_Value_INR]])</f>
        <v>16097.31506849315</v>
      </c>
      <c r="AK427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428" spans="1:37" x14ac:dyDescent="0.25">
      <c r="A428" t="s">
        <v>474</v>
      </c>
      <c r="B428" t="s">
        <v>184</v>
      </c>
      <c r="C428" t="s">
        <v>26</v>
      </c>
      <c r="D428" t="s">
        <v>60</v>
      </c>
      <c r="E428" t="s">
        <v>46</v>
      </c>
      <c r="F428">
        <v>18</v>
      </c>
      <c r="G428">
        <v>4</v>
      </c>
      <c r="H428">
        <v>4</v>
      </c>
      <c r="I428">
        <v>18</v>
      </c>
      <c r="J428">
        <v>920</v>
      </c>
      <c r="K428">
        <v>25</v>
      </c>
      <c r="L428">
        <v>2</v>
      </c>
      <c r="M428">
        <v>8</v>
      </c>
      <c r="N428" t="s">
        <v>81</v>
      </c>
      <c r="O428">
        <v>0.20399999999999999</v>
      </c>
      <c r="P428">
        <v>3378.24</v>
      </c>
      <c r="Q428">
        <f>(Table1[[#This Row],[Closing_Stock]]*Table1[[#This Row],[Unit_Cost_INR]])</f>
        <v>16560</v>
      </c>
      <c r="R428">
        <f>(Table1[[#This Row],[Unit_Cost_INR]]*Table1[[#This Row],[Consumption]])</f>
        <v>3680</v>
      </c>
      <c r="S428">
        <f>IFERROR(Table1[[#This Row],[Annual_Consumption_Value_INR]]/Table1[[#This Row],[Inventory_Value_INR]],0)</f>
        <v>0.22222222222222221</v>
      </c>
      <c r="T428">
        <f>IFERROR(365/Table1[[#This Row],[Inventory_Turnover]],0)</f>
        <v>1642.5</v>
      </c>
      <c r="U428" t="str">
        <f>IF(Table1[[#This Row],[Consumption]]=0,"Non-Moving", IF(Table1[[#This Row],[Days_Since_Last_Movement]]&gt;90,"Slow-Moving","Active"))</f>
        <v>Active</v>
      </c>
      <c r="V428">
        <f>SUM($Q$2:Q428)</f>
        <v>75048100</v>
      </c>
      <c r="W428">
        <f>Table1[[#This Row],[Cumulative_Inventory_Value]]/$AP$3</f>
        <v>0.99144901464911261</v>
      </c>
      <c r="X428" t="str">
        <f>IF(Table1[[#This Row],[Cumulative_Value_%]]&lt;80%,"A", IF(Table1[[#This Row],[Cumulative_Value_%]]&lt;=95%,"B","C"))</f>
        <v>C</v>
      </c>
      <c r="Y428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428">
        <f>Table1[[#This Row],[Consumption]]/365</f>
        <v>1.0958904109589041E-2</v>
      </c>
      <c r="AA428">
        <f>Table1[[#This Row],[Avg_Daily_Consumption]]*Table1[[#This Row],[Lead_Time_Days]]+Table1[[#This Row],[Safety_Stock]]</f>
        <v>1.273972602739726</v>
      </c>
      <c r="AB428">
        <f>IFERROR(Table1[[#This Row],[Closing_Stock]]/Table1[[#This Row],[Avg_Daily_Consumption]],9999)</f>
        <v>1642.5</v>
      </c>
      <c r="AC428">
        <f>MAX(1,ROUNDUP(Table1[[#This Row],[Avg_Daily_Consumption]]*Table1[[#This Row],[Lead_Time_Days]]*0.8,0))</f>
        <v>1</v>
      </c>
      <c r="AD428" t="str">
        <f>IF(Table1[[#This Row],[Closing_Stock]]&lt;Table1[[#This Row],[Reorder_Point]],"Stock-out Risk","Adequate")</f>
        <v>Adequate</v>
      </c>
      <c r="AE428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428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428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428" s="11">
        <f>MAX(0,Table1[[#This Row],[Closing_Stock]]-Table1[[#This Row],[Reorder_Point]])</f>
        <v>16.726027397260275</v>
      </c>
      <c r="AI428" s="11">
        <f>Table1[[#This Row],[Excess_Stock_Units]]*Table1[[#This Row],[Unit_Cost_INR]]</f>
        <v>15387.945205479453</v>
      </c>
      <c r="AJ428" s="11">
        <f>IF(Table1[[#This Row],[Criticality]]="Critical",0,Table1[[#This Row],[Excess_Inventory_Value_INR]])</f>
        <v>15387.945205479453</v>
      </c>
      <c r="AK428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429" spans="1:37" x14ac:dyDescent="0.25">
      <c r="A429" t="s">
        <v>439</v>
      </c>
      <c r="B429" t="s">
        <v>25</v>
      </c>
      <c r="C429" t="s">
        <v>26</v>
      </c>
      <c r="D429" t="s">
        <v>66</v>
      </c>
      <c r="E429" t="s">
        <v>37</v>
      </c>
      <c r="F429">
        <v>46</v>
      </c>
      <c r="G429">
        <v>37</v>
      </c>
      <c r="H429">
        <v>1</v>
      </c>
      <c r="I429">
        <v>74</v>
      </c>
      <c r="J429">
        <v>220</v>
      </c>
      <c r="K429">
        <v>31</v>
      </c>
      <c r="L429">
        <v>0</v>
      </c>
      <c r="M429">
        <v>316</v>
      </c>
      <c r="N429" t="s">
        <v>61</v>
      </c>
      <c r="O429">
        <v>0.26900000000000002</v>
      </c>
      <c r="P429">
        <v>4379.3200000000006</v>
      </c>
      <c r="Q429">
        <f>(Table1[[#This Row],[Closing_Stock]]*Table1[[#This Row],[Unit_Cost_INR]])</f>
        <v>16280</v>
      </c>
      <c r="R429">
        <f>(Table1[[#This Row],[Unit_Cost_INR]]*Table1[[#This Row],[Consumption]])</f>
        <v>220</v>
      </c>
      <c r="S429">
        <f>IFERROR(Table1[[#This Row],[Annual_Consumption_Value_INR]]/Table1[[#This Row],[Inventory_Value_INR]],0)</f>
        <v>1.3513513513513514E-2</v>
      </c>
      <c r="T429">
        <f>IFERROR(365/Table1[[#This Row],[Inventory_Turnover]],0)</f>
        <v>27010</v>
      </c>
      <c r="U429" t="str">
        <f>IF(Table1[[#This Row],[Consumption]]=0,"Non-Moving", IF(Table1[[#This Row],[Days_Since_Last_Movement]]&gt;90,"Slow-Moving","Active"))</f>
        <v>Slow-Moving</v>
      </c>
      <c r="V429">
        <f>SUM($Q$2:Q429)</f>
        <v>75064380</v>
      </c>
      <c r="W429">
        <f>Table1[[#This Row],[Cumulative_Inventory_Value]]/$AP$3</f>
        <v>0.99166408724866528</v>
      </c>
      <c r="X429" t="str">
        <f>IF(Table1[[#This Row],[Cumulative_Value_%]]&lt;80%,"A", IF(Table1[[#This Row],[Cumulative_Value_%]]&lt;=95%,"B","C"))</f>
        <v>C</v>
      </c>
      <c r="Y429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429">
        <f>Table1[[#This Row],[Consumption]]/365</f>
        <v>2.7397260273972603E-3</v>
      </c>
      <c r="AA429">
        <f>Table1[[#This Row],[Avg_Daily_Consumption]]*Table1[[#This Row],[Lead_Time_Days]]+Table1[[#This Row],[Safety_Stock]]</f>
        <v>1.0849315068493151</v>
      </c>
      <c r="AB429">
        <f>IFERROR(Table1[[#This Row],[Closing_Stock]]/Table1[[#This Row],[Avg_Daily_Consumption]],9999)</f>
        <v>27010</v>
      </c>
      <c r="AC429">
        <f>MAX(1,ROUNDUP(Table1[[#This Row],[Avg_Daily_Consumption]]*Table1[[#This Row],[Lead_Time_Days]]*0.8,0))</f>
        <v>1</v>
      </c>
      <c r="AD429" t="str">
        <f>IF(Table1[[#This Row],[Closing_Stock]]&lt;Table1[[#This Row],[Reorder_Point]],"Stock-out Risk","Adequate")</f>
        <v>Adequate</v>
      </c>
      <c r="AE429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429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429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429" s="11">
        <f>MAX(0,Table1[[#This Row],[Closing_Stock]]-Table1[[#This Row],[Reorder_Point]])</f>
        <v>72.915068493150685</v>
      </c>
      <c r="AI429" s="11">
        <f>Table1[[#This Row],[Excess_Stock_Units]]*Table1[[#This Row],[Unit_Cost_INR]]</f>
        <v>16041.31506849315</v>
      </c>
      <c r="AJ429" s="11">
        <f>IF(Table1[[#This Row],[Criticality]]="Critical",0,Table1[[#This Row],[Excess_Inventory_Value_INR]])</f>
        <v>0</v>
      </c>
      <c r="AK429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430" spans="1:37" x14ac:dyDescent="0.25">
      <c r="A430" t="s">
        <v>413</v>
      </c>
      <c r="B430" t="s">
        <v>19</v>
      </c>
      <c r="C430" t="s">
        <v>20</v>
      </c>
      <c r="D430" t="s">
        <v>66</v>
      </c>
      <c r="E430" t="s">
        <v>46</v>
      </c>
      <c r="F430">
        <v>18</v>
      </c>
      <c r="G430">
        <v>31</v>
      </c>
      <c r="H430">
        <v>26</v>
      </c>
      <c r="I430">
        <v>23</v>
      </c>
      <c r="J430">
        <v>700</v>
      </c>
      <c r="K430">
        <v>26</v>
      </c>
      <c r="L430">
        <v>0</v>
      </c>
      <c r="M430">
        <v>28</v>
      </c>
      <c r="N430" t="s">
        <v>49</v>
      </c>
      <c r="O430">
        <v>0.16400000000000001</v>
      </c>
      <c r="P430">
        <v>2640.4</v>
      </c>
      <c r="Q430">
        <f>(Table1[[#This Row],[Closing_Stock]]*Table1[[#This Row],[Unit_Cost_INR]])</f>
        <v>16100</v>
      </c>
      <c r="R430">
        <f>(Table1[[#This Row],[Unit_Cost_INR]]*Table1[[#This Row],[Consumption]])</f>
        <v>18200</v>
      </c>
      <c r="S430">
        <f>IFERROR(Table1[[#This Row],[Annual_Consumption_Value_INR]]/Table1[[#This Row],[Inventory_Value_INR]],0)</f>
        <v>1.1304347826086956</v>
      </c>
      <c r="T430">
        <f>IFERROR(365/Table1[[#This Row],[Inventory_Turnover]],0)</f>
        <v>322.88461538461542</v>
      </c>
      <c r="U430" t="str">
        <f>IF(Table1[[#This Row],[Consumption]]=0,"Non-Moving", IF(Table1[[#This Row],[Days_Since_Last_Movement]]&gt;90,"Slow-Moving","Active"))</f>
        <v>Active</v>
      </c>
      <c r="V430">
        <f>SUM($Q$2:Q430)</f>
        <v>75080480</v>
      </c>
      <c r="W430">
        <f>Table1[[#This Row],[Cumulative_Inventory_Value]]/$AP$3</f>
        <v>0.99187678189564299</v>
      </c>
      <c r="X430" t="str">
        <f>IF(Table1[[#This Row],[Cumulative_Value_%]]&lt;80%,"A", IF(Table1[[#This Row],[Cumulative_Value_%]]&lt;=95%,"B","C"))</f>
        <v>C</v>
      </c>
      <c r="Y430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430">
        <f>Table1[[#This Row],[Consumption]]/365</f>
        <v>7.1232876712328766E-2</v>
      </c>
      <c r="AA430">
        <f>Table1[[#This Row],[Avg_Daily_Consumption]]*Table1[[#This Row],[Lead_Time_Days]]+Table1[[#This Row],[Safety_Stock]]</f>
        <v>3.8520547945205479</v>
      </c>
      <c r="AB430">
        <f>IFERROR(Table1[[#This Row],[Closing_Stock]]/Table1[[#This Row],[Avg_Daily_Consumption]],9999)</f>
        <v>322.88461538461542</v>
      </c>
      <c r="AC430">
        <f>MAX(1,ROUNDUP(Table1[[#This Row],[Avg_Daily_Consumption]]*Table1[[#This Row],[Lead_Time_Days]]*0.8,0))</f>
        <v>2</v>
      </c>
      <c r="AD430" t="str">
        <f>IF(Table1[[#This Row],[Closing_Stock]]&lt;Table1[[#This Row],[Reorder_Point]],"Stock-out Risk","Adequate")</f>
        <v>Adequate</v>
      </c>
      <c r="AE430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430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430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430" s="11">
        <f>MAX(0,Table1[[#This Row],[Closing_Stock]]-Table1[[#This Row],[Reorder_Point]])</f>
        <v>19.147945205479452</v>
      </c>
      <c r="AI430" s="11">
        <f>Table1[[#This Row],[Excess_Stock_Units]]*Table1[[#This Row],[Unit_Cost_INR]]</f>
        <v>13403.561643835617</v>
      </c>
      <c r="AJ430" s="11">
        <f>IF(Table1[[#This Row],[Criticality]]="Critical",0,Table1[[#This Row],[Excess_Inventory_Value_INR]])</f>
        <v>13403.561643835617</v>
      </c>
      <c r="AK430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431" spans="1:37" x14ac:dyDescent="0.25">
      <c r="A431" t="s">
        <v>442</v>
      </c>
      <c r="B431" t="s">
        <v>40</v>
      </c>
      <c r="C431" t="s">
        <v>41</v>
      </c>
      <c r="D431" t="s">
        <v>21</v>
      </c>
      <c r="E431" t="s">
        <v>22</v>
      </c>
      <c r="F431">
        <v>9</v>
      </c>
      <c r="G431">
        <v>3</v>
      </c>
      <c r="H431">
        <v>3</v>
      </c>
      <c r="I431">
        <v>9</v>
      </c>
      <c r="J431">
        <v>1770</v>
      </c>
      <c r="K431">
        <v>13</v>
      </c>
      <c r="L431">
        <v>0</v>
      </c>
      <c r="M431">
        <v>221</v>
      </c>
      <c r="N431" t="s">
        <v>38</v>
      </c>
      <c r="O431">
        <v>0.16500000000000001</v>
      </c>
      <c r="P431">
        <v>2628.45</v>
      </c>
      <c r="Q431">
        <f>(Table1[[#This Row],[Closing_Stock]]*Table1[[#This Row],[Unit_Cost_INR]])</f>
        <v>15930</v>
      </c>
      <c r="R431">
        <f>(Table1[[#This Row],[Unit_Cost_INR]]*Table1[[#This Row],[Consumption]])</f>
        <v>5310</v>
      </c>
      <c r="S431">
        <f>IFERROR(Table1[[#This Row],[Annual_Consumption_Value_INR]]/Table1[[#This Row],[Inventory_Value_INR]],0)</f>
        <v>0.33333333333333331</v>
      </c>
      <c r="T431">
        <f>IFERROR(365/Table1[[#This Row],[Inventory_Turnover]],0)</f>
        <v>1095</v>
      </c>
      <c r="U431" t="str">
        <f>IF(Table1[[#This Row],[Consumption]]=0,"Non-Moving", IF(Table1[[#This Row],[Days_Since_Last_Movement]]&gt;90,"Slow-Moving","Active"))</f>
        <v>Slow-Moving</v>
      </c>
      <c r="V431">
        <f>SUM($Q$2:Q431)</f>
        <v>75096410</v>
      </c>
      <c r="W431">
        <f>Table1[[#This Row],[Cumulative_Inventory_Value]]/$AP$3</f>
        <v>0.99208723069852223</v>
      </c>
      <c r="X431" t="str">
        <f>IF(Table1[[#This Row],[Cumulative_Value_%]]&lt;80%,"A", IF(Table1[[#This Row],[Cumulative_Value_%]]&lt;=95%,"B","C"))</f>
        <v>C</v>
      </c>
      <c r="Y431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431">
        <f>Table1[[#This Row],[Consumption]]/365</f>
        <v>8.21917808219178E-3</v>
      </c>
      <c r="AA431">
        <f>Table1[[#This Row],[Avg_Daily_Consumption]]*Table1[[#This Row],[Lead_Time_Days]]+Table1[[#This Row],[Safety_Stock]]</f>
        <v>1.106849315068493</v>
      </c>
      <c r="AB431">
        <f>IFERROR(Table1[[#This Row],[Closing_Stock]]/Table1[[#This Row],[Avg_Daily_Consumption]],9999)</f>
        <v>1095</v>
      </c>
      <c r="AC431">
        <f>MAX(1,ROUNDUP(Table1[[#This Row],[Avg_Daily_Consumption]]*Table1[[#This Row],[Lead_Time_Days]]*0.8,0))</f>
        <v>1</v>
      </c>
      <c r="AD431" t="str">
        <f>IF(Table1[[#This Row],[Closing_Stock]]&lt;Table1[[#This Row],[Reorder_Point]],"Stock-out Risk","Adequate")</f>
        <v>Adequate</v>
      </c>
      <c r="AE431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431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431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431" s="11">
        <f>MAX(0,Table1[[#This Row],[Closing_Stock]]-Table1[[#This Row],[Reorder_Point]])</f>
        <v>7.8931506849315074</v>
      </c>
      <c r="AI431" s="11">
        <f>Table1[[#This Row],[Excess_Stock_Units]]*Table1[[#This Row],[Unit_Cost_INR]]</f>
        <v>13970.876712328769</v>
      </c>
      <c r="AJ431" s="11">
        <f>IF(Table1[[#This Row],[Criticality]]="Critical",0,Table1[[#This Row],[Excess_Inventory_Value_INR]])</f>
        <v>13970.876712328769</v>
      </c>
      <c r="AK431" s="11">
        <f>IF(AND(Table1[[#This Row],[Criticality]]&lt;&gt;"Critical",OR(Table1[[#This Row],[Movement_Class]]="Slow-Moving",Table1[[#This Row],[Movement_Class]]="Non-Moving")),Table1[[#This Row],[Excess_Inventory_Value_INR]],0)</f>
        <v>13970.876712328769</v>
      </c>
    </row>
    <row r="432" spans="1:37" x14ac:dyDescent="0.25">
      <c r="A432" t="s">
        <v>249</v>
      </c>
      <c r="B432" t="s">
        <v>165</v>
      </c>
      <c r="C432" t="s">
        <v>32</v>
      </c>
      <c r="D432" t="s">
        <v>27</v>
      </c>
      <c r="E432" t="s">
        <v>22</v>
      </c>
      <c r="F432">
        <v>8</v>
      </c>
      <c r="G432">
        <v>8</v>
      </c>
      <c r="H432">
        <v>6</v>
      </c>
      <c r="I432">
        <v>10</v>
      </c>
      <c r="J432">
        <v>1580</v>
      </c>
      <c r="K432">
        <v>33</v>
      </c>
      <c r="L432">
        <v>0</v>
      </c>
      <c r="M432">
        <v>3</v>
      </c>
      <c r="N432" t="s">
        <v>23</v>
      </c>
      <c r="O432">
        <v>0.159</v>
      </c>
      <c r="P432">
        <v>2512.1999999999998</v>
      </c>
      <c r="Q432">
        <f>(Table1[[#This Row],[Closing_Stock]]*Table1[[#This Row],[Unit_Cost_INR]])</f>
        <v>15800</v>
      </c>
      <c r="R432">
        <f>(Table1[[#This Row],[Unit_Cost_INR]]*Table1[[#This Row],[Consumption]])</f>
        <v>9480</v>
      </c>
      <c r="S432">
        <f>IFERROR(Table1[[#This Row],[Annual_Consumption_Value_INR]]/Table1[[#This Row],[Inventory_Value_INR]],0)</f>
        <v>0.6</v>
      </c>
      <c r="T432">
        <f>IFERROR(365/Table1[[#This Row],[Inventory_Turnover]],0)</f>
        <v>608.33333333333337</v>
      </c>
      <c r="U432" t="str">
        <f>IF(Table1[[#This Row],[Consumption]]=0,"Non-Moving", IF(Table1[[#This Row],[Days_Since_Last_Movement]]&gt;90,"Slow-Moving","Active"))</f>
        <v>Active</v>
      </c>
      <c r="V432">
        <f>SUM($Q$2:Q432)</f>
        <v>75112210</v>
      </c>
      <c r="W432">
        <f>Table1[[#This Row],[Cumulative_Inventory_Value]]/$AP$3</f>
        <v>0.99229596209120852</v>
      </c>
      <c r="X432" t="str">
        <f>IF(Table1[[#This Row],[Cumulative_Value_%]]&lt;80%,"A", IF(Table1[[#This Row],[Cumulative_Value_%]]&lt;=95%,"B","C"))</f>
        <v>C</v>
      </c>
      <c r="Y432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432">
        <f>Table1[[#This Row],[Consumption]]/365</f>
        <v>1.643835616438356E-2</v>
      </c>
      <c r="AA432">
        <f>Table1[[#This Row],[Avg_Daily_Consumption]]*Table1[[#This Row],[Lead_Time_Days]]+Table1[[#This Row],[Safety_Stock]]</f>
        <v>1.5424657534246575</v>
      </c>
      <c r="AB432">
        <f>IFERROR(Table1[[#This Row],[Closing_Stock]]/Table1[[#This Row],[Avg_Daily_Consumption]],9999)</f>
        <v>608.33333333333337</v>
      </c>
      <c r="AC432">
        <f>MAX(1,ROUNDUP(Table1[[#This Row],[Avg_Daily_Consumption]]*Table1[[#This Row],[Lead_Time_Days]]*0.8,0))</f>
        <v>1</v>
      </c>
      <c r="AD432" t="str">
        <f>IF(Table1[[#This Row],[Closing_Stock]]&lt;Table1[[#This Row],[Reorder_Point]],"Stock-out Risk","Adequate")</f>
        <v>Adequate</v>
      </c>
      <c r="AE432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432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432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432" s="11">
        <f>MAX(0,Table1[[#This Row],[Closing_Stock]]-Table1[[#This Row],[Reorder_Point]])</f>
        <v>8.4575342465753423</v>
      </c>
      <c r="AI432" s="11">
        <f>Table1[[#This Row],[Excess_Stock_Units]]*Table1[[#This Row],[Unit_Cost_INR]]</f>
        <v>13362.904109589041</v>
      </c>
      <c r="AJ432" s="11">
        <f>IF(Table1[[#This Row],[Criticality]]="Critical",0,Table1[[#This Row],[Excess_Inventory_Value_INR]])</f>
        <v>13362.904109589041</v>
      </c>
      <c r="AK432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433" spans="1:37" x14ac:dyDescent="0.25">
      <c r="A433" t="s">
        <v>77</v>
      </c>
      <c r="B433" t="s">
        <v>40</v>
      </c>
      <c r="C433" t="s">
        <v>41</v>
      </c>
      <c r="D433" t="s">
        <v>60</v>
      </c>
      <c r="E433" t="s">
        <v>46</v>
      </c>
      <c r="F433">
        <v>14</v>
      </c>
      <c r="G433">
        <v>12</v>
      </c>
      <c r="H433">
        <v>10</v>
      </c>
      <c r="I433">
        <v>16</v>
      </c>
      <c r="J433">
        <v>980</v>
      </c>
      <c r="K433">
        <v>22</v>
      </c>
      <c r="L433">
        <v>0</v>
      </c>
      <c r="M433">
        <v>44</v>
      </c>
      <c r="N433" t="s">
        <v>38</v>
      </c>
      <c r="O433">
        <v>0.23899999999999999</v>
      </c>
      <c r="P433">
        <v>3747.52</v>
      </c>
      <c r="Q433">
        <f>(Table1[[#This Row],[Closing_Stock]]*Table1[[#This Row],[Unit_Cost_INR]])</f>
        <v>15680</v>
      </c>
      <c r="R433">
        <f>(Table1[[#This Row],[Unit_Cost_INR]]*Table1[[#This Row],[Consumption]])</f>
        <v>9800</v>
      </c>
      <c r="S433">
        <f>IFERROR(Table1[[#This Row],[Annual_Consumption_Value_INR]]/Table1[[#This Row],[Inventory_Value_INR]],0)</f>
        <v>0.625</v>
      </c>
      <c r="T433">
        <f>IFERROR(365/Table1[[#This Row],[Inventory_Turnover]],0)</f>
        <v>584</v>
      </c>
      <c r="U433" t="str">
        <f>IF(Table1[[#This Row],[Consumption]]=0,"Non-Moving", IF(Table1[[#This Row],[Days_Since_Last_Movement]]&gt;90,"Slow-Moving","Active"))</f>
        <v>Active</v>
      </c>
      <c r="V433">
        <f>SUM($Q$2:Q433)</f>
        <v>75127890</v>
      </c>
      <c r="W433">
        <f>Table1[[#This Row],[Cumulative_Inventory_Value]]/$AP$3</f>
        <v>0.99250310818217813</v>
      </c>
      <c r="X433" t="str">
        <f>IF(Table1[[#This Row],[Cumulative_Value_%]]&lt;80%,"A", IF(Table1[[#This Row],[Cumulative_Value_%]]&lt;=95%,"B","C"))</f>
        <v>C</v>
      </c>
      <c r="Y433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433">
        <f>Table1[[#This Row],[Consumption]]/365</f>
        <v>2.7397260273972601E-2</v>
      </c>
      <c r="AA433">
        <f>Table1[[#This Row],[Avg_Daily_Consumption]]*Table1[[#This Row],[Lead_Time_Days]]+Table1[[#This Row],[Safety_Stock]]</f>
        <v>1.6027397260273972</v>
      </c>
      <c r="AB433">
        <f>IFERROR(Table1[[#This Row],[Closing_Stock]]/Table1[[#This Row],[Avg_Daily_Consumption]],9999)</f>
        <v>584</v>
      </c>
      <c r="AC433">
        <f>MAX(1,ROUNDUP(Table1[[#This Row],[Avg_Daily_Consumption]]*Table1[[#This Row],[Lead_Time_Days]]*0.8,0))</f>
        <v>1</v>
      </c>
      <c r="AD433" t="str">
        <f>IF(Table1[[#This Row],[Closing_Stock]]&lt;Table1[[#This Row],[Reorder_Point]],"Stock-out Risk","Adequate")</f>
        <v>Adequate</v>
      </c>
      <c r="AE433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433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433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433" s="11">
        <f>MAX(0,Table1[[#This Row],[Closing_Stock]]-Table1[[#This Row],[Reorder_Point]])</f>
        <v>14.397260273972602</v>
      </c>
      <c r="AI433" s="11">
        <f>Table1[[#This Row],[Excess_Stock_Units]]*Table1[[#This Row],[Unit_Cost_INR]]</f>
        <v>14109.31506849315</v>
      </c>
      <c r="AJ433" s="11">
        <f>IF(Table1[[#This Row],[Criticality]]="Critical",0,Table1[[#This Row],[Excess_Inventory_Value_INR]])</f>
        <v>14109.31506849315</v>
      </c>
      <c r="AK433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434" spans="1:37" x14ac:dyDescent="0.25">
      <c r="A434" t="s">
        <v>363</v>
      </c>
      <c r="B434" t="s">
        <v>85</v>
      </c>
      <c r="C434" t="s">
        <v>41</v>
      </c>
      <c r="D434" t="s">
        <v>66</v>
      </c>
      <c r="E434" t="s">
        <v>46</v>
      </c>
      <c r="F434">
        <v>5</v>
      </c>
      <c r="G434">
        <v>6</v>
      </c>
      <c r="H434">
        <v>4</v>
      </c>
      <c r="I434">
        <v>7</v>
      </c>
      <c r="J434">
        <v>2160</v>
      </c>
      <c r="K434">
        <v>19</v>
      </c>
      <c r="L434">
        <v>0</v>
      </c>
      <c r="M434">
        <v>85</v>
      </c>
      <c r="N434" t="s">
        <v>81</v>
      </c>
      <c r="O434">
        <v>0.19</v>
      </c>
      <c r="P434">
        <v>2872.8</v>
      </c>
      <c r="Q434">
        <f>(Table1[[#This Row],[Closing_Stock]]*Table1[[#This Row],[Unit_Cost_INR]])</f>
        <v>15120</v>
      </c>
      <c r="R434">
        <f>(Table1[[#This Row],[Unit_Cost_INR]]*Table1[[#This Row],[Consumption]])</f>
        <v>8640</v>
      </c>
      <c r="S434">
        <f>IFERROR(Table1[[#This Row],[Annual_Consumption_Value_INR]]/Table1[[#This Row],[Inventory_Value_INR]],0)</f>
        <v>0.5714285714285714</v>
      </c>
      <c r="T434">
        <f>IFERROR(365/Table1[[#This Row],[Inventory_Turnover]],0)</f>
        <v>638.75</v>
      </c>
      <c r="U434" t="str">
        <f>IF(Table1[[#This Row],[Consumption]]=0,"Non-Moving", IF(Table1[[#This Row],[Days_Since_Last_Movement]]&gt;90,"Slow-Moving","Active"))</f>
        <v>Active</v>
      </c>
      <c r="V434">
        <f>SUM($Q$2:Q434)</f>
        <v>75143010</v>
      </c>
      <c r="W434">
        <f>Table1[[#This Row],[Cumulative_Inventory_Value]]/$AP$3</f>
        <v>0.99270285619847032</v>
      </c>
      <c r="X434" t="str">
        <f>IF(Table1[[#This Row],[Cumulative_Value_%]]&lt;80%,"A", IF(Table1[[#This Row],[Cumulative_Value_%]]&lt;=95%,"B","C"))</f>
        <v>C</v>
      </c>
      <c r="Y434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434">
        <f>Table1[[#This Row],[Consumption]]/365</f>
        <v>1.0958904109589041E-2</v>
      </c>
      <c r="AA434">
        <f>Table1[[#This Row],[Avg_Daily_Consumption]]*Table1[[#This Row],[Lead_Time_Days]]+Table1[[#This Row],[Safety_Stock]]</f>
        <v>1.2082191780821918</v>
      </c>
      <c r="AB434">
        <f>IFERROR(Table1[[#This Row],[Closing_Stock]]/Table1[[#This Row],[Avg_Daily_Consumption]],9999)</f>
        <v>638.75</v>
      </c>
      <c r="AC434">
        <f>MAX(1,ROUNDUP(Table1[[#This Row],[Avg_Daily_Consumption]]*Table1[[#This Row],[Lead_Time_Days]]*0.8,0))</f>
        <v>1</v>
      </c>
      <c r="AD434" t="str">
        <f>IF(Table1[[#This Row],[Closing_Stock]]&lt;Table1[[#This Row],[Reorder_Point]],"Stock-out Risk","Adequate")</f>
        <v>Adequate</v>
      </c>
      <c r="AE434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434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434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434" s="11">
        <f>MAX(0,Table1[[#This Row],[Closing_Stock]]-Table1[[#This Row],[Reorder_Point]])</f>
        <v>5.7917808219178077</v>
      </c>
      <c r="AI434" s="11">
        <f>Table1[[#This Row],[Excess_Stock_Units]]*Table1[[#This Row],[Unit_Cost_INR]]</f>
        <v>12510.246575342464</v>
      </c>
      <c r="AJ434" s="11">
        <f>IF(Table1[[#This Row],[Criticality]]="Critical",0,Table1[[#This Row],[Excess_Inventory_Value_INR]])</f>
        <v>12510.246575342464</v>
      </c>
      <c r="AK434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435" spans="1:37" x14ac:dyDescent="0.25">
      <c r="A435" t="s">
        <v>423</v>
      </c>
      <c r="B435" t="s">
        <v>126</v>
      </c>
      <c r="C435" t="s">
        <v>20</v>
      </c>
      <c r="D435" t="s">
        <v>42</v>
      </c>
      <c r="E435" t="s">
        <v>46</v>
      </c>
      <c r="F435">
        <v>9</v>
      </c>
      <c r="G435">
        <v>13</v>
      </c>
      <c r="H435">
        <v>12</v>
      </c>
      <c r="I435">
        <v>10</v>
      </c>
      <c r="J435">
        <v>1500</v>
      </c>
      <c r="K435">
        <v>6</v>
      </c>
      <c r="L435">
        <v>0</v>
      </c>
      <c r="M435">
        <v>438</v>
      </c>
      <c r="N435" t="s">
        <v>29</v>
      </c>
      <c r="O435">
        <v>0.23400000000000001</v>
      </c>
      <c r="P435">
        <v>3510</v>
      </c>
      <c r="Q435">
        <f>(Table1[[#This Row],[Closing_Stock]]*Table1[[#This Row],[Unit_Cost_INR]])</f>
        <v>15000</v>
      </c>
      <c r="R435">
        <f>(Table1[[#This Row],[Unit_Cost_INR]]*Table1[[#This Row],[Consumption]])</f>
        <v>18000</v>
      </c>
      <c r="S435">
        <f>IFERROR(Table1[[#This Row],[Annual_Consumption_Value_INR]]/Table1[[#This Row],[Inventory_Value_INR]],0)</f>
        <v>1.2</v>
      </c>
      <c r="T435">
        <f>IFERROR(365/Table1[[#This Row],[Inventory_Turnover]],0)</f>
        <v>304.16666666666669</v>
      </c>
      <c r="U435" t="str">
        <f>IF(Table1[[#This Row],[Consumption]]=0,"Non-Moving", IF(Table1[[#This Row],[Days_Since_Last_Movement]]&gt;90,"Slow-Moving","Active"))</f>
        <v>Slow-Moving</v>
      </c>
      <c r="V435">
        <f>SUM($Q$2:Q435)</f>
        <v>75158010</v>
      </c>
      <c r="W435">
        <f>Table1[[#This Row],[Cumulative_Inventory_Value]]/$AP$3</f>
        <v>0.99290101891304583</v>
      </c>
      <c r="X435" t="str">
        <f>IF(Table1[[#This Row],[Cumulative_Value_%]]&lt;80%,"A", IF(Table1[[#This Row],[Cumulative_Value_%]]&lt;=95%,"B","C"))</f>
        <v>C</v>
      </c>
      <c r="Y435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435">
        <f>Table1[[#This Row],[Consumption]]/365</f>
        <v>3.287671232876712E-2</v>
      </c>
      <c r="AA435">
        <f>Table1[[#This Row],[Avg_Daily_Consumption]]*Table1[[#This Row],[Lead_Time_Days]]+Table1[[#This Row],[Safety_Stock]]</f>
        <v>1.1972602739726028</v>
      </c>
      <c r="AB435">
        <f>IFERROR(Table1[[#This Row],[Closing_Stock]]/Table1[[#This Row],[Avg_Daily_Consumption]],9999)</f>
        <v>304.16666666666669</v>
      </c>
      <c r="AC435">
        <f>MAX(1,ROUNDUP(Table1[[#This Row],[Avg_Daily_Consumption]]*Table1[[#This Row],[Lead_Time_Days]]*0.8,0))</f>
        <v>1</v>
      </c>
      <c r="AD435" t="str">
        <f>IF(Table1[[#This Row],[Closing_Stock]]&lt;Table1[[#This Row],[Reorder_Point]],"Stock-out Risk","Adequate")</f>
        <v>Adequate</v>
      </c>
      <c r="AE435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435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435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435" s="11">
        <f>MAX(0,Table1[[#This Row],[Closing_Stock]]-Table1[[#This Row],[Reorder_Point]])</f>
        <v>8.8027397260273972</v>
      </c>
      <c r="AI435" s="11">
        <f>Table1[[#This Row],[Excess_Stock_Units]]*Table1[[#This Row],[Unit_Cost_INR]]</f>
        <v>13204.109589041096</v>
      </c>
      <c r="AJ435" s="11">
        <f>IF(Table1[[#This Row],[Criticality]]="Critical",0,Table1[[#This Row],[Excess_Inventory_Value_INR]])</f>
        <v>13204.109589041096</v>
      </c>
      <c r="AK435" s="11">
        <f>IF(AND(Table1[[#This Row],[Criticality]]&lt;&gt;"Critical",OR(Table1[[#This Row],[Movement_Class]]="Slow-Moving",Table1[[#This Row],[Movement_Class]]="Non-Moving")),Table1[[#This Row],[Excess_Inventory_Value_INR]],0)</f>
        <v>13204.109589041096</v>
      </c>
    </row>
    <row r="436" spans="1:37" x14ac:dyDescent="0.25">
      <c r="A436" t="s">
        <v>72</v>
      </c>
      <c r="B436" t="s">
        <v>73</v>
      </c>
      <c r="C436" t="s">
        <v>41</v>
      </c>
      <c r="D436" t="s">
        <v>66</v>
      </c>
      <c r="E436" t="s">
        <v>22</v>
      </c>
      <c r="F436">
        <v>29</v>
      </c>
      <c r="G436">
        <v>36</v>
      </c>
      <c r="H436">
        <v>35</v>
      </c>
      <c r="I436">
        <v>30</v>
      </c>
      <c r="J436">
        <v>490</v>
      </c>
      <c r="K436">
        <v>14</v>
      </c>
      <c r="L436">
        <v>1</v>
      </c>
      <c r="M436">
        <v>125</v>
      </c>
      <c r="N436" t="s">
        <v>29</v>
      </c>
      <c r="O436">
        <v>0.155</v>
      </c>
      <c r="P436">
        <v>2278.5</v>
      </c>
      <c r="Q436">
        <f>(Table1[[#This Row],[Closing_Stock]]*Table1[[#This Row],[Unit_Cost_INR]])</f>
        <v>14700</v>
      </c>
      <c r="R436">
        <f>(Table1[[#This Row],[Unit_Cost_INR]]*Table1[[#This Row],[Consumption]])</f>
        <v>17150</v>
      </c>
      <c r="S436">
        <f>IFERROR(Table1[[#This Row],[Annual_Consumption_Value_INR]]/Table1[[#This Row],[Inventory_Value_INR]],0)</f>
        <v>1.1666666666666667</v>
      </c>
      <c r="T436">
        <f>IFERROR(365/Table1[[#This Row],[Inventory_Turnover]],0)</f>
        <v>312.85714285714283</v>
      </c>
      <c r="U436" t="str">
        <f>IF(Table1[[#This Row],[Consumption]]=0,"Non-Moving", IF(Table1[[#This Row],[Days_Since_Last_Movement]]&gt;90,"Slow-Moving","Active"))</f>
        <v>Slow-Moving</v>
      </c>
      <c r="V436">
        <f>SUM($Q$2:Q436)</f>
        <v>75172710</v>
      </c>
      <c r="W436">
        <f>Table1[[#This Row],[Cumulative_Inventory_Value]]/$AP$3</f>
        <v>0.99309521837332981</v>
      </c>
      <c r="X436" t="str">
        <f>IF(Table1[[#This Row],[Cumulative_Value_%]]&lt;80%,"A", IF(Table1[[#This Row],[Cumulative_Value_%]]&lt;=95%,"B","C"))</f>
        <v>C</v>
      </c>
      <c r="Y436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436">
        <f>Table1[[#This Row],[Consumption]]/365</f>
        <v>9.5890410958904104E-2</v>
      </c>
      <c r="AA436">
        <f>Table1[[#This Row],[Avg_Daily_Consumption]]*Table1[[#This Row],[Lead_Time_Days]]+Table1[[#This Row],[Safety_Stock]]</f>
        <v>3.3424657534246576</v>
      </c>
      <c r="AB436">
        <f>IFERROR(Table1[[#This Row],[Closing_Stock]]/Table1[[#This Row],[Avg_Daily_Consumption]],9999)</f>
        <v>312.85714285714289</v>
      </c>
      <c r="AC436">
        <f>MAX(1,ROUNDUP(Table1[[#This Row],[Avg_Daily_Consumption]]*Table1[[#This Row],[Lead_Time_Days]]*0.8,0))</f>
        <v>2</v>
      </c>
      <c r="AD436" t="str">
        <f>IF(Table1[[#This Row],[Closing_Stock]]&lt;Table1[[#This Row],[Reorder_Point]],"Stock-out Risk","Adequate")</f>
        <v>Adequate</v>
      </c>
      <c r="AE436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436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436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436" s="11">
        <f>MAX(0,Table1[[#This Row],[Closing_Stock]]-Table1[[#This Row],[Reorder_Point]])</f>
        <v>26.657534246575342</v>
      </c>
      <c r="AI436" s="11">
        <f>Table1[[#This Row],[Excess_Stock_Units]]*Table1[[#This Row],[Unit_Cost_INR]]</f>
        <v>13062.191780821917</v>
      </c>
      <c r="AJ436" s="11">
        <f>IF(Table1[[#This Row],[Criticality]]="Critical",0,Table1[[#This Row],[Excess_Inventory_Value_INR]])</f>
        <v>13062.191780821917</v>
      </c>
      <c r="AK436" s="11">
        <f>IF(AND(Table1[[#This Row],[Criticality]]&lt;&gt;"Critical",OR(Table1[[#This Row],[Movement_Class]]="Slow-Moving",Table1[[#This Row],[Movement_Class]]="Non-Moving")),Table1[[#This Row],[Excess_Inventory_Value_INR]],0)</f>
        <v>13062.191780821917</v>
      </c>
    </row>
    <row r="437" spans="1:37" x14ac:dyDescent="0.25">
      <c r="A437" t="s">
        <v>562</v>
      </c>
      <c r="B437" t="s">
        <v>25</v>
      </c>
      <c r="C437" t="s">
        <v>26</v>
      </c>
      <c r="D437" t="s">
        <v>42</v>
      </c>
      <c r="E437" t="s">
        <v>37</v>
      </c>
      <c r="F437">
        <v>30</v>
      </c>
      <c r="G437">
        <v>18</v>
      </c>
      <c r="H437">
        <v>13</v>
      </c>
      <c r="I437">
        <v>35</v>
      </c>
      <c r="J437">
        <v>420</v>
      </c>
      <c r="K437">
        <v>31</v>
      </c>
      <c r="L437">
        <v>2</v>
      </c>
      <c r="M437">
        <v>18</v>
      </c>
      <c r="N437" t="s">
        <v>29</v>
      </c>
      <c r="O437">
        <v>0.17599999999999999</v>
      </c>
      <c r="P437">
        <v>2587.1999999999998</v>
      </c>
      <c r="Q437">
        <f>(Table1[[#This Row],[Closing_Stock]]*Table1[[#This Row],[Unit_Cost_INR]])</f>
        <v>14700</v>
      </c>
      <c r="R437">
        <f>(Table1[[#This Row],[Unit_Cost_INR]]*Table1[[#This Row],[Consumption]])</f>
        <v>5460</v>
      </c>
      <c r="S437">
        <f>IFERROR(Table1[[#This Row],[Annual_Consumption_Value_INR]]/Table1[[#This Row],[Inventory_Value_INR]],0)</f>
        <v>0.37142857142857144</v>
      </c>
      <c r="T437">
        <f>IFERROR(365/Table1[[#This Row],[Inventory_Turnover]],0)</f>
        <v>982.69230769230762</v>
      </c>
      <c r="U437" t="str">
        <f>IF(Table1[[#This Row],[Consumption]]=0,"Non-Moving", IF(Table1[[#This Row],[Days_Since_Last_Movement]]&gt;90,"Slow-Moving","Active"))</f>
        <v>Active</v>
      </c>
      <c r="V437">
        <f>SUM($Q$2:Q437)</f>
        <v>75187410</v>
      </c>
      <c r="W437">
        <f>Table1[[#This Row],[Cumulative_Inventory_Value]]/$AP$3</f>
        <v>0.99328941783361391</v>
      </c>
      <c r="X437" t="str">
        <f>IF(Table1[[#This Row],[Cumulative_Value_%]]&lt;80%,"A", IF(Table1[[#This Row],[Cumulative_Value_%]]&lt;=95%,"B","C"))</f>
        <v>C</v>
      </c>
      <c r="Y437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437">
        <f>Table1[[#This Row],[Consumption]]/365</f>
        <v>3.5616438356164383E-2</v>
      </c>
      <c r="AA437">
        <f>Table1[[#This Row],[Avg_Daily_Consumption]]*Table1[[#This Row],[Lead_Time_Days]]+Table1[[#This Row],[Safety_Stock]]</f>
        <v>2.1041095890410961</v>
      </c>
      <c r="AB437">
        <f>IFERROR(Table1[[#This Row],[Closing_Stock]]/Table1[[#This Row],[Avg_Daily_Consumption]],9999)</f>
        <v>982.69230769230774</v>
      </c>
      <c r="AC437">
        <f>MAX(1,ROUNDUP(Table1[[#This Row],[Avg_Daily_Consumption]]*Table1[[#This Row],[Lead_Time_Days]]*0.8,0))</f>
        <v>1</v>
      </c>
      <c r="AD437" t="str">
        <f>IF(Table1[[#This Row],[Closing_Stock]]&lt;Table1[[#This Row],[Reorder_Point]],"Stock-out Risk","Adequate")</f>
        <v>Adequate</v>
      </c>
      <c r="AE437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437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437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437" s="11">
        <f>MAX(0,Table1[[#This Row],[Closing_Stock]]-Table1[[#This Row],[Reorder_Point]])</f>
        <v>32.895890410958906</v>
      </c>
      <c r="AI437" s="11">
        <f>Table1[[#This Row],[Excess_Stock_Units]]*Table1[[#This Row],[Unit_Cost_INR]]</f>
        <v>13816.273972602741</v>
      </c>
      <c r="AJ437" s="11">
        <f>IF(Table1[[#This Row],[Criticality]]="Critical",0,Table1[[#This Row],[Excess_Inventory_Value_INR]])</f>
        <v>0</v>
      </c>
      <c r="AK437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438" spans="1:37" x14ac:dyDescent="0.25">
      <c r="A438" t="s">
        <v>438</v>
      </c>
      <c r="B438" t="s">
        <v>126</v>
      </c>
      <c r="C438" t="s">
        <v>20</v>
      </c>
      <c r="D438" t="s">
        <v>42</v>
      </c>
      <c r="E438" t="s">
        <v>37</v>
      </c>
      <c r="F438">
        <v>10</v>
      </c>
      <c r="G438">
        <v>5</v>
      </c>
      <c r="H438">
        <v>6</v>
      </c>
      <c r="I438">
        <v>9</v>
      </c>
      <c r="J438">
        <v>1610</v>
      </c>
      <c r="K438">
        <v>28</v>
      </c>
      <c r="L438">
        <v>0</v>
      </c>
      <c r="M438">
        <v>69</v>
      </c>
      <c r="N438" t="s">
        <v>61</v>
      </c>
      <c r="O438">
        <v>0.253</v>
      </c>
      <c r="P438">
        <v>3665.97</v>
      </c>
      <c r="Q438">
        <f>(Table1[[#This Row],[Closing_Stock]]*Table1[[#This Row],[Unit_Cost_INR]])</f>
        <v>14490</v>
      </c>
      <c r="R438">
        <f>(Table1[[#This Row],[Unit_Cost_INR]]*Table1[[#This Row],[Consumption]])</f>
        <v>9660</v>
      </c>
      <c r="S438">
        <f>IFERROR(Table1[[#This Row],[Annual_Consumption_Value_INR]]/Table1[[#This Row],[Inventory_Value_INR]],0)</f>
        <v>0.66666666666666663</v>
      </c>
      <c r="T438">
        <f>IFERROR(365/Table1[[#This Row],[Inventory_Turnover]],0)</f>
        <v>547.5</v>
      </c>
      <c r="U438" t="str">
        <f>IF(Table1[[#This Row],[Consumption]]=0,"Non-Moving", IF(Table1[[#This Row],[Days_Since_Last_Movement]]&gt;90,"Slow-Moving","Active"))</f>
        <v>Active</v>
      </c>
      <c r="V438">
        <f>SUM($Q$2:Q438)</f>
        <v>75201900</v>
      </c>
      <c r="W438">
        <f>Table1[[#This Row],[Cumulative_Inventory_Value]]/$AP$3</f>
        <v>0.99348084301589379</v>
      </c>
      <c r="X438" t="str">
        <f>IF(Table1[[#This Row],[Cumulative_Value_%]]&lt;80%,"A", IF(Table1[[#This Row],[Cumulative_Value_%]]&lt;=95%,"B","C"))</f>
        <v>C</v>
      </c>
      <c r="Y438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438">
        <f>Table1[[#This Row],[Consumption]]/365</f>
        <v>1.643835616438356E-2</v>
      </c>
      <c r="AA438">
        <f>Table1[[#This Row],[Avg_Daily_Consumption]]*Table1[[#This Row],[Lead_Time_Days]]+Table1[[#This Row],[Safety_Stock]]</f>
        <v>1.4602739726027396</v>
      </c>
      <c r="AB438">
        <f>IFERROR(Table1[[#This Row],[Closing_Stock]]/Table1[[#This Row],[Avg_Daily_Consumption]],9999)</f>
        <v>547.5</v>
      </c>
      <c r="AC438">
        <f>MAX(1,ROUNDUP(Table1[[#This Row],[Avg_Daily_Consumption]]*Table1[[#This Row],[Lead_Time_Days]]*0.8,0))</f>
        <v>1</v>
      </c>
      <c r="AD438" t="str">
        <f>IF(Table1[[#This Row],[Closing_Stock]]&lt;Table1[[#This Row],[Reorder_Point]],"Stock-out Risk","Adequate")</f>
        <v>Adequate</v>
      </c>
      <c r="AE438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438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438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438" s="11">
        <f>MAX(0,Table1[[#This Row],[Closing_Stock]]-Table1[[#This Row],[Reorder_Point]])</f>
        <v>7.5397260273972604</v>
      </c>
      <c r="AI438" s="11">
        <f>Table1[[#This Row],[Excess_Stock_Units]]*Table1[[#This Row],[Unit_Cost_INR]]</f>
        <v>12138.95890410959</v>
      </c>
      <c r="AJ438" s="11">
        <f>IF(Table1[[#This Row],[Criticality]]="Critical",0,Table1[[#This Row],[Excess_Inventory_Value_INR]])</f>
        <v>0</v>
      </c>
      <c r="AK438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439" spans="1:37" x14ac:dyDescent="0.25">
      <c r="A439" t="s">
        <v>513</v>
      </c>
      <c r="B439" t="s">
        <v>73</v>
      </c>
      <c r="C439" t="s">
        <v>41</v>
      </c>
      <c r="D439" t="s">
        <v>66</v>
      </c>
      <c r="E439" t="s">
        <v>28</v>
      </c>
      <c r="F439">
        <v>20</v>
      </c>
      <c r="G439">
        <v>16</v>
      </c>
      <c r="H439">
        <v>13</v>
      </c>
      <c r="I439">
        <v>23</v>
      </c>
      <c r="J439">
        <v>630</v>
      </c>
      <c r="K439">
        <v>25</v>
      </c>
      <c r="L439">
        <v>0</v>
      </c>
      <c r="M439">
        <v>71</v>
      </c>
      <c r="N439" t="s">
        <v>29</v>
      </c>
      <c r="O439">
        <v>0.16800000000000001</v>
      </c>
      <c r="P439">
        <v>2434.3200000000002</v>
      </c>
      <c r="Q439">
        <f>(Table1[[#This Row],[Closing_Stock]]*Table1[[#This Row],[Unit_Cost_INR]])</f>
        <v>14490</v>
      </c>
      <c r="R439">
        <f>(Table1[[#This Row],[Unit_Cost_INR]]*Table1[[#This Row],[Consumption]])</f>
        <v>8190</v>
      </c>
      <c r="S439">
        <f>IFERROR(Table1[[#This Row],[Annual_Consumption_Value_INR]]/Table1[[#This Row],[Inventory_Value_INR]],0)</f>
        <v>0.56521739130434778</v>
      </c>
      <c r="T439">
        <f>IFERROR(365/Table1[[#This Row],[Inventory_Turnover]],0)</f>
        <v>645.76923076923083</v>
      </c>
      <c r="U439" t="str">
        <f>IF(Table1[[#This Row],[Consumption]]=0,"Non-Moving", IF(Table1[[#This Row],[Days_Since_Last_Movement]]&gt;90,"Slow-Moving","Active"))</f>
        <v>Active</v>
      </c>
      <c r="V439">
        <f>SUM($Q$2:Q439)</f>
        <v>75216390</v>
      </c>
      <c r="W439">
        <f>Table1[[#This Row],[Cumulative_Inventory_Value]]/$AP$3</f>
        <v>0.99367226819817378</v>
      </c>
      <c r="X439" t="str">
        <f>IF(Table1[[#This Row],[Cumulative_Value_%]]&lt;80%,"A", IF(Table1[[#This Row],[Cumulative_Value_%]]&lt;=95%,"B","C"))</f>
        <v>C</v>
      </c>
      <c r="Y439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439">
        <f>Table1[[#This Row],[Consumption]]/365</f>
        <v>3.5616438356164383E-2</v>
      </c>
      <c r="AA439">
        <f>Table1[[#This Row],[Avg_Daily_Consumption]]*Table1[[#This Row],[Lead_Time_Days]]+Table1[[#This Row],[Safety_Stock]]</f>
        <v>1.8904109589041096</v>
      </c>
      <c r="AB439">
        <f>IFERROR(Table1[[#This Row],[Closing_Stock]]/Table1[[#This Row],[Avg_Daily_Consumption]],9999)</f>
        <v>645.76923076923083</v>
      </c>
      <c r="AC439">
        <f>MAX(1,ROUNDUP(Table1[[#This Row],[Avg_Daily_Consumption]]*Table1[[#This Row],[Lead_Time_Days]]*0.8,0))</f>
        <v>1</v>
      </c>
      <c r="AD439" t="str">
        <f>IF(Table1[[#This Row],[Closing_Stock]]&lt;Table1[[#This Row],[Reorder_Point]],"Stock-out Risk","Adequate")</f>
        <v>Adequate</v>
      </c>
      <c r="AE439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439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439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439" s="11">
        <f>MAX(0,Table1[[#This Row],[Closing_Stock]]-Table1[[#This Row],[Reorder_Point]])</f>
        <v>21.109589041095891</v>
      </c>
      <c r="AI439" s="11">
        <f>Table1[[#This Row],[Excess_Stock_Units]]*Table1[[#This Row],[Unit_Cost_INR]]</f>
        <v>13299.04109589041</v>
      </c>
      <c r="AJ439" s="11">
        <f>IF(Table1[[#This Row],[Criticality]]="Critical",0,Table1[[#This Row],[Excess_Inventory_Value_INR]])</f>
        <v>13299.04109589041</v>
      </c>
      <c r="AK439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440" spans="1:37" x14ac:dyDescent="0.25">
      <c r="A440" t="s">
        <v>394</v>
      </c>
      <c r="B440" t="s">
        <v>31</v>
      </c>
      <c r="C440" t="s">
        <v>32</v>
      </c>
      <c r="D440" t="s">
        <v>27</v>
      </c>
      <c r="E440" t="s">
        <v>37</v>
      </c>
      <c r="F440">
        <v>19</v>
      </c>
      <c r="G440">
        <v>20</v>
      </c>
      <c r="H440">
        <v>22</v>
      </c>
      <c r="I440">
        <v>17</v>
      </c>
      <c r="J440">
        <v>850</v>
      </c>
      <c r="K440">
        <v>13</v>
      </c>
      <c r="L440">
        <v>1</v>
      </c>
      <c r="M440">
        <v>127</v>
      </c>
      <c r="N440" t="s">
        <v>38</v>
      </c>
      <c r="O440">
        <v>0.254</v>
      </c>
      <c r="P440">
        <v>3670.3</v>
      </c>
      <c r="Q440">
        <f>(Table1[[#This Row],[Closing_Stock]]*Table1[[#This Row],[Unit_Cost_INR]])</f>
        <v>14450</v>
      </c>
      <c r="R440">
        <f>(Table1[[#This Row],[Unit_Cost_INR]]*Table1[[#This Row],[Consumption]])</f>
        <v>18700</v>
      </c>
      <c r="S440">
        <f>IFERROR(Table1[[#This Row],[Annual_Consumption_Value_INR]]/Table1[[#This Row],[Inventory_Value_INR]],0)</f>
        <v>1.2941176470588236</v>
      </c>
      <c r="T440">
        <f>IFERROR(365/Table1[[#This Row],[Inventory_Turnover]],0)</f>
        <v>282.0454545454545</v>
      </c>
      <c r="U440" t="str">
        <f>IF(Table1[[#This Row],[Consumption]]=0,"Non-Moving", IF(Table1[[#This Row],[Days_Since_Last_Movement]]&gt;90,"Slow-Moving","Active"))</f>
        <v>Slow-Moving</v>
      </c>
      <c r="V440">
        <f>SUM($Q$2:Q440)</f>
        <v>75230840</v>
      </c>
      <c r="W440">
        <f>Table1[[#This Row],[Cumulative_Inventory_Value]]/$AP$3</f>
        <v>0.99386316494654825</v>
      </c>
      <c r="X440" t="str">
        <f>IF(Table1[[#This Row],[Cumulative_Value_%]]&lt;80%,"A", IF(Table1[[#This Row],[Cumulative_Value_%]]&lt;=95%,"B","C"))</f>
        <v>C</v>
      </c>
      <c r="Y440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440">
        <f>Table1[[#This Row],[Consumption]]/365</f>
        <v>6.0273972602739728E-2</v>
      </c>
      <c r="AA440">
        <f>Table1[[#This Row],[Avg_Daily_Consumption]]*Table1[[#This Row],[Lead_Time_Days]]+Table1[[#This Row],[Safety_Stock]]</f>
        <v>1.7835616438356166</v>
      </c>
      <c r="AB440">
        <f>IFERROR(Table1[[#This Row],[Closing_Stock]]/Table1[[#This Row],[Avg_Daily_Consumption]],9999)</f>
        <v>282.04545454545456</v>
      </c>
      <c r="AC440">
        <f>MAX(1,ROUNDUP(Table1[[#This Row],[Avg_Daily_Consumption]]*Table1[[#This Row],[Lead_Time_Days]]*0.8,0))</f>
        <v>1</v>
      </c>
      <c r="AD440" t="str">
        <f>IF(Table1[[#This Row],[Closing_Stock]]&lt;Table1[[#This Row],[Reorder_Point]],"Stock-out Risk","Adequate")</f>
        <v>Adequate</v>
      </c>
      <c r="AE440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440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440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440" s="11">
        <f>MAX(0,Table1[[#This Row],[Closing_Stock]]-Table1[[#This Row],[Reorder_Point]])</f>
        <v>15.216438356164383</v>
      </c>
      <c r="AI440" s="11">
        <f>Table1[[#This Row],[Excess_Stock_Units]]*Table1[[#This Row],[Unit_Cost_INR]]</f>
        <v>12933.972602739726</v>
      </c>
      <c r="AJ440" s="11">
        <f>IF(Table1[[#This Row],[Criticality]]="Critical",0,Table1[[#This Row],[Excess_Inventory_Value_INR]])</f>
        <v>0</v>
      </c>
      <c r="AK440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441" spans="1:37" x14ac:dyDescent="0.25">
      <c r="A441" t="s">
        <v>133</v>
      </c>
      <c r="B441" t="s">
        <v>104</v>
      </c>
      <c r="C441" t="s">
        <v>41</v>
      </c>
      <c r="D441" t="s">
        <v>42</v>
      </c>
      <c r="E441" t="s">
        <v>28</v>
      </c>
      <c r="F441">
        <v>7</v>
      </c>
      <c r="G441">
        <v>3</v>
      </c>
      <c r="H441">
        <v>3</v>
      </c>
      <c r="I441">
        <v>7</v>
      </c>
      <c r="J441">
        <v>2040</v>
      </c>
      <c r="K441">
        <v>35</v>
      </c>
      <c r="L441">
        <v>0</v>
      </c>
      <c r="M441">
        <v>173</v>
      </c>
      <c r="N441" t="s">
        <v>38</v>
      </c>
      <c r="O441">
        <v>0.252</v>
      </c>
      <c r="P441">
        <v>3598.56</v>
      </c>
      <c r="Q441">
        <f>(Table1[[#This Row],[Closing_Stock]]*Table1[[#This Row],[Unit_Cost_INR]])</f>
        <v>14280</v>
      </c>
      <c r="R441">
        <f>(Table1[[#This Row],[Unit_Cost_INR]]*Table1[[#This Row],[Consumption]])</f>
        <v>6120</v>
      </c>
      <c r="S441">
        <f>IFERROR(Table1[[#This Row],[Annual_Consumption_Value_INR]]/Table1[[#This Row],[Inventory_Value_INR]],0)</f>
        <v>0.42857142857142855</v>
      </c>
      <c r="T441">
        <f>IFERROR(365/Table1[[#This Row],[Inventory_Turnover]],0)</f>
        <v>851.66666666666674</v>
      </c>
      <c r="U441" t="str">
        <f>IF(Table1[[#This Row],[Consumption]]=0,"Non-Moving", IF(Table1[[#This Row],[Days_Since_Last_Movement]]&gt;90,"Slow-Moving","Active"))</f>
        <v>Slow-Moving</v>
      </c>
      <c r="V441">
        <f>SUM($Q$2:Q441)</f>
        <v>75245120</v>
      </c>
      <c r="W441">
        <f>Table1[[#This Row],[Cumulative_Inventory_Value]]/$AP$3</f>
        <v>0.99405181585082414</v>
      </c>
      <c r="X441" t="str">
        <f>IF(Table1[[#This Row],[Cumulative_Value_%]]&lt;80%,"A", IF(Table1[[#This Row],[Cumulative_Value_%]]&lt;=95%,"B","C"))</f>
        <v>C</v>
      </c>
      <c r="Y441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441">
        <f>Table1[[#This Row],[Consumption]]/365</f>
        <v>8.21917808219178E-3</v>
      </c>
      <c r="AA441">
        <f>Table1[[#This Row],[Avg_Daily_Consumption]]*Table1[[#This Row],[Lead_Time_Days]]+Table1[[#This Row],[Safety_Stock]]</f>
        <v>1.2876712328767124</v>
      </c>
      <c r="AB441">
        <f>IFERROR(Table1[[#This Row],[Closing_Stock]]/Table1[[#This Row],[Avg_Daily_Consumption]],9999)</f>
        <v>851.66666666666674</v>
      </c>
      <c r="AC441">
        <f>MAX(1,ROUNDUP(Table1[[#This Row],[Avg_Daily_Consumption]]*Table1[[#This Row],[Lead_Time_Days]]*0.8,0))</f>
        <v>1</v>
      </c>
      <c r="AD441" t="str">
        <f>IF(Table1[[#This Row],[Closing_Stock]]&lt;Table1[[#This Row],[Reorder_Point]],"Stock-out Risk","Adequate")</f>
        <v>Adequate</v>
      </c>
      <c r="AE441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441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441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441" s="11">
        <f>MAX(0,Table1[[#This Row],[Closing_Stock]]-Table1[[#This Row],[Reorder_Point]])</f>
        <v>5.7123287671232879</v>
      </c>
      <c r="AI441" s="11">
        <f>Table1[[#This Row],[Excess_Stock_Units]]*Table1[[#This Row],[Unit_Cost_INR]]</f>
        <v>11653.150684931506</v>
      </c>
      <c r="AJ441" s="11">
        <f>IF(Table1[[#This Row],[Criticality]]="Critical",0,Table1[[#This Row],[Excess_Inventory_Value_INR]])</f>
        <v>11653.150684931506</v>
      </c>
      <c r="AK441" s="11">
        <f>IF(AND(Table1[[#This Row],[Criticality]]&lt;&gt;"Critical",OR(Table1[[#This Row],[Movement_Class]]="Slow-Moving",Table1[[#This Row],[Movement_Class]]="Non-Moving")),Table1[[#This Row],[Excess_Inventory_Value_INR]],0)</f>
        <v>11653.150684931506</v>
      </c>
    </row>
    <row r="442" spans="1:37" x14ac:dyDescent="0.25">
      <c r="A442" t="s">
        <v>459</v>
      </c>
      <c r="B442" t="s">
        <v>85</v>
      </c>
      <c r="C442" t="s">
        <v>41</v>
      </c>
      <c r="D442" t="s">
        <v>60</v>
      </c>
      <c r="E442" t="s">
        <v>28</v>
      </c>
      <c r="F442">
        <v>15</v>
      </c>
      <c r="G442">
        <v>16</v>
      </c>
      <c r="H442">
        <v>12</v>
      </c>
      <c r="I442">
        <v>19</v>
      </c>
      <c r="J442">
        <v>730</v>
      </c>
      <c r="K442">
        <v>23</v>
      </c>
      <c r="L442">
        <v>1</v>
      </c>
      <c r="M442">
        <v>106</v>
      </c>
      <c r="N442" t="s">
        <v>61</v>
      </c>
      <c r="O442">
        <v>0.17100000000000001</v>
      </c>
      <c r="P442">
        <v>2371.77</v>
      </c>
      <c r="Q442">
        <f>(Table1[[#This Row],[Closing_Stock]]*Table1[[#This Row],[Unit_Cost_INR]])</f>
        <v>13870</v>
      </c>
      <c r="R442">
        <f>(Table1[[#This Row],[Unit_Cost_INR]]*Table1[[#This Row],[Consumption]])</f>
        <v>8760</v>
      </c>
      <c r="S442">
        <f>IFERROR(Table1[[#This Row],[Annual_Consumption_Value_INR]]/Table1[[#This Row],[Inventory_Value_INR]],0)</f>
        <v>0.63157894736842102</v>
      </c>
      <c r="T442">
        <f>IFERROR(365/Table1[[#This Row],[Inventory_Turnover]],0)</f>
        <v>577.91666666666674</v>
      </c>
      <c r="U442" t="str">
        <f>IF(Table1[[#This Row],[Consumption]]=0,"Non-Moving", IF(Table1[[#This Row],[Days_Since_Last_Movement]]&gt;90,"Slow-Moving","Active"))</f>
        <v>Slow-Moving</v>
      </c>
      <c r="V442">
        <f>SUM($Q$2:Q442)</f>
        <v>75258990</v>
      </c>
      <c r="W442">
        <f>Table1[[#This Row],[Cumulative_Inventory_Value]]/$AP$3</f>
        <v>0.99423505030756831</v>
      </c>
      <c r="X442" t="str">
        <f>IF(Table1[[#This Row],[Cumulative_Value_%]]&lt;80%,"A", IF(Table1[[#This Row],[Cumulative_Value_%]]&lt;=95%,"B","C"))</f>
        <v>C</v>
      </c>
      <c r="Y442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442">
        <f>Table1[[#This Row],[Consumption]]/365</f>
        <v>3.287671232876712E-2</v>
      </c>
      <c r="AA442">
        <f>Table1[[#This Row],[Avg_Daily_Consumption]]*Table1[[#This Row],[Lead_Time_Days]]+Table1[[#This Row],[Safety_Stock]]</f>
        <v>1.7561643835616438</v>
      </c>
      <c r="AB442">
        <f>IFERROR(Table1[[#This Row],[Closing_Stock]]/Table1[[#This Row],[Avg_Daily_Consumption]],9999)</f>
        <v>577.91666666666674</v>
      </c>
      <c r="AC442">
        <f>MAX(1,ROUNDUP(Table1[[#This Row],[Avg_Daily_Consumption]]*Table1[[#This Row],[Lead_Time_Days]]*0.8,0))</f>
        <v>1</v>
      </c>
      <c r="AD442" t="str">
        <f>IF(Table1[[#This Row],[Closing_Stock]]&lt;Table1[[#This Row],[Reorder_Point]],"Stock-out Risk","Adequate")</f>
        <v>Adequate</v>
      </c>
      <c r="AE442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442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442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442" s="11">
        <f>MAX(0,Table1[[#This Row],[Closing_Stock]]-Table1[[#This Row],[Reorder_Point]])</f>
        <v>17.243835616438357</v>
      </c>
      <c r="AI442" s="11">
        <f>Table1[[#This Row],[Excess_Stock_Units]]*Table1[[#This Row],[Unit_Cost_INR]]</f>
        <v>12588</v>
      </c>
      <c r="AJ442" s="11">
        <f>IF(Table1[[#This Row],[Criticality]]="Critical",0,Table1[[#This Row],[Excess_Inventory_Value_INR]])</f>
        <v>12588</v>
      </c>
      <c r="AK442" s="11">
        <f>IF(AND(Table1[[#This Row],[Criticality]]&lt;&gt;"Critical",OR(Table1[[#This Row],[Movement_Class]]="Slow-Moving",Table1[[#This Row],[Movement_Class]]="Non-Moving")),Table1[[#This Row],[Excess_Inventory_Value_INR]],0)</f>
        <v>12588</v>
      </c>
    </row>
    <row r="443" spans="1:37" x14ac:dyDescent="0.25">
      <c r="A443" t="s">
        <v>151</v>
      </c>
      <c r="B443" t="s">
        <v>152</v>
      </c>
      <c r="C443" t="s">
        <v>20</v>
      </c>
      <c r="D443" t="s">
        <v>45</v>
      </c>
      <c r="E443" t="s">
        <v>46</v>
      </c>
      <c r="F443">
        <v>12</v>
      </c>
      <c r="G443">
        <v>14</v>
      </c>
      <c r="H443">
        <v>12</v>
      </c>
      <c r="I443">
        <v>14</v>
      </c>
      <c r="J443">
        <v>990</v>
      </c>
      <c r="K443">
        <v>5</v>
      </c>
      <c r="L443">
        <v>0</v>
      </c>
      <c r="M443">
        <v>22</v>
      </c>
      <c r="N443" t="s">
        <v>61</v>
      </c>
      <c r="O443">
        <v>0.217</v>
      </c>
      <c r="P443">
        <v>3007.62</v>
      </c>
      <c r="Q443">
        <f>(Table1[[#This Row],[Closing_Stock]]*Table1[[#This Row],[Unit_Cost_INR]])</f>
        <v>13860</v>
      </c>
      <c r="R443">
        <f>(Table1[[#This Row],[Unit_Cost_INR]]*Table1[[#This Row],[Consumption]])</f>
        <v>11880</v>
      </c>
      <c r="S443">
        <f>IFERROR(Table1[[#This Row],[Annual_Consumption_Value_INR]]/Table1[[#This Row],[Inventory_Value_INR]],0)</f>
        <v>0.8571428571428571</v>
      </c>
      <c r="T443">
        <f>IFERROR(365/Table1[[#This Row],[Inventory_Turnover]],0)</f>
        <v>425.83333333333337</v>
      </c>
      <c r="U443" t="str">
        <f>IF(Table1[[#This Row],[Consumption]]=0,"Non-Moving", IF(Table1[[#This Row],[Days_Since_Last_Movement]]&gt;90,"Slow-Moving","Active"))</f>
        <v>Active</v>
      </c>
      <c r="V443">
        <f>SUM($Q$2:Q443)</f>
        <v>75272850</v>
      </c>
      <c r="W443">
        <f>Table1[[#This Row],[Cumulative_Inventory_Value]]/$AP$3</f>
        <v>0.99441815265583611</v>
      </c>
      <c r="X443" t="str">
        <f>IF(Table1[[#This Row],[Cumulative_Value_%]]&lt;80%,"A", IF(Table1[[#This Row],[Cumulative_Value_%]]&lt;=95%,"B","C"))</f>
        <v>C</v>
      </c>
      <c r="Y443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443">
        <f>Table1[[#This Row],[Consumption]]/365</f>
        <v>3.287671232876712E-2</v>
      </c>
      <c r="AA443">
        <f>Table1[[#This Row],[Avg_Daily_Consumption]]*Table1[[#This Row],[Lead_Time_Days]]+Table1[[#This Row],[Safety_Stock]]</f>
        <v>1.1643835616438356</v>
      </c>
      <c r="AB443">
        <f>IFERROR(Table1[[#This Row],[Closing_Stock]]/Table1[[#This Row],[Avg_Daily_Consumption]],9999)</f>
        <v>425.83333333333337</v>
      </c>
      <c r="AC443">
        <f>MAX(1,ROUNDUP(Table1[[#This Row],[Avg_Daily_Consumption]]*Table1[[#This Row],[Lead_Time_Days]]*0.8,0))</f>
        <v>1</v>
      </c>
      <c r="AD443" t="str">
        <f>IF(Table1[[#This Row],[Closing_Stock]]&lt;Table1[[#This Row],[Reorder_Point]],"Stock-out Risk","Adequate")</f>
        <v>Adequate</v>
      </c>
      <c r="AE443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443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443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443" s="11">
        <f>MAX(0,Table1[[#This Row],[Closing_Stock]]-Table1[[#This Row],[Reorder_Point]])</f>
        <v>12.835616438356164</v>
      </c>
      <c r="AI443" s="11">
        <f>Table1[[#This Row],[Excess_Stock_Units]]*Table1[[#This Row],[Unit_Cost_INR]]</f>
        <v>12707.260273972603</v>
      </c>
      <c r="AJ443" s="11">
        <f>IF(Table1[[#This Row],[Criticality]]="Critical",0,Table1[[#This Row],[Excess_Inventory_Value_INR]])</f>
        <v>12707.260273972603</v>
      </c>
      <c r="AK443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444" spans="1:37" x14ac:dyDescent="0.25">
      <c r="A444" t="s">
        <v>175</v>
      </c>
      <c r="B444" t="s">
        <v>93</v>
      </c>
      <c r="C444" t="s">
        <v>26</v>
      </c>
      <c r="D444" t="s">
        <v>66</v>
      </c>
      <c r="E444" t="s">
        <v>46</v>
      </c>
      <c r="F444">
        <v>17</v>
      </c>
      <c r="G444">
        <v>11</v>
      </c>
      <c r="H444">
        <v>7</v>
      </c>
      <c r="I444">
        <v>21</v>
      </c>
      <c r="J444">
        <v>630</v>
      </c>
      <c r="K444">
        <v>33</v>
      </c>
      <c r="L444">
        <v>0</v>
      </c>
      <c r="M444">
        <v>70</v>
      </c>
      <c r="N444" t="s">
        <v>49</v>
      </c>
      <c r="O444">
        <v>0.21299999999999999</v>
      </c>
      <c r="P444">
        <v>2817.99</v>
      </c>
      <c r="Q444">
        <f>(Table1[[#This Row],[Closing_Stock]]*Table1[[#This Row],[Unit_Cost_INR]])</f>
        <v>13230</v>
      </c>
      <c r="R444">
        <f>(Table1[[#This Row],[Unit_Cost_INR]]*Table1[[#This Row],[Consumption]])</f>
        <v>4410</v>
      </c>
      <c r="S444">
        <f>IFERROR(Table1[[#This Row],[Annual_Consumption_Value_INR]]/Table1[[#This Row],[Inventory_Value_INR]],0)</f>
        <v>0.33333333333333331</v>
      </c>
      <c r="T444">
        <f>IFERROR(365/Table1[[#This Row],[Inventory_Turnover]],0)</f>
        <v>1095</v>
      </c>
      <c r="U444" t="str">
        <f>IF(Table1[[#This Row],[Consumption]]=0,"Non-Moving", IF(Table1[[#This Row],[Days_Since_Last_Movement]]&gt;90,"Slow-Moving","Active"))</f>
        <v>Active</v>
      </c>
      <c r="V444">
        <f>SUM($Q$2:Q444)</f>
        <v>75286080</v>
      </c>
      <c r="W444">
        <f>Table1[[#This Row],[Cumulative_Inventory_Value]]/$AP$3</f>
        <v>0.99459293217009181</v>
      </c>
      <c r="X444" t="str">
        <f>IF(Table1[[#This Row],[Cumulative_Value_%]]&lt;80%,"A", IF(Table1[[#This Row],[Cumulative_Value_%]]&lt;=95%,"B","C"))</f>
        <v>C</v>
      </c>
      <c r="Y444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444">
        <f>Table1[[#This Row],[Consumption]]/365</f>
        <v>1.9178082191780823E-2</v>
      </c>
      <c r="AA444">
        <f>Table1[[#This Row],[Avg_Daily_Consumption]]*Table1[[#This Row],[Lead_Time_Days]]+Table1[[#This Row],[Safety_Stock]]</f>
        <v>1.6328767123287671</v>
      </c>
      <c r="AB444">
        <f>IFERROR(Table1[[#This Row],[Closing_Stock]]/Table1[[#This Row],[Avg_Daily_Consumption]],9999)</f>
        <v>1095</v>
      </c>
      <c r="AC444">
        <f>MAX(1,ROUNDUP(Table1[[#This Row],[Avg_Daily_Consumption]]*Table1[[#This Row],[Lead_Time_Days]]*0.8,0))</f>
        <v>1</v>
      </c>
      <c r="AD444" t="str">
        <f>IF(Table1[[#This Row],[Closing_Stock]]&lt;Table1[[#This Row],[Reorder_Point]],"Stock-out Risk","Adequate")</f>
        <v>Adequate</v>
      </c>
      <c r="AE444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444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444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444" s="11">
        <f>MAX(0,Table1[[#This Row],[Closing_Stock]]-Table1[[#This Row],[Reorder_Point]])</f>
        <v>19.367123287671234</v>
      </c>
      <c r="AI444" s="11">
        <f>Table1[[#This Row],[Excess_Stock_Units]]*Table1[[#This Row],[Unit_Cost_INR]]</f>
        <v>12201.287671232878</v>
      </c>
      <c r="AJ444" s="11">
        <f>IF(Table1[[#This Row],[Criticality]]="Critical",0,Table1[[#This Row],[Excess_Inventory_Value_INR]])</f>
        <v>12201.287671232878</v>
      </c>
      <c r="AK444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445" spans="1:37" x14ac:dyDescent="0.25">
      <c r="A445" t="s">
        <v>567</v>
      </c>
      <c r="B445" t="s">
        <v>80</v>
      </c>
      <c r="C445" t="s">
        <v>20</v>
      </c>
      <c r="D445" t="s">
        <v>27</v>
      </c>
      <c r="E445" t="s">
        <v>22</v>
      </c>
      <c r="F445">
        <v>26</v>
      </c>
      <c r="G445">
        <v>62</v>
      </c>
      <c r="H445">
        <v>41</v>
      </c>
      <c r="I445">
        <v>47</v>
      </c>
      <c r="J445">
        <v>280</v>
      </c>
      <c r="K445">
        <v>46</v>
      </c>
      <c r="L445">
        <v>2</v>
      </c>
      <c r="M445">
        <v>187</v>
      </c>
      <c r="N445" t="s">
        <v>49</v>
      </c>
      <c r="O445">
        <v>0.27500000000000002</v>
      </c>
      <c r="P445">
        <v>3619</v>
      </c>
      <c r="Q445">
        <f>(Table1[[#This Row],[Closing_Stock]]*Table1[[#This Row],[Unit_Cost_INR]])</f>
        <v>13160</v>
      </c>
      <c r="R445">
        <f>(Table1[[#This Row],[Unit_Cost_INR]]*Table1[[#This Row],[Consumption]])</f>
        <v>11480</v>
      </c>
      <c r="S445">
        <f>IFERROR(Table1[[#This Row],[Annual_Consumption_Value_INR]]/Table1[[#This Row],[Inventory_Value_INR]],0)</f>
        <v>0.87234042553191493</v>
      </c>
      <c r="T445">
        <f>IFERROR(365/Table1[[#This Row],[Inventory_Turnover]],0)</f>
        <v>418.41463414634143</v>
      </c>
      <c r="U445" t="str">
        <f>IF(Table1[[#This Row],[Consumption]]=0,"Non-Moving", IF(Table1[[#This Row],[Days_Since_Last_Movement]]&gt;90,"Slow-Moving","Active"))</f>
        <v>Slow-Moving</v>
      </c>
      <c r="V445">
        <f>SUM($Q$2:Q445)</f>
        <v>75299240</v>
      </c>
      <c r="W445">
        <f>Table1[[#This Row],[Cumulative_Inventory_Value]]/$AP$3</f>
        <v>0.99476678692501275</v>
      </c>
      <c r="X445" t="str">
        <f>IF(Table1[[#This Row],[Cumulative_Value_%]]&lt;80%,"A", IF(Table1[[#This Row],[Cumulative_Value_%]]&lt;=95%,"B","C"))</f>
        <v>C</v>
      </c>
      <c r="Y445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445">
        <f>Table1[[#This Row],[Consumption]]/365</f>
        <v>0.11232876712328767</v>
      </c>
      <c r="AA445">
        <f>Table1[[#This Row],[Avg_Daily_Consumption]]*Table1[[#This Row],[Lead_Time_Days]]+Table1[[#This Row],[Safety_Stock]]</f>
        <v>10.167123287671233</v>
      </c>
      <c r="AB445">
        <f>IFERROR(Table1[[#This Row],[Closing_Stock]]/Table1[[#This Row],[Avg_Daily_Consumption]],9999)</f>
        <v>418.41463414634148</v>
      </c>
      <c r="AC445">
        <f>MAX(1,ROUNDUP(Table1[[#This Row],[Avg_Daily_Consumption]]*Table1[[#This Row],[Lead_Time_Days]]*0.8,0))</f>
        <v>5</v>
      </c>
      <c r="AD445" t="str">
        <f>IF(Table1[[#This Row],[Closing_Stock]]&lt;Table1[[#This Row],[Reorder_Point]],"Stock-out Risk","Adequate")</f>
        <v>Adequate</v>
      </c>
      <c r="AE445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445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445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445" s="11">
        <f>MAX(0,Table1[[#This Row],[Closing_Stock]]-Table1[[#This Row],[Reorder_Point]])</f>
        <v>36.832876712328769</v>
      </c>
      <c r="AI445" s="11">
        <f>Table1[[#This Row],[Excess_Stock_Units]]*Table1[[#This Row],[Unit_Cost_INR]]</f>
        <v>10313.205479452055</v>
      </c>
      <c r="AJ445" s="11">
        <f>IF(Table1[[#This Row],[Criticality]]="Critical",0,Table1[[#This Row],[Excess_Inventory_Value_INR]])</f>
        <v>10313.205479452055</v>
      </c>
      <c r="AK445" s="11">
        <f>IF(AND(Table1[[#This Row],[Criticality]]&lt;&gt;"Critical",OR(Table1[[#This Row],[Movement_Class]]="Slow-Moving",Table1[[#This Row],[Movement_Class]]="Non-Moving")),Table1[[#This Row],[Excess_Inventory_Value_INR]],0)</f>
        <v>10313.205479452055</v>
      </c>
    </row>
    <row r="446" spans="1:37" x14ac:dyDescent="0.25">
      <c r="A446" t="s">
        <v>371</v>
      </c>
      <c r="B446" t="s">
        <v>35</v>
      </c>
      <c r="C446" t="s">
        <v>36</v>
      </c>
      <c r="D446" t="s">
        <v>45</v>
      </c>
      <c r="E446" t="s">
        <v>22</v>
      </c>
      <c r="F446">
        <v>79</v>
      </c>
      <c r="G446">
        <v>49</v>
      </c>
      <c r="H446">
        <v>51</v>
      </c>
      <c r="I446">
        <v>77</v>
      </c>
      <c r="J446">
        <v>170</v>
      </c>
      <c r="K446">
        <v>37</v>
      </c>
      <c r="L446">
        <v>2</v>
      </c>
      <c r="M446">
        <v>75</v>
      </c>
      <c r="N446" t="s">
        <v>38</v>
      </c>
      <c r="O446">
        <v>0.26400000000000001</v>
      </c>
      <c r="P446">
        <v>3455.76</v>
      </c>
      <c r="Q446">
        <f>(Table1[[#This Row],[Closing_Stock]]*Table1[[#This Row],[Unit_Cost_INR]])</f>
        <v>13090</v>
      </c>
      <c r="R446">
        <f>(Table1[[#This Row],[Unit_Cost_INR]]*Table1[[#This Row],[Consumption]])</f>
        <v>8670</v>
      </c>
      <c r="S446">
        <f>IFERROR(Table1[[#This Row],[Annual_Consumption_Value_INR]]/Table1[[#This Row],[Inventory_Value_INR]],0)</f>
        <v>0.66233766233766234</v>
      </c>
      <c r="T446">
        <f>IFERROR(365/Table1[[#This Row],[Inventory_Turnover]],0)</f>
        <v>551.07843137254906</v>
      </c>
      <c r="U446" t="str">
        <f>IF(Table1[[#This Row],[Consumption]]=0,"Non-Moving", IF(Table1[[#This Row],[Days_Since_Last_Movement]]&gt;90,"Slow-Moving","Active"))</f>
        <v>Active</v>
      </c>
      <c r="V446">
        <f>SUM($Q$2:Q446)</f>
        <v>75312330</v>
      </c>
      <c r="W446">
        <f>Table1[[#This Row],[Cumulative_Inventory_Value]]/$AP$3</f>
        <v>0.99493971692059902</v>
      </c>
      <c r="X446" t="str">
        <f>IF(Table1[[#This Row],[Cumulative_Value_%]]&lt;80%,"A", IF(Table1[[#This Row],[Cumulative_Value_%]]&lt;=95%,"B","C"))</f>
        <v>C</v>
      </c>
      <c r="Y446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446">
        <f>Table1[[#This Row],[Consumption]]/365</f>
        <v>0.13972602739726028</v>
      </c>
      <c r="AA446">
        <f>Table1[[#This Row],[Avg_Daily_Consumption]]*Table1[[#This Row],[Lead_Time_Days]]+Table1[[#This Row],[Safety_Stock]]</f>
        <v>10.169863013698631</v>
      </c>
      <c r="AB446">
        <f>IFERROR(Table1[[#This Row],[Closing_Stock]]/Table1[[#This Row],[Avg_Daily_Consumption]],9999)</f>
        <v>551.07843137254895</v>
      </c>
      <c r="AC446">
        <f>MAX(1,ROUNDUP(Table1[[#This Row],[Avg_Daily_Consumption]]*Table1[[#This Row],[Lead_Time_Days]]*0.8,0))</f>
        <v>5</v>
      </c>
      <c r="AD446" t="str">
        <f>IF(Table1[[#This Row],[Closing_Stock]]&lt;Table1[[#This Row],[Reorder_Point]],"Stock-out Risk","Adequate")</f>
        <v>Adequate</v>
      </c>
      <c r="AE446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446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446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446" s="11">
        <f>MAX(0,Table1[[#This Row],[Closing_Stock]]-Table1[[#This Row],[Reorder_Point]])</f>
        <v>66.830136986301369</v>
      </c>
      <c r="AI446" s="11">
        <f>Table1[[#This Row],[Excess_Stock_Units]]*Table1[[#This Row],[Unit_Cost_INR]]</f>
        <v>11361.123287671233</v>
      </c>
      <c r="AJ446" s="11">
        <f>IF(Table1[[#This Row],[Criticality]]="Critical",0,Table1[[#This Row],[Excess_Inventory_Value_INR]])</f>
        <v>11361.123287671233</v>
      </c>
      <c r="AK446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447" spans="1:37" x14ac:dyDescent="0.25">
      <c r="A447" t="s">
        <v>376</v>
      </c>
      <c r="B447" t="s">
        <v>150</v>
      </c>
      <c r="C447" t="s">
        <v>36</v>
      </c>
      <c r="D447" t="s">
        <v>42</v>
      </c>
      <c r="E447" t="s">
        <v>37</v>
      </c>
      <c r="F447">
        <v>10</v>
      </c>
      <c r="G447">
        <v>16</v>
      </c>
      <c r="H447">
        <v>11</v>
      </c>
      <c r="I447">
        <v>15</v>
      </c>
      <c r="J447">
        <v>870</v>
      </c>
      <c r="K447">
        <v>35</v>
      </c>
      <c r="L447">
        <v>1</v>
      </c>
      <c r="M447">
        <v>40</v>
      </c>
      <c r="N447" t="s">
        <v>38</v>
      </c>
      <c r="O447">
        <v>0.182</v>
      </c>
      <c r="P447">
        <v>2375.1</v>
      </c>
      <c r="Q447">
        <f>(Table1[[#This Row],[Closing_Stock]]*Table1[[#This Row],[Unit_Cost_INR]])</f>
        <v>13050</v>
      </c>
      <c r="R447">
        <f>(Table1[[#This Row],[Unit_Cost_INR]]*Table1[[#This Row],[Consumption]])</f>
        <v>9570</v>
      </c>
      <c r="S447">
        <f>IFERROR(Table1[[#This Row],[Annual_Consumption_Value_INR]]/Table1[[#This Row],[Inventory_Value_INR]],0)</f>
        <v>0.73333333333333328</v>
      </c>
      <c r="T447">
        <f>IFERROR(365/Table1[[#This Row],[Inventory_Turnover]],0)</f>
        <v>497.72727272727275</v>
      </c>
      <c r="U447" t="str">
        <f>IF(Table1[[#This Row],[Consumption]]=0,"Non-Moving", IF(Table1[[#This Row],[Days_Since_Last_Movement]]&gt;90,"Slow-Moving","Active"))</f>
        <v>Active</v>
      </c>
      <c r="V447">
        <f>SUM($Q$2:Q447)</f>
        <v>75325380</v>
      </c>
      <c r="W447">
        <f>Table1[[#This Row],[Cumulative_Inventory_Value]]/$AP$3</f>
        <v>0.99511211848227965</v>
      </c>
      <c r="X447" t="str">
        <f>IF(Table1[[#This Row],[Cumulative_Value_%]]&lt;80%,"A", IF(Table1[[#This Row],[Cumulative_Value_%]]&lt;=95%,"B","C"))</f>
        <v>C</v>
      </c>
      <c r="Y447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447">
        <f>Table1[[#This Row],[Consumption]]/365</f>
        <v>3.0136986301369864E-2</v>
      </c>
      <c r="AA447">
        <f>Table1[[#This Row],[Avg_Daily_Consumption]]*Table1[[#This Row],[Lead_Time_Days]]+Table1[[#This Row],[Safety_Stock]]</f>
        <v>2.0547945205479454</v>
      </c>
      <c r="AB447">
        <f>IFERROR(Table1[[#This Row],[Closing_Stock]]/Table1[[#This Row],[Avg_Daily_Consumption]],9999)</f>
        <v>497.72727272727269</v>
      </c>
      <c r="AC447">
        <f>MAX(1,ROUNDUP(Table1[[#This Row],[Avg_Daily_Consumption]]*Table1[[#This Row],[Lead_Time_Days]]*0.8,0))</f>
        <v>1</v>
      </c>
      <c r="AD447" t="str">
        <f>IF(Table1[[#This Row],[Closing_Stock]]&lt;Table1[[#This Row],[Reorder_Point]],"Stock-out Risk","Adequate")</f>
        <v>Adequate</v>
      </c>
      <c r="AE447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447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447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447" s="11">
        <f>MAX(0,Table1[[#This Row],[Closing_Stock]]-Table1[[#This Row],[Reorder_Point]])</f>
        <v>12.945205479452055</v>
      </c>
      <c r="AI447" s="11">
        <f>Table1[[#This Row],[Excess_Stock_Units]]*Table1[[#This Row],[Unit_Cost_INR]]</f>
        <v>11262.328767123288</v>
      </c>
      <c r="AJ447" s="11">
        <f>IF(Table1[[#This Row],[Criticality]]="Critical",0,Table1[[#This Row],[Excess_Inventory_Value_INR]])</f>
        <v>0</v>
      </c>
      <c r="AK447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448" spans="1:37" x14ac:dyDescent="0.25">
      <c r="A448" t="s">
        <v>107</v>
      </c>
      <c r="B448" t="s">
        <v>95</v>
      </c>
      <c r="C448" t="s">
        <v>26</v>
      </c>
      <c r="D448" t="s">
        <v>27</v>
      </c>
      <c r="E448" t="s">
        <v>46</v>
      </c>
      <c r="F448">
        <v>7</v>
      </c>
      <c r="G448">
        <v>8</v>
      </c>
      <c r="H448">
        <v>9</v>
      </c>
      <c r="I448">
        <v>6</v>
      </c>
      <c r="J448">
        <v>2140</v>
      </c>
      <c r="K448">
        <v>23</v>
      </c>
      <c r="L448">
        <v>0</v>
      </c>
      <c r="M448">
        <v>85</v>
      </c>
      <c r="N448" t="s">
        <v>58</v>
      </c>
      <c r="O448">
        <v>0.28699999999999998</v>
      </c>
      <c r="P448">
        <v>3685.08</v>
      </c>
      <c r="Q448">
        <f>(Table1[[#This Row],[Closing_Stock]]*Table1[[#This Row],[Unit_Cost_INR]])</f>
        <v>12840</v>
      </c>
      <c r="R448">
        <f>(Table1[[#This Row],[Unit_Cost_INR]]*Table1[[#This Row],[Consumption]])</f>
        <v>19260</v>
      </c>
      <c r="S448">
        <f>IFERROR(Table1[[#This Row],[Annual_Consumption_Value_INR]]/Table1[[#This Row],[Inventory_Value_INR]],0)</f>
        <v>1.5</v>
      </c>
      <c r="T448">
        <f>IFERROR(365/Table1[[#This Row],[Inventory_Turnover]],0)</f>
        <v>243.33333333333334</v>
      </c>
      <c r="U448" t="str">
        <f>IF(Table1[[#This Row],[Consumption]]=0,"Non-Moving", IF(Table1[[#This Row],[Days_Since_Last_Movement]]&gt;90,"Slow-Moving","Active"))</f>
        <v>Active</v>
      </c>
      <c r="V448">
        <f>SUM($Q$2:Q448)</f>
        <v>75338220</v>
      </c>
      <c r="W448">
        <f>Table1[[#This Row],[Cumulative_Inventory_Value]]/$AP$3</f>
        <v>0.9952817457659564</v>
      </c>
      <c r="X448" t="str">
        <f>IF(Table1[[#This Row],[Cumulative_Value_%]]&lt;80%,"A", IF(Table1[[#This Row],[Cumulative_Value_%]]&lt;=95%,"B","C"))</f>
        <v>C</v>
      </c>
      <c r="Y448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448">
        <f>Table1[[#This Row],[Consumption]]/365</f>
        <v>2.4657534246575342E-2</v>
      </c>
      <c r="AA448">
        <f>Table1[[#This Row],[Avg_Daily_Consumption]]*Table1[[#This Row],[Lead_Time_Days]]+Table1[[#This Row],[Safety_Stock]]</f>
        <v>1.5671232876712329</v>
      </c>
      <c r="AB448">
        <f>IFERROR(Table1[[#This Row],[Closing_Stock]]/Table1[[#This Row],[Avg_Daily_Consumption]],9999)</f>
        <v>243.33333333333334</v>
      </c>
      <c r="AC448">
        <f>MAX(1,ROUNDUP(Table1[[#This Row],[Avg_Daily_Consumption]]*Table1[[#This Row],[Lead_Time_Days]]*0.8,0))</f>
        <v>1</v>
      </c>
      <c r="AD448" t="str">
        <f>IF(Table1[[#This Row],[Closing_Stock]]&lt;Table1[[#This Row],[Reorder_Point]],"Stock-out Risk","Adequate")</f>
        <v>Adequate</v>
      </c>
      <c r="AE448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448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448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448" s="11">
        <f>MAX(0,Table1[[#This Row],[Closing_Stock]]-Table1[[#This Row],[Reorder_Point]])</f>
        <v>4.4328767123287669</v>
      </c>
      <c r="AI448" s="11">
        <f>Table1[[#This Row],[Excess_Stock_Units]]*Table1[[#This Row],[Unit_Cost_INR]]</f>
        <v>9486.3561643835619</v>
      </c>
      <c r="AJ448" s="11">
        <f>IF(Table1[[#This Row],[Criticality]]="Critical",0,Table1[[#This Row],[Excess_Inventory_Value_INR]])</f>
        <v>9486.3561643835619</v>
      </c>
      <c r="AK448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449" spans="1:37" x14ac:dyDescent="0.25">
      <c r="A449" t="s">
        <v>145</v>
      </c>
      <c r="B449" t="s">
        <v>44</v>
      </c>
      <c r="C449" t="s">
        <v>41</v>
      </c>
      <c r="D449" t="s">
        <v>21</v>
      </c>
      <c r="E449" t="s">
        <v>22</v>
      </c>
      <c r="F449">
        <v>26</v>
      </c>
      <c r="G449">
        <v>48</v>
      </c>
      <c r="H449">
        <v>39</v>
      </c>
      <c r="I449">
        <v>35</v>
      </c>
      <c r="J449">
        <v>360</v>
      </c>
      <c r="K449">
        <v>34</v>
      </c>
      <c r="L449">
        <v>0</v>
      </c>
      <c r="M449">
        <v>170</v>
      </c>
      <c r="N449" t="s">
        <v>61</v>
      </c>
      <c r="O449">
        <v>0.27100000000000002</v>
      </c>
      <c r="P449">
        <v>3414.6</v>
      </c>
      <c r="Q449">
        <f>(Table1[[#This Row],[Closing_Stock]]*Table1[[#This Row],[Unit_Cost_INR]])</f>
        <v>12600</v>
      </c>
      <c r="R449">
        <f>(Table1[[#This Row],[Unit_Cost_INR]]*Table1[[#This Row],[Consumption]])</f>
        <v>14040</v>
      </c>
      <c r="S449">
        <f>IFERROR(Table1[[#This Row],[Annual_Consumption_Value_INR]]/Table1[[#This Row],[Inventory_Value_INR]],0)</f>
        <v>1.1142857142857143</v>
      </c>
      <c r="T449">
        <f>IFERROR(365/Table1[[#This Row],[Inventory_Turnover]],0)</f>
        <v>327.56410256410254</v>
      </c>
      <c r="U449" t="str">
        <f>IF(Table1[[#This Row],[Consumption]]=0,"Non-Moving", IF(Table1[[#This Row],[Days_Since_Last_Movement]]&gt;90,"Slow-Moving","Active"))</f>
        <v>Slow-Moving</v>
      </c>
      <c r="V449">
        <f>SUM($Q$2:Q449)</f>
        <v>75350820</v>
      </c>
      <c r="W449">
        <f>Table1[[#This Row],[Cumulative_Inventory_Value]]/$AP$3</f>
        <v>0.9954482024461998</v>
      </c>
      <c r="X449" t="str">
        <f>IF(Table1[[#This Row],[Cumulative_Value_%]]&lt;80%,"A", IF(Table1[[#This Row],[Cumulative_Value_%]]&lt;=95%,"B","C"))</f>
        <v>C</v>
      </c>
      <c r="Y449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449">
        <f>Table1[[#This Row],[Consumption]]/365</f>
        <v>0.10684931506849316</v>
      </c>
      <c r="AA449">
        <f>Table1[[#This Row],[Avg_Daily_Consumption]]*Table1[[#This Row],[Lead_Time_Days]]+Table1[[#This Row],[Safety_Stock]]</f>
        <v>6.6328767123287671</v>
      </c>
      <c r="AB449">
        <f>IFERROR(Table1[[#This Row],[Closing_Stock]]/Table1[[#This Row],[Avg_Daily_Consumption]],9999)</f>
        <v>327.56410256410254</v>
      </c>
      <c r="AC449">
        <f>MAX(1,ROUNDUP(Table1[[#This Row],[Avg_Daily_Consumption]]*Table1[[#This Row],[Lead_Time_Days]]*0.8,0))</f>
        <v>3</v>
      </c>
      <c r="AD449" t="str">
        <f>IF(Table1[[#This Row],[Closing_Stock]]&lt;Table1[[#This Row],[Reorder_Point]],"Stock-out Risk","Adequate")</f>
        <v>Adequate</v>
      </c>
      <c r="AE449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449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449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449" s="11">
        <f>MAX(0,Table1[[#This Row],[Closing_Stock]]-Table1[[#This Row],[Reorder_Point]])</f>
        <v>28.367123287671234</v>
      </c>
      <c r="AI449" s="11">
        <f>Table1[[#This Row],[Excess_Stock_Units]]*Table1[[#This Row],[Unit_Cost_INR]]</f>
        <v>10212.164383561645</v>
      </c>
      <c r="AJ449" s="11">
        <f>IF(Table1[[#This Row],[Criticality]]="Critical",0,Table1[[#This Row],[Excess_Inventory_Value_INR]])</f>
        <v>10212.164383561645</v>
      </c>
      <c r="AK449" s="11">
        <f>IF(AND(Table1[[#This Row],[Criticality]]&lt;&gt;"Critical",OR(Table1[[#This Row],[Movement_Class]]="Slow-Moving",Table1[[#This Row],[Movement_Class]]="Non-Moving")),Table1[[#This Row],[Excess_Inventory_Value_INR]],0)</f>
        <v>10212.164383561645</v>
      </c>
    </row>
    <row r="450" spans="1:37" x14ac:dyDescent="0.25">
      <c r="A450" t="s">
        <v>352</v>
      </c>
      <c r="B450" t="s">
        <v>63</v>
      </c>
      <c r="C450" t="s">
        <v>52</v>
      </c>
      <c r="D450" t="s">
        <v>60</v>
      </c>
      <c r="E450" t="s">
        <v>22</v>
      </c>
      <c r="F450">
        <v>6</v>
      </c>
      <c r="G450">
        <v>5</v>
      </c>
      <c r="H450">
        <v>4</v>
      </c>
      <c r="I450">
        <v>7</v>
      </c>
      <c r="J450">
        <v>1740</v>
      </c>
      <c r="K450">
        <v>21</v>
      </c>
      <c r="L450">
        <v>0</v>
      </c>
      <c r="M450">
        <v>291</v>
      </c>
      <c r="N450" t="s">
        <v>38</v>
      </c>
      <c r="O450">
        <v>0.18099999999999999</v>
      </c>
      <c r="P450">
        <v>2204.58</v>
      </c>
      <c r="Q450">
        <f>(Table1[[#This Row],[Closing_Stock]]*Table1[[#This Row],[Unit_Cost_INR]])</f>
        <v>12180</v>
      </c>
      <c r="R450">
        <f>(Table1[[#This Row],[Unit_Cost_INR]]*Table1[[#This Row],[Consumption]])</f>
        <v>6960</v>
      </c>
      <c r="S450">
        <f>IFERROR(Table1[[#This Row],[Annual_Consumption_Value_INR]]/Table1[[#This Row],[Inventory_Value_INR]],0)</f>
        <v>0.5714285714285714</v>
      </c>
      <c r="T450">
        <f>IFERROR(365/Table1[[#This Row],[Inventory_Turnover]],0)</f>
        <v>638.75</v>
      </c>
      <c r="U450" t="str">
        <f>IF(Table1[[#This Row],[Consumption]]=0,"Non-Moving", IF(Table1[[#This Row],[Days_Since_Last_Movement]]&gt;90,"Slow-Moving","Active"))</f>
        <v>Slow-Moving</v>
      </c>
      <c r="V450">
        <f>SUM($Q$2:Q450)</f>
        <v>75363000</v>
      </c>
      <c r="W450">
        <f>Table1[[#This Row],[Cumulative_Inventory_Value]]/$AP$3</f>
        <v>0.99560911057043511</v>
      </c>
      <c r="X450" t="str">
        <f>IF(Table1[[#This Row],[Cumulative_Value_%]]&lt;80%,"A", IF(Table1[[#This Row],[Cumulative_Value_%]]&lt;=95%,"B","C"))</f>
        <v>C</v>
      </c>
      <c r="Y450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450">
        <f>Table1[[#This Row],[Consumption]]/365</f>
        <v>1.0958904109589041E-2</v>
      </c>
      <c r="AA450">
        <f>Table1[[#This Row],[Avg_Daily_Consumption]]*Table1[[#This Row],[Lead_Time_Days]]+Table1[[#This Row],[Safety_Stock]]</f>
        <v>1.2301369863013698</v>
      </c>
      <c r="AB450">
        <f>IFERROR(Table1[[#This Row],[Closing_Stock]]/Table1[[#This Row],[Avg_Daily_Consumption]],9999)</f>
        <v>638.75</v>
      </c>
      <c r="AC450">
        <f>MAX(1,ROUNDUP(Table1[[#This Row],[Avg_Daily_Consumption]]*Table1[[#This Row],[Lead_Time_Days]]*0.8,0))</f>
        <v>1</v>
      </c>
      <c r="AD450" t="str">
        <f>IF(Table1[[#This Row],[Closing_Stock]]&lt;Table1[[#This Row],[Reorder_Point]],"Stock-out Risk","Adequate")</f>
        <v>Adequate</v>
      </c>
      <c r="AE450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450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450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450" s="11">
        <f>MAX(0,Table1[[#This Row],[Closing_Stock]]-Table1[[#This Row],[Reorder_Point]])</f>
        <v>5.7698630136986306</v>
      </c>
      <c r="AI450" s="11">
        <f>Table1[[#This Row],[Excess_Stock_Units]]*Table1[[#This Row],[Unit_Cost_INR]]</f>
        <v>10039.561643835617</v>
      </c>
      <c r="AJ450" s="11">
        <f>IF(Table1[[#This Row],[Criticality]]="Critical",0,Table1[[#This Row],[Excess_Inventory_Value_INR]])</f>
        <v>10039.561643835617</v>
      </c>
      <c r="AK450" s="11">
        <f>IF(AND(Table1[[#This Row],[Criticality]]&lt;&gt;"Critical",OR(Table1[[#This Row],[Movement_Class]]="Slow-Moving",Table1[[#This Row],[Movement_Class]]="Non-Moving")),Table1[[#This Row],[Excess_Inventory_Value_INR]],0)</f>
        <v>10039.561643835617</v>
      </c>
    </row>
    <row r="451" spans="1:37" x14ac:dyDescent="0.25">
      <c r="A451" t="s">
        <v>444</v>
      </c>
      <c r="B451" t="s">
        <v>104</v>
      </c>
      <c r="C451" t="s">
        <v>41</v>
      </c>
      <c r="D451" t="s">
        <v>42</v>
      </c>
      <c r="E451" t="s">
        <v>22</v>
      </c>
      <c r="F451">
        <v>11</v>
      </c>
      <c r="G451">
        <v>4</v>
      </c>
      <c r="H451">
        <v>4</v>
      </c>
      <c r="I451">
        <v>11</v>
      </c>
      <c r="J451">
        <v>1090</v>
      </c>
      <c r="K451">
        <v>10</v>
      </c>
      <c r="L451">
        <v>0</v>
      </c>
      <c r="M451">
        <v>87</v>
      </c>
      <c r="N451" t="s">
        <v>58</v>
      </c>
      <c r="O451">
        <v>0.22600000000000001</v>
      </c>
      <c r="P451">
        <v>2709.74</v>
      </c>
      <c r="Q451">
        <f>(Table1[[#This Row],[Closing_Stock]]*Table1[[#This Row],[Unit_Cost_INR]])</f>
        <v>11990</v>
      </c>
      <c r="R451">
        <f>(Table1[[#This Row],[Unit_Cost_INR]]*Table1[[#This Row],[Consumption]])</f>
        <v>4360</v>
      </c>
      <c r="S451">
        <f>IFERROR(Table1[[#This Row],[Annual_Consumption_Value_INR]]/Table1[[#This Row],[Inventory_Value_INR]],0)</f>
        <v>0.36363636363636365</v>
      </c>
      <c r="T451">
        <f>IFERROR(365/Table1[[#This Row],[Inventory_Turnover]],0)</f>
        <v>1003.75</v>
      </c>
      <c r="U451" t="str">
        <f>IF(Table1[[#This Row],[Consumption]]=0,"Non-Moving", IF(Table1[[#This Row],[Days_Since_Last_Movement]]&gt;90,"Slow-Moving","Active"))</f>
        <v>Active</v>
      </c>
      <c r="V451">
        <f>SUM($Q$2:Q451)</f>
        <v>75374990</v>
      </c>
      <c r="W451">
        <f>Table1[[#This Row],[Cumulative_Inventory_Value]]/$AP$3</f>
        <v>0.99576750863361918</v>
      </c>
      <c r="X451" t="str">
        <f>IF(Table1[[#This Row],[Cumulative_Value_%]]&lt;80%,"A", IF(Table1[[#This Row],[Cumulative_Value_%]]&lt;=95%,"B","C"))</f>
        <v>C</v>
      </c>
      <c r="Y451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451">
        <f>Table1[[#This Row],[Consumption]]/365</f>
        <v>1.0958904109589041E-2</v>
      </c>
      <c r="AA451">
        <f>Table1[[#This Row],[Avg_Daily_Consumption]]*Table1[[#This Row],[Lead_Time_Days]]+Table1[[#This Row],[Safety_Stock]]</f>
        <v>1.1095890410958904</v>
      </c>
      <c r="AB451">
        <f>IFERROR(Table1[[#This Row],[Closing_Stock]]/Table1[[#This Row],[Avg_Daily_Consumption]],9999)</f>
        <v>1003.75</v>
      </c>
      <c r="AC451">
        <f>MAX(1,ROUNDUP(Table1[[#This Row],[Avg_Daily_Consumption]]*Table1[[#This Row],[Lead_Time_Days]]*0.8,0))</f>
        <v>1</v>
      </c>
      <c r="AD451" t="str">
        <f>IF(Table1[[#This Row],[Closing_Stock]]&lt;Table1[[#This Row],[Reorder_Point]],"Stock-out Risk","Adequate")</f>
        <v>Adequate</v>
      </c>
      <c r="AE451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451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451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451" s="11">
        <f>MAX(0,Table1[[#This Row],[Closing_Stock]]-Table1[[#This Row],[Reorder_Point]])</f>
        <v>9.8904109589041092</v>
      </c>
      <c r="AI451" s="11">
        <f>Table1[[#This Row],[Excess_Stock_Units]]*Table1[[#This Row],[Unit_Cost_INR]]</f>
        <v>10780.547945205479</v>
      </c>
      <c r="AJ451" s="11">
        <f>IF(Table1[[#This Row],[Criticality]]="Critical",0,Table1[[#This Row],[Excess_Inventory_Value_INR]])</f>
        <v>10780.547945205479</v>
      </c>
      <c r="AK451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452" spans="1:37" x14ac:dyDescent="0.25">
      <c r="A452" t="s">
        <v>117</v>
      </c>
      <c r="B452" t="s">
        <v>93</v>
      </c>
      <c r="C452" t="s">
        <v>26</v>
      </c>
      <c r="D452" t="s">
        <v>42</v>
      </c>
      <c r="E452" t="s">
        <v>46</v>
      </c>
      <c r="F452">
        <v>13</v>
      </c>
      <c r="G452">
        <v>55</v>
      </c>
      <c r="H452">
        <v>42</v>
      </c>
      <c r="I452">
        <v>26</v>
      </c>
      <c r="J452">
        <v>460</v>
      </c>
      <c r="K452">
        <v>37</v>
      </c>
      <c r="L452">
        <v>0</v>
      </c>
      <c r="M452">
        <v>138</v>
      </c>
      <c r="N452" t="s">
        <v>33</v>
      </c>
      <c r="O452">
        <v>0.28000000000000003</v>
      </c>
      <c r="P452">
        <v>3348.8</v>
      </c>
      <c r="Q452">
        <f>(Table1[[#This Row],[Closing_Stock]]*Table1[[#This Row],[Unit_Cost_INR]])</f>
        <v>11960</v>
      </c>
      <c r="R452">
        <f>(Table1[[#This Row],[Unit_Cost_INR]]*Table1[[#This Row],[Consumption]])</f>
        <v>19320</v>
      </c>
      <c r="S452">
        <f>IFERROR(Table1[[#This Row],[Annual_Consumption_Value_INR]]/Table1[[#This Row],[Inventory_Value_INR]],0)</f>
        <v>1.6153846153846154</v>
      </c>
      <c r="T452">
        <f>IFERROR(365/Table1[[#This Row],[Inventory_Turnover]],0)</f>
        <v>225.95238095238093</v>
      </c>
      <c r="U452" t="str">
        <f>IF(Table1[[#This Row],[Consumption]]=0,"Non-Moving", IF(Table1[[#This Row],[Days_Since_Last_Movement]]&gt;90,"Slow-Moving","Active"))</f>
        <v>Slow-Moving</v>
      </c>
      <c r="V452">
        <f>SUM($Q$2:Q452)</f>
        <v>75386950</v>
      </c>
      <c r="W452">
        <f>Table1[[#This Row],[Cumulative_Inventory_Value]]/$AP$3</f>
        <v>0.99592551037137411</v>
      </c>
      <c r="X452" t="str">
        <f>IF(Table1[[#This Row],[Cumulative_Value_%]]&lt;80%,"A", IF(Table1[[#This Row],[Cumulative_Value_%]]&lt;=95%,"B","C"))</f>
        <v>C</v>
      </c>
      <c r="Y452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452">
        <f>Table1[[#This Row],[Consumption]]/365</f>
        <v>0.11506849315068493</v>
      </c>
      <c r="AA452">
        <f>Table1[[#This Row],[Avg_Daily_Consumption]]*Table1[[#This Row],[Lead_Time_Days]]+Table1[[#This Row],[Safety_Stock]]</f>
        <v>8.257534246575343</v>
      </c>
      <c r="AB452">
        <f>IFERROR(Table1[[#This Row],[Closing_Stock]]/Table1[[#This Row],[Avg_Daily_Consumption]],9999)</f>
        <v>225.95238095238096</v>
      </c>
      <c r="AC452">
        <f>MAX(1,ROUNDUP(Table1[[#This Row],[Avg_Daily_Consumption]]*Table1[[#This Row],[Lead_Time_Days]]*0.8,0))</f>
        <v>4</v>
      </c>
      <c r="AD452" t="str">
        <f>IF(Table1[[#This Row],[Closing_Stock]]&lt;Table1[[#This Row],[Reorder_Point]],"Stock-out Risk","Adequate")</f>
        <v>Adequate</v>
      </c>
      <c r="AE452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452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452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452" s="11">
        <f>MAX(0,Table1[[#This Row],[Closing_Stock]]-Table1[[#This Row],[Reorder_Point]])</f>
        <v>17.742465753424657</v>
      </c>
      <c r="AI452" s="11">
        <f>Table1[[#This Row],[Excess_Stock_Units]]*Table1[[#This Row],[Unit_Cost_INR]]</f>
        <v>8161.534246575342</v>
      </c>
      <c r="AJ452" s="11">
        <f>IF(Table1[[#This Row],[Criticality]]="Critical",0,Table1[[#This Row],[Excess_Inventory_Value_INR]])</f>
        <v>8161.534246575342</v>
      </c>
      <c r="AK452" s="11">
        <f>IF(AND(Table1[[#This Row],[Criticality]]&lt;&gt;"Critical",OR(Table1[[#This Row],[Movement_Class]]="Slow-Moving",Table1[[#This Row],[Movement_Class]]="Non-Moving")),Table1[[#This Row],[Excess_Inventory_Value_INR]],0)</f>
        <v>8161.534246575342</v>
      </c>
    </row>
    <row r="453" spans="1:37" x14ac:dyDescent="0.25">
      <c r="A453" t="s">
        <v>572</v>
      </c>
      <c r="B453" t="s">
        <v>137</v>
      </c>
      <c r="C453" t="s">
        <v>26</v>
      </c>
      <c r="D453" t="s">
        <v>66</v>
      </c>
      <c r="E453" t="s">
        <v>28</v>
      </c>
      <c r="F453">
        <v>15</v>
      </c>
      <c r="G453">
        <v>6</v>
      </c>
      <c r="H453">
        <v>7</v>
      </c>
      <c r="I453">
        <v>14</v>
      </c>
      <c r="J453">
        <v>850</v>
      </c>
      <c r="K453">
        <v>31</v>
      </c>
      <c r="L453">
        <v>0</v>
      </c>
      <c r="M453">
        <v>130</v>
      </c>
      <c r="N453" t="s">
        <v>49</v>
      </c>
      <c r="O453">
        <v>0.246</v>
      </c>
      <c r="P453">
        <v>2927.4</v>
      </c>
      <c r="Q453">
        <f>(Table1[[#This Row],[Closing_Stock]]*Table1[[#This Row],[Unit_Cost_INR]])</f>
        <v>11900</v>
      </c>
      <c r="R453">
        <f>(Table1[[#This Row],[Unit_Cost_INR]]*Table1[[#This Row],[Consumption]])</f>
        <v>5950</v>
      </c>
      <c r="S453">
        <f>IFERROR(Table1[[#This Row],[Annual_Consumption_Value_INR]]/Table1[[#This Row],[Inventory_Value_INR]],0)</f>
        <v>0.5</v>
      </c>
      <c r="T453">
        <f>IFERROR(365/Table1[[#This Row],[Inventory_Turnover]],0)</f>
        <v>730</v>
      </c>
      <c r="U453" t="str">
        <f>IF(Table1[[#This Row],[Consumption]]=0,"Non-Moving", IF(Table1[[#This Row],[Days_Since_Last_Movement]]&gt;90,"Slow-Moving","Active"))</f>
        <v>Slow-Moving</v>
      </c>
      <c r="V453">
        <f>SUM($Q$2:Q453)</f>
        <v>75398850</v>
      </c>
      <c r="W453">
        <f>Table1[[#This Row],[Cumulative_Inventory_Value]]/$AP$3</f>
        <v>0.99608271945827065</v>
      </c>
      <c r="X453" t="str">
        <f>IF(Table1[[#This Row],[Cumulative_Value_%]]&lt;80%,"A", IF(Table1[[#This Row],[Cumulative_Value_%]]&lt;=95%,"B","C"))</f>
        <v>C</v>
      </c>
      <c r="Y453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453">
        <f>Table1[[#This Row],[Consumption]]/365</f>
        <v>1.9178082191780823E-2</v>
      </c>
      <c r="AA453">
        <f>Table1[[#This Row],[Avg_Daily_Consumption]]*Table1[[#This Row],[Lead_Time_Days]]+Table1[[#This Row],[Safety_Stock]]</f>
        <v>1.5945205479452054</v>
      </c>
      <c r="AB453">
        <f>IFERROR(Table1[[#This Row],[Closing_Stock]]/Table1[[#This Row],[Avg_Daily_Consumption]],9999)</f>
        <v>730</v>
      </c>
      <c r="AC453">
        <f>MAX(1,ROUNDUP(Table1[[#This Row],[Avg_Daily_Consumption]]*Table1[[#This Row],[Lead_Time_Days]]*0.8,0))</f>
        <v>1</v>
      </c>
      <c r="AD453" t="str">
        <f>IF(Table1[[#This Row],[Closing_Stock]]&lt;Table1[[#This Row],[Reorder_Point]],"Stock-out Risk","Adequate")</f>
        <v>Adequate</v>
      </c>
      <c r="AE453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453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453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453" s="11">
        <f>MAX(0,Table1[[#This Row],[Closing_Stock]]-Table1[[#This Row],[Reorder_Point]])</f>
        <v>12.405479452054795</v>
      </c>
      <c r="AI453" s="11">
        <f>Table1[[#This Row],[Excess_Stock_Units]]*Table1[[#This Row],[Unit_Cost_INR]]</f>
        <v>10544.657534246577</v>
      </c>
      <c r="AJ453" s="11">
        <f>IF(Table1[[#This Row],[Criticality]]="Critical",0,Table1[[#This Row],[Excess_Inventory_Value_INR]])</f>
        <v>10544.657534246577</v>
      </c>
      <c r="AK453" s="11">
        <f>IF(AND(Table1[[#This Row],[Criticality]]&lt;&gt;"Critical",OR(Table1[[#This Row],[Movement_Class]]="Slow-Moving",Table1[[#This Row],[Movement_Class]]="Non-Moving")),Table1[[#This Row],[Excess_Inventory_Value_INR]],0)</f>
        <v>10544.657534246577</v>
      </c>
    </row>
    <row r="454" spans="1:37" x14ac:dyDescent="0.25">
      <c r="A454" t="s">
        <v>456</v>
      </c>
      <c r="B454" t="s">
        <v>97</v>
      </c>
      <c r="C454" t="s">
        <v>52</v>
      </c>
      <c r="D454" t="s">
        <v>21</v>
      </c>
      <c r="E454" t="s">
        <v>37</v>
      </c>
      <c r="F454">
        <v>10</v>
      </c>
      <c r="G454">
        <v>12</v>
      </c>
      <c r="H454">
        <v>12</v>
      </c>
      <c r="I454">
        <v>10</v>
      </c>
      <c r="J454">
        <v>1170</v>
      </c>
      <c r="K454">
        <v>25</v>
      </c>
      <c r="L454">
        <v>0</v>
      </c>
      <c r="M454">
        <v>66</v>
      </c>
      <c r="N454" t="s">
        <v>23</v>
      </c>
      <c r="O454">
        <v>0.255</v>
      </c>
      <c r="P454">
        <v>2983.5</v>
      </c>
      <c r="Q454">
        <f>(Table1[[#This Row],[Closing_Stock]]*Table1[[#This Row],[Unit_Cost_INR]])</f>
        <v>11700</v>
      </c>
      <c r="R454">
        <f>(Table1[[#This Row],[Unit_Cost_INR]]*Table1[[#This Row],[Consumption]])</f>
        <v>14040</v>
      </c>
      <c r="S454">
        <f>IFERROR(Table1[[#This Row],[Annual_Consumption_Value_INR]]/Table1[[#This Row],[Inventory_Value_INR]],0)</f>
        <v>1.2</v>
      </c>
      <c r="T454">
        <f>IFERROR(365/Table1[[#This Row],[Inventory_Turnover]],0)</f>
        <v>304.16666666666669</v>
      </c>
      <c r="U454" t="str">
        <f>IF(Table1[[#This Row],[Consumption]]=0,"Non-Moving", IF(Table1[[#This Row],[Days_Since_Last_Movement]]&gt;90,"Slow-Moving","Active"))</f>
        <v>Active</v>
      </c>
      <c r="V454">
        <f>SUM($Q$2:Q454)</f>
        <v>75410550</v>
      </c>
      <c r="W454">
        <f>Table1[[#This Row],[Cumulative_Inventory_Value]]/$AP$3</f>
        <v>0.99623728637563957</v>
      </c>
      <c r="X454" t="str">
        <f>IF(Table1[[#This Row],[Cumulative_Value_%]]&lt;80%,"A", IF(Table1[[#This Row],[Cumulative_Value_%]]&lt;=95%,"B","C"))</f>
        <v>C</v>
      </c>
      <c r="Y454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454">
        <f>Table1[[#This Row],[Consumption]]/365</f>
        <v>3.287671232876712E-2</v>
      </c>
      <c r="AA454">
        <f>Table1[[#This Row],[Avg_Daily_Consumption]]*Table1[[#This Row],[Lead_Time_Days]]+Table1[[#This Row],[Safety_Stock]]</f>
        <v>1.821917808219178</v>
      </c>
      <c r="AB454">
        <f>IFERROR(Table1[[#This Row],[Closing_Stock]]/Table1[[#This Row],[Avg_Daily_Consumption]],9999)</f>
        <v>304.16666666666669</v>
      </c>
      <c r="AC454">
        <f>MAX(1,ROUNDUP(Table1[[#This Row],[Avg_Daily_Consumption]]*Table1[[#This Row],[Lead_Time_Days]]*0.8,0))</f>
        <v>1</v>
      </c>
      <c r="AD454" t="str">
        <f>IF(Table1[[#This Row],[Closing_Stock]]&lt;Table1[[#This Row],[Reorder_Point]],"Stock-out Risk","Adequate")</f>
        <v>Adequate</v>
      </c>
      <c r="AE454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454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454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454" s="11">
        <f>MAX(0,Table1[[#This Row],[Closing_Stock]]-Table1[[#This Row],[Reorder_Point]])</f>
        <v>8.1780821917808222</v>
      </c>
      <c r="AI454" s="11">
        <f>Table1[[#This Row],[Excess_Stock_Units]]*Table1[[#This Row],[Unit_Cost_INR]]</f>
        <v>9568.3561643835619</v>
      </c>
      <c r="AJ454" s="11">
        <f>IF(Table1[[#This Row],[Criticality]]="Critical",0,Table1[[#This Row],[Excess_Inventory_Value_INR]])</f>
        <v>0</v>
      </c>
      <c r="AK454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455" spans="1:37" x14ac:dyDescent="0.25">
      <c r="A455" t="s">
        <v>269</v>
      </c>
      <c r="B455" t="s">
        <v>83</v>
      </c>
      <c r="C455" t="s">
        <v>32</v>
      </c>
      <c r="D455" t="s">
        <v>42</v>
      </c>
      <c r="E455" t="s">
        <v>46</v>
      </c>
      <c r="F455">
        <v>6</v>
      </c>
      <c r="G455">
        <v>14</v>
      </c>
      <c r="H455">
        <v>9</v>
      </c>
      <c r="I455">
        <v>11</v>
      </c>
      <c r="J455">
        <v>1030</v>
      </c>
      <c r="K455">
        <v>39</v>
      </c>
      <c r="L455">
        <v>0</v>
      </c>
      <c r="M455">
        <v>131</v>
      </c>
      <c r="N455" t="s">
        <v>81</v>
      </c>
      <c r="O455">
        <v>0.22900000000000001</v>
      </c>
      <c r="P455">
        <v>2594.5700000000002</v>
      </c>
      <c r="Q455">
        <f>(Table1[[#This Row],[Closing_Stock]]*Table1[[#This Row],[Unit_Cost_INR]])</f>
        <v>11330</v>
      </c>
      <c r="R455">
        <f>(Table1[[#This Row],[Unit_Cost_INR]]*Table1[[#This Row],[Consumption]])</f>
        <v>9270</v>
      </c>
      <c r="S455">
        <f>IFERROR(Table1[[#This Row],[Annual_Consumption_Value_INR]]/Table1[[#This Row],[Inventory_Value_INR]],0)</f>
        <v>0.81818181818181823</v>
      </c>
      <c r="T455">
        <f>IFERROR(365/Table1[[#This Row],[Inventory_Turnover]],0)</f>
        <v>446.11111111111109</v>
      </c>
      <c r="U455" t="str">
        <f>IF(Table1[[#This Row],[Consumption]]=0,"Non-Moving", IF(Table1[[#This Row],[Days_Since_Last_Movement]]&gt;90,"Slow-Moving","Active"))</f>
        <v>Slow-Moving</v>
      </c>
      <c r="V455">
        <f>SUM($Q$2:Q455)</f>
        <v>75421880</v>
      </c>
      <c r="W455">
        <f>Table1[[#This Row],[Cumulative_Inventory_Value]]/$AP$3</f>
        <v>0.99638696527938231</v>
      </c>
      <c r="X455" t="str">
        <f>IF(Table1[[#This Row],[Cumulative_Value_%]]&lt;80%,"A", IF(Table1[[#This Row],[Cumulative_Value_%]]&lt;=95%,"B","C"))</f>
        <v>C</v>
      </c>
      <c r="Y455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455">
        <f>Table1[[#This Row],[Consumption]]/365</f>
        <v>2.4657534246575342E-2</v>
      </c>
      <c r="AA455">
        <f>Table1[[#This Row],[Avg_Daily_Consumption]]*Table1[[#This Row],[Lead_Time_Days]]+Table1[[#This Row],[Safety_Stock]]</f>
        <v>1.9616438356164383</v>
      </c>
      <c r="AB455">
        <f>IFERROR(Table1[[#This Row],[Closing_Stock]]/Table1[[#This Row],[Avg_Daily_Consumption]],9999)</f>
        <v>446.11111111111114</v>
      </c>
      <c r="AC455">
        <f>MAX(1,ROUNDUP(Table1[[#This Row],[Avg_Daily_Consumption]]*Table1[[#This Row],[Lead_Time_Days]]*0.8,0))</f>
        <v>1</v>
      </c>
      <c r="AD455" t="str">
        <f>IF(Table1[[#This Row],[Closing_Stock]]&lt;Table1[[#This Row],[Reorder_Point]],"Stock-out Risk","Adequate")</f>
        <v>Adequate</v>
      </c>
      <c r="AE455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455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455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455" s="11">
        <f>MAX(0,Table1[[#This Row],[Closing_Stock]]-Table1[[#This Row],[Reorder_Point]])</f>
        <v>9.0383561643835613</v>
      </c>
      <c r="AI455" s="11">
        <f>Table1[[#This Row],[Excess_Stock_Units]]*Table1[[#This Row],[Unit_Cost_INR]]</f>
        <v>9309.5068493150684</v>
      </c>
      <c r="AJ455" s="11">
        <f>IF(Table1[[#This Row],[Criticality]]="Critical",0,Table1[[#This Row],[Excess_Inventory_Value_INR]])</f>
        <v>9309.5068493150684</v>
      </c>
      <c r="AK455" s="11">
        <f>IF(AND(Table1[[#This Row],[Criticality]]&lt;&gt;"Critical",OR(Table1[[#This Row],[Movement_Class]]="Slow-Moving",Table1[[#This Row],[Movement_Class]]="Non-Moving")),Table1[[#This Row],[Excess_Inventory_Value_INR]],0)</f>
        <v>9309.5068493150684</v>
      </c>
    </row>
    <row r="456" spans="1:37" x14ac:dyDescent="0.25">
      <c r="A456" t="s">
        <v>551</v>
      </c>
      <c r="B456" t="s">
        <v>184</v>
      </c>
      <c r="C456" t="s">
        <v>26</v>
      </c>
      <c r="D456" t="s">
        <v>27</v>
      </c>
      <c r="E456" t="s">
        <v>28</v>
      </c>
      <c r="F456">
        <v>10</v>
      </c>
      <c r="G456">
        <v>14</v>
      </c>
      <c r="H456">
        <v>11</v>
      </c>
      <c r="I456">
        <v>13</v>
      </c>
      <c r="J456">
        <v>860</v>
      </c>
      <c r="K456">
        <v>12</v>
      </c>
      <c r="L456">
        <v>0</v>
      </c>
      <c r="M456">
        <v>25</v>
      </c>
      <c r="N456" t="s">
        <v>61</v>
      </c>
      <c r="O456">
        <v>0.252</v>
      </c>
      <c r="P456">
        <v>2817.36</v>
      </c>
      <c r="Q456">
        <f>(Table1[[#This Row],[Closing_Stock]]*Table1[[#This Row],[Unit_Cost_INR]])</f>
        <v>11180</v>
      </c>
      <c r="R456">
        <f>(Table1[[#This Row],[Unit_Cost_INR]]*Table1[[#This Row],[Consumption]])</f>
        <v>9460</v>
      </c>
      <c r="S456">
        <f>IFERROR(Table1[[#This Row],[Annual_Consumption_Value_INR]]/Table1[[#This Row],[Inventory_Value_INR]],0)</f>
        <v>0.84615384615384615</v>
      </c>
      <c r="T456">
        <f>IFERROR(365/Table1[[#This Row],[Inventory_Turnover]],0)</f>
        <v>431.36363636363637</v>
      </c>
      <c r="U456" t="str">
        <f>IF(Table1[[#This Row],[Consumption]]=0,"Non-Moving", IF(Table1[[#This Row],[Days_Since_Last_Movement]]&gt;90,"Slow-Moving","Active"))</f>
        <v>Active</v>
      </c>
      <c r="V456">
        <f>SUM($Q$2:Q456)</f>
        <v>75433060</v>
      </c>
      <c r="W456">
        <f>Table1[[#This Row],[Cumulative_Inventory_Value]]/$AP$3</f>
        <v>0.99653466255597933</v>
      </c>
      <c r="X456" t="str">
        <f>IF(Table1[[#This Row],[Cumulative_Value_%]]&lt;80%,"A", IF(Table1[[#This Row],[Cumulative_Value_%]]&lt;=95%,"B","C"))</f>
        <v>C</v>
      </c>
      <c r="Y456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456">
        <f>Table1[[#This Row],[Consumption]]/365</f>
        <v>3.0136986301369864E-2</v>
      </c>
      <c r="AA456">
        <f>Table1[[#This Row],[Avg_Daily_Consumption]]*Table1[[#This Row],[Lead_Time_Days]]+Table1[[#This Row],[Safety_Stock]]</f>
        <v>1.3616438356164384</v>
      </c>
      <c r="AB456">
        <f>IFERROR(Table1[[#This Row],[Closing_Stock]]/Table1[[#This Row],[Avg_Daily_Consumption]],9999)</f>
        <v>431.36363636363637</v>
      </c>
      <c r="AC456">
        <f>MAX(1,ROUNDUP(Table1[[#This Row],[Avg_Daily_Consumption]]*Table1[[#This Row],[Lead_Time_Days]]*0.8,0))</f>
        <v>1</v>
      </c>
      <c r="AD456" t="str">
        <f>IF(Table1[[#This Row],[Closing_Stock]]&lt;Table1[[#This Row],[Reorder_Point]],"Stock-out Risk","Adequate")</f>
        <v>Adequate</v>
      </c>
      <c r="AE456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456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456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456" s="11">
        <f>MAX(0,Table1[[#This Row],[Closing_Stock]]-Table1[[#This Row],[Reorder_Point]])</f>
        <v>11.638356164383561</v>
      </c>
      <c r="AI456" s="11">
        <f>Table1[[#This Row],[Excess_Stock_Units]]*Table1[[#This Row],[Unit_Cost_INR]]</f>
        <v>10008.986301369863</v>
      </c>
      <c r="AJ456" s="11">
        <f>IF(Table1[[#This Row],[Criticality]]="Critical",0,Table1[[#This Row],[Excess_Inventory_Value_INR]])</f>
        <v>10008.986301369863</v>
      </c>
      <c r="AK456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457" spans="1:37" x14ac:dyDescent="0.25">
      <c r="A457" t="s">
        <v>345</v>
      </c>
      <c r="B457" t="s">
        <v>63</v>
      </c>
      <c r="C457" t="s">
        <v>52</v>
      </c>
      <c r="D457" t="s">
        <v>60</v>
      </c>
      <c r="E457" t="s">
        <v>28</v>
      </c>
      <c r="F457">
        <v>29</v>
      </c>
      <c r="G457">
        <v>61</v>
      </c>
      <c r="H457">
        <v>61</v>
      </c>
      <c r="I457">
        <v>29</v>
      </c>
      <c r="J457">
        <v>380</v>
      </c>
      <c r="K457">
        <v>42</v>
      </c>
      <c r="L457">
        <v>0</v>
      </c>
      <c r="M457">
        <v>74</v>
      </c>
      <c r="N457" t="s">
        <v>29</v>
      </c>
      <c r="O457">
        <v>0.23899999999999999</v>
      </c>
      <c r="P457">
        <v>2633.78</v>
      </c>
      <c r="Q457">
        <f>(Table1[[#This Row],[Closing_Stock]]*Table1[[#This Row],[Unit_Cost_INR]])</f>
        <v>11020</v>
      </c>
      <c r="R457">
        <f>(Table1[[#This Row],[Unit_Cost_INR]]*Table1[[#This Row],[Consumption]])</f>
        <v>23180</v>
      </c>
      <c r="S457">
        <f>IFERROR(Table1[[#This Row],[Annual_Consumption_Value_INR]]/Table1[[#This Row],[Inventory_Value_INR]],0)</f>
        <v>2.103448275862069</v>
      </c>
      <c r="T457">
        <f>IFERROR(365/Table1[[#This Row],[Inventory_Turnover]],0)</f>
        <v>173.52459016393442</v>
      </c>
      <c r="U457" t="str">
        <f>IF(Table1[[#This Row],[Consumption]]=0,"Non-Moving", IF(Table1[[#This Row],[Days_Since_Last_Movement]]&gt;90,"Slow-Moving","Active"))</f>
        <v>Active</v>
      </c>
      <c r="V457">
        <f>SUM($Q$2:Q457)</f>
        <v>75444080</v>
      </c>
      <c r="W457">
        <f>Table1[[#This Row],[Cumulative_Inventory_Value]]/$AP$3</f>
        <v>0.99668024609695416</v>
      </c>
      <c r="X457" t="str">
        <f>IF(Table1[[#This Row],[Cumulative_Value_%]]&lt;80%,"A", IF(Table1[[#This Row],[Cumulative_Value_%]]&lt;=95%,"B","C"))</f>
        <v>C</v>
      </c>
      <c r="Y457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457">
        <f>Table1[[#This Row],[Consumption]]/365</f>
        <v>0.16712328767123288</v>
      </c>
      <c r="AA457">
        <f>Table1[[#This Row],[Avg_Daily_Consumption]]*Table1[[#This Row],[Lead_Time_Days]]+Table1[[#This Row],[Safety_Stock]]</f>
        <v>13.019178082191782</v>
      </c>
      <c r="AB457">
        <f>IFERROR(Table1[[#This Row],[Closing_Stock]]/Table1[[#This Row],[Avg_Daily_Consumption]],9999)</f>
        <v>173.52459016393442</v>
      </c>
      <c r="AC457">
        <f>MAX(1,ROUNDUP(Table1[[#This Row],[Avg_Daily_Consumption]]*Table1[[#This Row],[Lead_Time_Days]]*0.8,0))</f>
        <v>6</v>
      </c>
      <c r="AD457" t="str">
        <f>IF(Table1[[#This Row],[Closing_Stock]]&lt;Table1[[#This Row],[Reorder_Point]],"Stock-out Risk","Adequate")</f>
        <v>Adequate</v>
      </c>
      <c r="AE457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457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457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457" s="11">
        <f>MAX(0,Table1[[#This Row],[Closing_Stock]]-Table1[[#This Row],[Reorder_Point]])</f>
        <v>15.980821917808218</v>
      </c>
      <c r="AI457" s="11">
        <f>Table1[[#This Row],[Excess_Stock_Units]]*Table1[[#This Row],[Unit_Cost_INR]]</f>
        <v>6072.7123287671229</v>
      </c>
      <c r="AJ457" s="11">
        <f>IF(Table1[[#This Row],[Criticality]]="Critical",0,Table1[[#This Row],[Excess_Inventory_Value_INR]])</f>
        <v>6072.7123287671229</v>
      </c>
      <c r="AK457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458" spans="1:37" x14ac:dyDescent="0.25">
      <c r="A458" t="s">
        <v>171</v>
      </c>
      <c r="B458" t="s">
        <v>40</v>
      </c>
      <c r="C458" t="s">
        <v>41</v>
      </c>
      <c r="D458" t="s">
        <v>66</v>
      </c>
      <c r="E458" t="s">
        <v>22</v>
      </c>
      <c r="F458">
        <v>22</v>
      </c>
      <c r="G458">
        <v>7</v>
      </c>
      <c r="H458">
        <v>6</v>
      </c>
      <c r="I458">
        <v>23</v>
      </c>
      <c r="J458">
        <v>470</v>
      </c>
      <c r="K458">
        <v>22</v>
      </c>
      <c r="L458">
        <v>1</v>
      </c>
      <c r="M458">
        <v>33</v>
      </c>
      <c r="N458" t="s">
        <v>81</v>
      </c>
      <c r="O458">
        <v>0.20399999999999999</v>
      </c>
      <c r="P458">
        <v>2205.2399999999998</v>
      </c>
      <c r="Q458">
        <f>(Table1[[#This Row],[Closing_Stock]]*Table1[[#This Row],[Unit_Cost_INR]])</f>
        <v>10810</v>
      </c>
      <c r="R458">
        <f>(Table1[[#This Row],[Unit_Cost_INR]]*Table1[[#This Row],[Consumption]])</f>
        <v>2820</v>
      </c>
      <c r="S458">
        <f>IFERROR(Table1[[#This Row],[Annual_Consumption_Value_INR]]/Table1[[#This Row],[Inventory_Value_INR]],0)</f>
        <v>0.2608695652173913</v>
      </c>
      <c r="T458">
        <f>IFERROR(365/Table1[[#This Row],[Inventory_Turnover]],0)</f>
        <v>1399.1666666666667</v>
      </c>
      <c r="U458" t="str">
        <f>IF(Table1[[#This Row],[Consumption]]=0,"Non-Moving", IF(Table1[[#This Row],[Days_Since_Last_Movement]]&gt;90,"Slow-Moving","Active"))</f>
        <v>Active</v>
      </c>
      <c r="V458">
        <f>SUM($Q$2:Q458)</f>
        <v>75454890</v>
      </c>
      <c r="W458">
        <f>Table1[[#This Row],[Cumulative_Inventory_Value]]/$AP$3</f>
        <v>0.99682305535992488</v>
      </c>
      <c r="X458" t="str">
        <f>IF(Table1[[#This Row],[Cumulative_Value_%]]&lt;80%,"A", IF(Table1[[#This Row],[Cumulative_Value_%]]&lt;=95%,"B","C"))</f>
        <v>C</v>
      </c>
      <c r="Y458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458">
        <f>Table1[[#This Row],[Consumption]]/365</f>
        <v>1.643835616438356E-2</v>
      </c>
      <c r="AA458">
        <f>Table1[[#This Row],[Avg_Daily_Consumption]]*Table1[[#This Row],[Lead_Time_Days]]+Table1[[#This Row],[Safety_Stock]]</f>
        <v>1.3616438356164382</v>
      </c>
      <c r="AB458">
        <f>IFERROR(Table1[[#This Row],[Closing_Stock]]/Table1[[#This Row],[Avg_Daily_Consumption]],9999)</f>
        <v>1399.1666666666667</v>
      </c>
      <c r="AC458">
        <f>MAX(1,ROUNDUP(Table1[[#This Row],[Avg_Daily_Consumption]]*Table1[[#This Row],[Lead_Time_Days]]*0.8,0))</f>
        <v>1</v>
      </c>
      <c r="AD458" t="str">
        <f>IF(Table1[[#This Row],[Closing_Stock]]&lt;Table1[[#This Row],[Reorder_Point]],"Stock-out Risk","Adequate")</f>
        <v>Adequate</v>
      </c>
      <c r="AE458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458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458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458" s="11">
        <f>MAX(0,Table1[[#This Row],[Closing_Stock]]-Table1[[#This Row],[Reorder_Point]])</f>
        <v>21.638356164383563</v>
      </c>
      <c r="AI458" s="11">
        <f>Table1[[#This Row],[Excess_Stock_Units]]*Table1[[#This Row],[Unit_Cost_INR]]</f>
        <v>10170.027397260274</v>
      </c>
      <c r="AJ458" s="11">
        <f>IF(Table1[[#This Row],[Criticality]]="Critical",0,Table1[[#This Row],[Excess_Inventory_Value_INR]])</f>
        <v>10170.027397260274</v>
      </c>
      <c r="AK458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459" spans="1:37" x14ac:dyDescent="0.25">
      <c r="A459" t="s">
        <v>317</v>
      </c>
      <c r="B459" t="s">
        <v>40</v>
      </c>
      <c r="C459" t="s">
        <v>41</v>
      </c>
      <c r="D459" t="s">
        <v>66</v>
      </c>
      <c r="E459" t="s">
        <v>22</v>
      </c>
      <c r="F459">
        <v>7</v>
      </c>
      <c r="G459">
        <v>7</v>
      </c>
      <c r="H459">
        <v>8</v>
      </c>
      <c r="I459">
        <v>6</v>
      </c>
      <c r="J459">
        <v>1760</v>
      </c>
      <c r="K459">
        <v>17</v>
      </c>
      <c r="L459">
        <v>0</v>
      </c>
      <c r="M459">
        <v>70</v>
      </c>
      <c r="N459" t="s">
        <v>58</v>
      </c>
      <c r="O459">
        <v>0.22900000000000001</v>
      </c>
      <c r="P459">
        <v>2418.2399999999998</v>
      </c>
      <c r="Q459">
        <f>(Table1[[#This Row],[Closing_Stock]]*Table1[[#This Row],[Unit_Cost_INR]])</f>
        <v>10560</v>
      </c>
      <c r="R459">
        <f>(Table1[[#This Row],[Unit_Cost_INR]]*Table1[[#This Row],[Consumption]])</f>
        <v>14080</v>
      </c>
      <c r="S459">
        <f>IFERROR(Table1[[#This Row],[Annual_Consumption_Value_INR]]/Table1[[#This Row],[Inventory_Value_INR]],0)</f>
        <v>1.3333333333333333</v>
      </c>
      <c r="T459">
        <f>IFERROR(365/Table1[[#This Row],[Inventory_Turnover]],0)</f>
        <v>273.75</v>
      </c>
      <c r="U459" t="str">
        <f>IF(Table1[[#This Row],[Consumption]]=0,"Non-Moving", IF(Table1[[#This Row],[Days_Since_Last_Movement]]&gt;90,"Slow-Moving","Active"))</f>
        <v>Active</v>
      </c>
      <c r="V459">
        <f>SUM($Q$2:Q459)</f>
        <v>75465450</v>
      </c>
      <c r="W459">
        <f>Table1[[#This Row],[Cumulative_Inventory_Value]]/$AP$3</f>
        <v>0.99696256191098609</v>
      </c>
      <c r="X459" t="str">
        <f>IF(Table1[[#This Row],[Cumulative_Value_%]]&lt;80%,"A", IF(Table1[[#This Row],[Cumulative_Value_%]]&lt;=95%,"B","C"))</f>
        <v>C</v>
      </c>
      <c r="Y459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459">
        <f>Table1[[#This Row],[Consumption]]/365</f>
        <v>2.1917808219178082E-2</v>
      </c>
      <c r="AA459">
        <f>Table1[[#This Row],[Avg_Daily_Consumption]]*Table1[[#This Row],[Lead_Time_Days]]+Table1[[#This Row],[Safety_Stock]]</f>
        <v>1.3726027397260274</v>
      </c>
      <c r="AB459">
        <f>IFERROR(Table1[[#This Row],[Closing_Stock]]/Table1[[#This Row],[Avg_Daily_Consumption]],9999)</f>
        <v>273.75</v>
      </c>
      <c r="AC459">
        <f>MAX(1,ROUNDUP(Table1[[#This Row],[Avg_Daily_Consumption]]*Table1[[#This Row],[Lead_Time_Days]]*0.8,0))</f>
        <v>1</v>
      </c>
      <c r="AD459" t="str">
        <f>IF(Table1[[#This Row],[Closing_Stock]]&lt;Table1[[#This Row],[Reorder_Point]],"Stock-out Risk","Adequate")</f>
        <v>Adequate</v>
      </c>
      <c r="AE459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459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459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459" s="11">
        <f>MAX(0,Table1[[#This Row],[Closing_Stock]]-Table1[[#This Row],[Reorder_Point]])</f>
        <v>4.6273972602739724</v>
      </c>
      <c r="AI459" s="11">
        <f>Table1[[#This Row],[Excess_Stock_Units]]*Table1[[#This Row],[Unit_Cost_INR]]</f>
        <v>8144.2191780821913</v>
      </c>
      <c r="AJ459" s="11">
        <f>IF(Table1[[#This Row],[Criticality]]="Critical",0,Table1[[#This Row],[Excess_Inventory_Value_INR]])</f>
        <v>8144.2191780821913</v>
      </c>
      <c r="AK459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460" spans="1:37" x14ac:dyDescent="0.25">
      <c r="A460" t="s">
        <v>331</v>
      </c>
      <c r="B460" t="s">
        <v>54</v>
      </c>
      <c r="C460" t="s">
        <v>36</v>
      </c>
      <c r="D460" t="s">
        <v>21</v>
      </c>
      <c r="E460" t="s">
        <v>28</v>
      </c>
      <c r="F460">
        <v>5</v>
      </c>
      <c r="G460">
        <v>7</v>
      </c>
      <c r="H460">
        <v>5</v>
      </c>
      <c r="I460">
        <v>7</v>
      </c>
      <c r="J460">
        <v>1440</v>
      </c>
      <c r="K460">
        <v>9</v>
      </c>
      <c r="L460">
        <v>0</v>
      </c>
      <c r="M460">
        <v>47</v>
      </c>
      <c r="N460" t="s">
        <v>23</v>
      </c>
      <c r="O460">
        <v>0.27100000000000002</v>
      </c>
      <c r="P460">
        <v>2731.68</v>
      </c>
      <c r="Q460">
        <f>(Table1[[#This Row],[Closing_Stock]]*Table1[[#This Row],[Unit_Cost_INR]])</f>
        <v>10080</v>
      </c>
      <c r="R460">
        <f>(Table1[[#This Row],[Unit_Cost_INR]]*Table1[[#This Row],[Consumption]])</f>
        <v>7200</v>
      </c>
      <c r="S460">
        <f>IFERROR(Table1[[#This Row],[Annual_Consumption_Value_INR]]/Table1[[#This Row],[Inventory_Value_INR]],0)</f>
        <v>0.7142857142857143</v>
      </c>
      <c r="T460">
        <f>IFERROR(365/Table1[[#This Row],[Inventory_Turnover]],0)</f>
        <v>511</v>
      </c>
      <c r="U460" t="str">
        <f>IF(Table1[[#This Row],[Consumption]]=0,"Non-Moving", IF(Table1[[#This Row],[Days_Since_Last_Movement]]&gt;90,"Slow-Moving","Active"))</f>
        <v>Active</v>
      </c>
      <c r="V460">
        <f>SUM($Q$2:Q460)</f>
        <v>75475530</v>
      </c>
      <c r="W460">
        <f>Table1[[#This Row],[Cumulative_Inventory_Value]]/$AP$3</f>
        <v>0.99709572725518092</v>
      </c>
      <c r="X460" t="str">
        <f>IF(Table1[[#This Row],[Cumulative_Value_%]]&lt;80%,"A", IF(Table1[[#This Row],[Cumulative_Value_%]]&lt;=95%,"B","C"))</f>
        <v>C</v>
      </c>
      <c r="Y460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460">
        <f>Table1[[#This Row],[Consumption]]/365</f>
        <v>1.3698630136986301E-2</v>
      </c>
      <c r="AA460">
        <f>Table1[[#This Row],[Avg_Daily_Consumption]]*Table1[[#This Row],[Lead_Time_Days]]+Table1[[#This Row],[Safety_Stock]]</f>
        <v>1.1232876712328768</v>
      </c>
      <c r="AB460">
        <f>IFERROR(Table1[[#This Row],[Closing_Stock]]/Table1[[#This Row],[Avg_Daily_Consumption]],9999)</f>
        <v>511</v>
      </c>
      <c r="AC460">
        <f>MAX(1,ROUNDUP(Table1[[#This Row],[Avg_Daily_Consumption]]*Table1[[#This Row],[Lead_Time_Days]]*0.8,0))</f>
        <v>1</v>
      </c>
      <c r="AD460" t="str">
        <f>IF(Table1[[#This Row],[Closing_Stock]]&lt;Table1[[#This Row],[Reorder_Point]],"Stock-out Risk","Adequate")</f>
        <v>Adequate</v>
      </c>
      <c r="AE460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460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460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460" s="11">
        <f>MAX(0,Table1[[#This Row],[Closing_Stock]]-Table1[[#This Row],[Reorder_Point]])</f>
        <v>5.8767123287671232</v>
      </c>
      <c r="AI460" s="11">
        <f>Table1[[#This Row],[Excess_Stock_Units]]*Table1[[#This Row],[Unit_Cost_INR]]</f>
        <v>8462.465753424658</v>
      </c>
      <c r="AJ460" s="11">
        <f>IF(Table1[[#This Row],[Criticality]]="Critical",0,Table1[[#This Row],[Excess_Inventory_Value_INR]])</f>
        <v>8462.465753424658</v>
      </c>
      <c r="AK460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461" spans="1:37" x14ac:dyDescent="0.25">
      <c r="A461" t="s">
        <v>470</v>
      </c>
      <c r="B461" t="s">
        <v>19</v>
      </c>
      <c r="C461" t="s">
        <v>20</v>
      </c>
      <c r="D461" t="s">
        <v>27</v>
      </c>
      <c r="E461" t="s">
        <v>28</v>
      </c>
      <c r="F461">
        <v>20</v>
      </c>
      <c r="G461">
        <v>16</v>
      </c>
      <c r="H461">
        <v>15</v>
      </c>
      <c r="I461">
        <v>21</v>
      </c>
      <c r="J461">
        <v>470</v>
      </c>
      <c r="K461">
        <v>9</v>
      </c>
      <c r="L461">
        <v>0</v>
      </c>
      <c r="M461">
        <v>18</v>
      </c>
      <c r="N461" t="s">
        <v>49</v>
      </c>
      <c r="O461">
        <v>0.16700000000000001</v>
      </c>
      <c r="P461">
        <v>1648.29</v>
      </c>
      <c r="Q461">
        <f>(Table1[[#This Row],[Closing_Stock]]*Table1[[#This Row],[Unit_Cost_INR]])</f>
        <v>9870</v>
      </c>
      <c r="R461">
        <f>(Table1[[#This Row],[Unit_Cost_INR]]*Table1[[#This Row],[Consumption]])</f>
        <v>7050</v>
      </c>
      <c r="S461">
        <f>IFERROR(Table1[[#This Row],[Annual_Consumption_Value_INR]]/Table1[[#This Row],[Inventory_Value_INR]],0)</f>
        <v>0.7142857142857143</v>
      </c>
      <c r="T461">
        <f>IFERROR(365/Table1[[#This Row],[Inventory_Turnover]],0)</f>
        <v>511</v>
      </c>
      <c r="U461" t="str">
        <f>IF(Table1[[#This Row],[Consumption]]=0,"Non-Moving", IF(Table1[[#This Row],[Days_Since_Last_Movement]]&gt;90,"Slow-Moving","Active"))</f>
        <v>Active</v>
      </c>
      <c r="V461">
        <f>SUM($Q$2:Q461)</f>
        <v>75485400</v>
      </c>
      <c r="W461">
        <f>Table1[[#This Row],[Cumulative_Inventory_Value]]/$AP$3</f>
        <v>0.99722611832137154</v>
      </c>
      <c r="X461" t="str">
        <f>IF(Table1[[#This Row],[Cumulative_Value_%]]&lt;80%,"A", IF(Table1[[#This Row],[Cumulative_Value_%]]&lt;=95%,"B","C"))</f>
        <v>C</v>
      </c>
      <c r="Y461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461">
        <f>Table1[[#This Row],[Consumption]]/365</f>
        <v>4.1095890410958902E-2</v>
      </c>
      <c r="AA461">
        <f>Table1[[#This Row],[Avg_Daily_Consumption]]*Table1[[#This Row],[Lead_Time_Days]]+Table1[[#This Row],[Safety_Stock]]</f>
        <v>1.3698630136986301</v>
      </c>
      <c r="AB461">
        <f>IFERROR(Table1[[#This Row],[Closing_Stock]]/Table1[[#This Row],[Avg_Daily_Consumption]],9999)</f>
        <v>511</v>
      </c>
      <c r="AC461">
        <f>MAX(1,ROUNDUP(Table1[[#This Row],[Avg_Daily_Consumption]]*Table1[[#This Row],[Lead_Time_Days]]*0.8,0))</f>
        <v>1</v>
      </c>
      <c r="AD461" t="str">
        <f>IF(Table1[[#This Row],[Closing_Stock]]&lt;Table1[[#This Row],[Reorder_Point]],"Stock-out Risk","Adequate")</f>
        <v>Adequate</v>
      </c>
      <c r="AE461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461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461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461" s="11">
        <f>MAX(0,Table1[[#This Row],[Closing_Stock]]-Table1[[#This Row],[Reorder_Point]])</f>
        <v>19.63013698630137</v>
      </c>
      <c r="AI461" s="11">
        <f>Table1[[#This Row],[Excess_Stock_Units]]*Table1[[#This Row],[Unit_Cost_INR]]</f>
        <v>9226.1643835616433</v>
      </c>
      <c r="AJ461" s="11">
        <f>IF(Table1[[#This Row],[Criticality]]="Critical",0,Table1[[#This Row],[Excess_Inventory_Value_INR]])</f>
        <v>9226.1643835616433</v>
      </c>
      <c r="AK461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462" spans="1:37" x14ac:dyDescent="0.25">
      <c r="A462" t="s">
        <v>489</v>
      </c>
      <c r="B462" t="s">
        <v>40</v>
      </c>
      <c r="C462" t="s">
        <v>41</v>
      </c>
      <c r="D462" t="s">
        <v>42</v>
      </c>
      <c r="E462" t="s">
        <v>22</v>
      </c>
      <c r="F462">
        <v>12</v>
      </c>
      <c r="G462">
        <v>37</v>
      </c>
      <c r="H462">
        <v>0</v>
      </c>
      <c r="I462">
        <v>47</v>
      </c>
      <c r="J462">
        <v>210</v>
      </c>
      <c r="K462">
        <v>36</v>
      </c>
      <c r="L462">
        <v>1</v>
      </c>
      <c r="M462">
        <v>436</v>
      </c>
      <c r="N462" t="s">
        <v>49</v>
      </c>
      <c r="O462">
        <v>0.19</v>
      </c>
      <c r="P462">
        <v>1875.3</v>
      </c>
      <c r="Q462">
        <f>(Table1[[#This Row],[Closing_Stock]]*Table1[[#This Row],[Unit_Cost_INR]])</f>
        <v>9870</v>
      </c>
      <c r="R462">
        <f>(Table1[[#This Row],[Unit_Cost_INR]]*Table1[[#This Row],[Consumption]])</f>
        <v>0</v>
      </c>
      <c r="S462">
        <f>IFERROR(Table1[[#This Row],[Annual_Consumption_Value_INR]]/Table1[[#This Row],[Inventory_Value_INR]],0)</f>
        <v>0</v>
      </c>
      <c r="T462">
        <f>IFERROR(365/Table1[[#This Row],[Inventory_Turnover]],0)</f>
        <v>0</v>
      </c>
      <c r="U462" t="str">
        <f>IF(Table1[[#This Row],[Consumption]]=0,"Non-Moving", IF(Table1[[#This Row],[Days_Since_Last_Movement]]&gt;90,"Slow-Moving","Active"))</f>
        <v>Non-Moving</v>
      </c>
      <c r="V462">
        <f>SUM($Q$2:Q462)</f>
        <v>75495270</v>
      </c>
      <c r="W462">
        <f>Table1[[#This Row],[Cumulative_Inventory_Value]]/$AP$3</f>
        <v>0.99735650938756226</v>
      </c>
      <c r="X462" t="str">
        <f>IF(Table1[[#This Row],[Cumulative_Value_%]]&lt;80%,"A", IF(Table1[[#This Row],[Cumulative_Value_%]]&lt;=95%,"B","C"))</f>
        <v>C</v>
      </c>
      <c r="Y462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Review</v>
      </c>
      <c r="Z462">
        <f>Table1[[#This Row],[Consumption]]/365</f>
        <v>0</v>
      </c>
      <c r="AA462">
        <f>Table1[[#This Row],[Avg_Daily_Consumption]]*Table1[[#This Row],[Lead_Time_Days]]+Table1[[#This Row],[Safety_Stock]]</f>
        <v>1</v>
      </c>
      <c r="AB462">
        <f>IFERROR(Table1[[#This Row],[Closing_Stock]]/Table1[[#This Row],[Avg_Daily_Consumption]],9999)</f>
        <v>9999</v>
      </c>
      <c r="AC462">
        <f>MAX(1,ROUNDUP(Table1[[#This Row],[Avg_Daily_Consumption]]*Table1[[#This Row],[Lead_Time_Days]]*0.8,0))</f>
        <v>1</v>
      </c>
      <c r="AD462" t="str">
        <f>IF(Table1[[#This Row],[Closing_Stock]]&lt;Table1[[#This Row],[Reorder_Point]],"Stock-out Risk","Adequate")</f>
        <v>Adequate</v>
      </c>
      <c r="AE462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462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 for Disposal/De-procurement</v>
      </c>
      <c r="AG462">
        <f>IF(Table1[[#This Row],[Action_Recommendation]]="Review for Disposal/De-procurement",Table1[[#This Row],[Inventory_Value_INR]]*70%,IF(Table1[[#This Row],[Action_Recommendation]]="Review Safety Stock",Table1[[#This Row],[Inventory_Value_INR]]*20%,0))</f>
        <v>6909</v>
      </c>
      <c r="AH462" s="11">
        <f>MAX(0,Table1[[#This Row],[Closing_Stock]]-Table1[[#This Row],[Reorder_Point]])</f>
        <v>46</v>
      </c>
      <c r="AI462" s="11">
        <f>Table1[[#This Row],[Excess_Stock_Units]]*Table1[[#This Row],[Unit_Cost_INR]]</f>
        <v>9660</v>
      </c>
      <c r="AJ462" s="11">
        <f>IF(Table1[[#This Row],[Criticality]]="Critical",0,Table1[[#This Row],[Excess_Inventory_Value_INR]])</f>
        <v>9660</v>
      </c>
      <c r="AK462" s="11">
        <f>IF(AND(Table1[[#This Row],[Criticality]]&lt;&gt;"Critical",OR(Table1[[#This Row],[Movement_Class]]="Slow-Moving",Table1[[#This Row],[Movement_Class]]="Non-Moving")),Table1[[#This Row],[Excess_Inventory_Value_INR]],0)</f>
        <v>9660</v>
      </c>
    </row>
    <row r="463" spans="1:37" x14ac:dyDescent="0.25">
      <c r="A463" t="s">
        <v>201</v>
      </c>
      <c r="B463" t="s">
        <v>71</v>
      </c>
      <c r="C463" t="s">
        <v>20</v>
      </c>
      <c r="D463" t="s">
        <v>21</v>
      </c>
      <c r="E463" t="s">
        <v>46</v>
      </c>
      <c r="F463">
        <v>36</v>
      </c>
      <c r="G463">
        <v>34</v>
      </c>
      <c r="H463">
        <v>32</v>
      </c>
      <c r="I463">
        <v>38</v>
      </c>
      <c r="J463">
        <v>250</v>
      </c>
      <c r="K463">
        <v>14</v>
      </c>
      <c r="L463">
        <v>0</v>
      </c>
      <c r="M463">
        <v>11</v>
      </c>
      <c r="N463" t="s">
        <v>33</v>
      </c>
      <c r="O463">
        <v>0.215</v>
      </c>
      <c r="P463">
        <v>2042.5</v>
      </c>
      <c r="Q463">
        <f>(Table1[[#This Row],[Closing_Stock]]*Table1[[#This Row],[Unit_Cost_INR]])</f>
        <v>9500</v>
      </c>
      <c r="R463">
        <f>(Table1[[#This Row],[Unit_Cost_INR]]*Table1[[#This Row],[Consumption]])</f>
        <v>8000</v>
      </c>
      <c r="S463">
        <f>IFERROR(Table1[[#This Row],[Annual_Consumption_Value_INR]]/Table1[[#This Row],[Inventory_Value_INR]],0)</f>
        <v>0.84210526315789469</v>
      </c>
      <c r="T463">
        <f>IFERROR(365/Table1[[#This Row],[Inventory_Turnover]],0)</f>
        <v>433.4375</v>
      </c>
      <c r="U463" t="str">
        <f>IF(Table1[[#This Row],[Consumption]]=0,"Non-Moving", IF(Table1[[#This Row],[Days_Since_Last_Movement]]&gt;90,"Slow-Moving","Active"))</f>
        <v>Active</v>
      </c>
      <c r="V463">
        <f>SUM($Q$2:Q463)</f>
        <v>75504770</v>
      </c>
      <c r="W463">
        <f>Table1[[#This Row],[Cumulative_Inventory_Value]]/$AP$3</f>
        <v>0.9974820124401268</v>
      </c>
      <c r="X463" t="str">
        <f>IF(Table1[[#This Row],[Cumulative_Value_%]]&lt;80%,"A", IF(Table1[[#This Row],[Cumulative_Value_%]]&lt;=95%,"B","C"))</f>
        <v>C</v>
      </c>
      <c r="Y463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463">
        <f>Table1[[#This Row],[Consumption]]/365</f>
        <v>8.7671232876712329E-2</v>
      </c>
      <c r="AA463">
        <f>Table1[[#This Row],[Avg_Daily_Consumption]]*Table1[[#This Row],[Lead_Time_Days]]+Table1[[#This Row],[Safety_Stock]]</f>
        <v>2.2273972602739729</v>
      </c>
      <c r="AB463">
        <f>IFERROR(Table1[[#This Row],[Closing_Stock]]/Table1[[#This Row],[Avg_Daily_Consumption]],9999)</f>
        <v>433.4375</v>
      </c>
      <c r="AC463">
        <f>MAX(1,ROUNDUP(Table1[[#This Row],[Avg_Daily_Consumption]]*Table1[[#This Row],[Lead_Time_Days]]*0.8,0))</f>
        <v>1</v>
      </c>
      <c r="AD463" t="str">
        <f>IF(Table1[[#This Row],[Closing_Stock]]&lt;Table1[[#This Row],[Reorder_Point]],"Stock-out Risk","Adequate")</f>
        <v>Adequate</v>
      </c>
      <c r="AE463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463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463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463" s="11">
        <f>MAX(0,Table1[[#This Row],[Closing_Stock]]-Table1[[#This Row],[Reorder_Point]])</f>
        <v>35.772602739726025</v>
      </c>
      <c r="AI463" s="11">
        <f>Table1[[#This Row],[Excess_Stock_Units]]*Table1[[#This Row],[Unit_Cost_INR]]</f>
        <v>8943.1506849315065</v>
      </c>
      <c r="AJ463" s="11">
        <f>IF(Table1[[#This Row],[Criticality]]="Critical",0,Table1[[#This Row],[Excess_Inventory_Value_INR]])</f>
        <v>8943.1506849315065</v>
      </c>
      <c r="AK463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464" spans="1:37" x14ac:dyDescent="0.25">
      <c r="A464" t="s">
        <v>381</v>
      </c>
      <c r="B464" t="s">
        <v>51</v>
      </c>
      <c r="C464" t="s">
        <v>52</v>
      </c>
      <c r="D464" t="s">
        <v>60</v>
      </c>
      <c r="E464" t="s">
        <v>28</v>
      </c>
      <c r="F464">
        <v>7</v>
      </c>
      <c r="G464">
        <v>8</v>
      </c>
      <c r="H464">
        <v>7</v>
      </c>
      <c r="I464">
        <v>8</v>
      </c>
      <c r="J464">
        <v>1120</v>
      </c>
      <c r="K464">
        <v>11</v>
      </c>
      <c r="L464">
        <v>0</v>
      </c>
      <c r="M464">
        <v>97</v>
      </c>
      <c r="N464" t="s">
        <v>38</v>
      </c>
      <c r="O464">
        <v>0.248</v>
      </c>
      <c r="P464">
        <v>2222.08</v>
      </c>
      <c r="Q464">
        <f>(Table1[[#This Row],[Closing_Stock]]*Table1[[#This Row],[Unit_Cost_INR]])</f>
        <v>8960</v>
      </c>
      <c r="R464">
        <f>(Table1[[#This Row],[Unit_Cost_INR]]*Table1[[#This Row],[Consumption]])</f>
        <v>7840</v>
      </c>
      <c r="S464">
        <f>IFERROR(Table1[[#This Row],[Annual_Consumption_Value_INR]]/Table1[[#This Row],[Inventory_Value_INR]],0)</f>
        <v>0.875</v>
      </c>
      <c r="T464">
        <f>IFERROR(365/Table1[[#This Row],[Inventory_Turnover]],0)</f>
        <v>417.14285714285717</v>
      </c>
      <c r="U464" t="str">
        <f>IF(Table1[[#This Row],[Consumption]]=0,"Non-Moving", IF(Table1[[#This Row],[Days_Since_Last_Movement]]&gt;90,"Slow-Moving","Active"))</f>
        <v>Slow-Moving</v>
      </c>
      <c r="V464">
        <f>SUM($Q$2:Q464)</f>
        <v>75513730</v>
      </c>
      <c r="W464">
        <f>Table1[[#This Row],[Cumulative_Inventory_Value]]/$AP$3</f>
        <v>0.99760038163496656</v>
      </c>
      <c r="X464" t="str">
        <f>IF(Table1[[#This Row],[Cumulative_Value_%]]&lt;80%,"A", IF(Table1[[#This Row],[Cumulative_Value_%]]&lt;=95%,"B","C"))</f>
        <v>C</v>
      </c>
      <c r="Y464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464">
        <f>Table1[[#This Row],[Consumption]]/365</f>
        <v>1.9178082191780823E-2</v>
      </c>
      <c r="AA464">
        <f>Table1[[#This Row],[Avg_Daily_Consumption]]*Table1[[#This Row],[Lead_Time_Days]]+Table1[[#This Row],[Safety_Stock]]</f>
        <v>1.2109589041095892</v>
      </c>
      <c r="AB464">
        <f>IFERROR(Table1[[#This Row],[Closing_Stock]]/Table1[[#This Row],[Avg_Daily_Consumption]],9999)</f>
        <v>417.14285714285711</v>
      </c>
      <c r="AC464">
        <f>MAX(1,ROUNDUP(Table1[[#This Row],[Avg_Daily_Consumption]]*Table1[[#This Row],[Lead_Time_Days]]*0.8,0))</f>
        <v>1</v>
      </c>
      <c r="AD464" t="str">
        <f>IF(Table1[[#This Row],[Closing_Stock]]&lt;Table1[[#This Row],[Reorder_Point]],"Stock-out Risk","Adequate")</f>
        <v>Adequate</v>
      </c>
      <c r="AE464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464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464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464" s="11">
        <f>MAX(0,Table1[[#This Row],[Closing_Stock]]-Table1[[#This Row],[Reorder_Point]])</f>
        <v>6.7890410958904113</v>
      </c>
      <c r="AI464" s="11">
        <f>Table1[[#This Row],[Excess_Stock_Units]]*Table1[[#This Row],[Unit_Cost_INR]]</f>
        <v>7603.7260273972606</v>
      </c>
      <c r="AJ464" s="11">
        <f>IF(Table1[[#This Row],[Criticality]]="Critical",0,Table1[[#This Row],[Excess_Inventory_Value_INR]])</f>
        <v>7603.7260273972606</v>
      </c>
      <c r="AK464" s="11">
        <f>IF(AND(Table1[[#This Row],[Criticality]]&lt;&gt;"Critical",OR(Table1[[#This Row],[Movement_Class]]="Slow-Moving",Table1[[#This Row],[Movement_Class]]="Non-Moving")),Table1[[#This Row],[Excess_Inventory_Value_INR]],0)</f>
        <v>7603.7260273972606</v>
      </c>
    </row>
    <row r="465" spans="1:37" x14ac:dyDescent="0.25">
      <c r="A465" t="s">
        <v>312</v>
      </c>
      <c r="B465" t="s">
        <v>73</v>
      </c>
      <c r="C465" t="s">
        <v>41</v>
      </c>
      <c r="D465" t="s">
        <v>27</v>
      </c>
      <c r="E465" t="s">
        <v>37</v>
      </c>
      <c r="F465">
        <v>25</v>
      </c>
      <c r="G465">
        <v>12</v>
      </c>
      <c r="H465">
        <v>14</v>
      </c>
      <c r="I465">
        <v>23</v>
      </c>
      <c r="J465">
        <v>370</v>
      </c>
      <c r="K465">
        <v>58</v>
      </c>
      <c r="L465">
        <v>0</v>
      </c>
      <c r="M465">
        <v>106</v>
      </c>
      <c r="N465" t="s">
        <v>49</v>
      </c>
      <c r="O465">
        <v>0.19500000000000001</v>
      </c>
      <c r="P465">
        <v>1659.45</v>
      </c>
      <c r="Q465">
        <f>(Table1[[#This Row],[Closing_Stock]]*Table1[[#This Row],[Unit_Cost_INR]])</f>
        <v>8510</v>
      </c>
      <c r="R465">
        <f>(Table1[[#This Row],[Unit_Cost_INR]]*Table1[[#This Row],[Consumption]])</f>
        <v>5180</v>
      </c>
      <c r="S465">
        <f>IFERROR(Table1[[#This Row],[Annual_Consumption_Value_INR]]/Table1[[#This Row],[Inventory_Value_INR]],0)</f>
        <v>0.60869565217391308</v>
      </c>
      <c r="T465">
        <f>IFERROR(365/Table1[[#This Row],[Inventory_Turnover]],0)</f>
        <v>599.64285714285711</v>
      </c>
      <c r="U465" t="str">
        <f>IF(Table1[[#This Row],[Consumption]]=0,"Non-Moving", IF(Table1[[#This Row],[Days_Since_Last_Movement]]&gt;90,"Slow-Moving","Active"))</f>
        <v>Slow-Moving</v>
      </c>
      <c r="V465">
        <f>SUM($Q$2:Q465)</f>
        <v>75522240</v>
      </c>
      <c r="W465">
        <f>Table1[[#This Row],[Cumulative_Inventory_Value]]/$AP$3</f>
        <v>0.99771280594836909</v>
      </c>
      <c r="X465" t="str">
        <f>IF(Table1[[#This Row],[Cumulative_Value_%]]&lt;80%,"A", IF(Table1[[#This Row],[Cumulative_Value_%]]&lt;=95%,"B","C"))</f>
        <v>C</v>
      </c>
      <c r="Y465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465">
        <f>Table1[[#This Row],[Consumption]]/365</f>
        <v>3.8356164383561646E-2</v>
      </c>
      <c r="AA465">
        <f>Table1[[#This Row],[Avg_Daily_Consumption]]*Table1[[#This Row],[Lead_Time_Days]]+Table1[[#This Row],[Safety_Stock]]</f>
        <v>4.2246575342465755</v>
      </c>
      <c r="AB465">
        <f>IFERROR(Table1[[#This Row],[Closing_Stock]]/Table1[[#This Row],[Avg_Daily_Consumption]],9999)</f>
        <v>599.64285714285711</v>
      </c>
      <c r="AC465">
        <f>MAX(1,ROUNDUP(Table1[[#This Row],[Avg_Daily_Consumption]]*Table1[[#This Row],[Lead_Time_Days]]*0.8,0))</f>
        <v>2</v>
      </c>
      <c r="AD465" t="str">
        <f>IF(Table1[[#This Row],[Closing_Stock]]&lt;Table1[[#This Row],[Reorder_Point]],"Stock-out Risk","Adequate")</f>
        <v>Adequate</v>
      </c>
      <c r="AE465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465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465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465" s="11">
        <f>MAX(0,Table1[[#This Row],[Closing_Stock]]-Table1[[#This Row],[Reorder_Point]])</f>
        <v>18.775342465753425</v>
      </c>
      <c r="AI465" s="11">
        <f>Table1[[#This Row],[Excess_Stock_Units]]*Table1[[#This Row],[Unit_Cost_INR]]</f>
        <v>6946.8767123287671</v>
      </c>
      <c r="AJ465" s="11">
        <f>IF(Table1[[#This Row],[Criticality]]="Critical",0,Table1[[#This Row],[Excess_Inventory_Value_INR]])</f>
        <v>0</v>
      </c>
      <c r="AK465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466" spans="1:37" x14ac:dyDescent="0.25">
      <c r="A466" t="s">
        <v>166</v>
      </c>
      <c r="B466" t="s">
        <v>99</v>
      </c>
      <c r="C466" t="s">
        <v>20</v>
      </c>
      <c r="D466" t="s">
        <v>66</v>
      </c>
      <c r="E466" t="s">
        <v>22</v>
      </c>
      <c r="F466">
        <v>6</v>
      </c>
      <c r="G466">
        <v>8</v>
      </c>
      <c r="H466">
        <v>5</v>
      </c>
      <c r="I466">
        <v>9</v>
      </c>
      <c r="J466">
        <v>920</v>
      </c>
      <c r="K466">
        <v>25</v>
      </c>
      <c r="L466">
        <v>0</v>
      </c>
      <c r="M466">
        <v>118</v>
      </c>
      <c r="N466" t="s">
        <v>38</v>
      </c>
      <c r="O466">
        <v>0.25600000000000001</v>
      </c>
      <c r="P466">
        <v>2119.6799999999998</v>
      </c>
      <c r="Q466">
        <f>(Table1[[#This Row],[Closing_Stock]]*Table1[[#This Row],[Unit_Cost_INR]])</f>
        <v>8280</v>
      </c>
      <c r="R466">
        <f>(Table1[[#This Row],[Unit_Cost_INR]]*Table1[[#This Row],[Consumption]])</f>
        <v>4600</v>
      </c>
      <c r="S466">
        <f>IFERROR(Table1[[#This Row],[Annual_Consumption_Value_INR]]/Table1[[#This Row],[Inventory_Value_INR]],0)</f>
        <v>0.55555555555555558</v>
      </c>
      <c r="T466">
        <f>IFERROR(365/Table1[[#This Row],[Inventory_Turnover]],0)</f>
        <v>657</v>
      </c>
      <c r="U466" t="str">
        <f>IF(Table1[[#This Row],[Consumption]]=0,"Non-Moving", IF(Table1[[#This Row],[Days_Since_Last_Movement]]&gt;90,"Slow-Moving","Active"))</f>
        <v>Slow-Moving</v>
      </c>
      <c r="V466">
        <f>SUM($Q$2:Q466)</f>
        <v>75530520</v>
      </c>
      <c r="W466">
        <f>Table1[[#This Row],[Cumulative_Inventory_Value]]/$AP$3</f>
        <v>0.99782219176681475</v>
      </c>
      <c r="X466" t="str">
        <f>IF(Table1[[#This Row],[Cumulative_Value_%]]&lt;80%,"A", IF(Table1[[#This Row],[Cumulative_Value_%]]&lt;=95%,"B","C"))</f>
        <v>C</v>
      </c>
      <c r="Y466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466">
        <f>Table1[[#This Row],[Consumption]]/365</f>
        <v>1.3698630136986301E-2</v>
      </c>
      <c r="AA466">
        <f>Table1[[#This Row],[Avg_Daily_Consumption]]*Table1[[#This Row],[Lead_Time_Days]]+Table1[[#This Row],[Safety_Stock]]</f>
        <v>1.3424657534246576</v>
      </c>
      <c r="AB466">
        <f>IFERROR(Table1[[#This Row],[Closing_Stock]]/Table1[[#This Row],[Avg_Daily_Consumption]],9999)</f>
        <v>657</v>
      </c>
      <c r="AC466">
        <f>MAX(1,ROUNDUP(Table1[[#This Row],[Avg_Daily_Consumption]]*Table1[[#This Row],[Lead_Time_Days]]*0.8,0))</f>
        <v>1</v>
      </c>
      <c r="AD466" t="str">
        <f>IF(Table1[[#This Row],[Closing_Stock]]&lt;Table1[[#This Row],[Reorder_Point]],"Stock-out Risk","Adequate")</f>
        <v>Adequate</v>
      </c>
      <c r="AE466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466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466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466" s="11">
        <f>MAX(0,Table1[[#This Row],[Closing_Stock]]-Table1[[#This Row],[Reorder_Point]])</f>
        <v>7.6575342465753424</v>
      </c>
      <c r="AI466" s="11">
        <f>Table1[[#This Row],[Excess_Stock_Units]]*Table1[[#This Row],[Unit_Cost_INR]]</f>
        <v>7044.9315068493152</v>
      </c>
      <c r="AJ466" s="11">
        <f>IF(Table1[[#This Row],[Criticality]]="Critical",0,Table1[[#This Row],[Excess_Inventory_Value_INR]])</f>
        <v>7044.9315068493152</v>
      </c>
      <c r="AK466" s="11">
        <f>IF(AND(Table1[[#This Row],[Criticality]]&lt;&gt;"Critical",OR(Table1[[#This Row],[Movement_Class]]="Slow-Moving",Table1[[#This Row],[Movement_Class]]="Non-Moving")),Table1[[#This Row],[Excess_Inventory_Value_INR]],0)</f>
        <v>7044.9315068493152</v>
      </c>
    </row>
    <row r="467" spans="1:37" x14ac:dyDescent="0.25">
      <c r="A467" t="s">
        <v>263</v>
      </c>
      <c r="B467" t="s">
        <v>73</v>
      </c>
      <c r="C467" t="s">
        <v>41</v>
      </c>
      <c r="D467" t="s">
        <v>21</v>
      </c>
      <c r="E467" t="s">
        <v>22</v>
      </c>
      <c r="F467">
        <v>17</v>
      </c>
      <c r="G467">
        <v>10</v>
      </c>
      <c r="H467">
        <v>9</v>
      </c>
      <c r="I467">
        <v>18</v>
      </c>
      <c r="J467">
        <v>440</v>
      </c>
      <c r="K467">
        <v>34</v>
      </c>
      <c r="L467">
        <v>0</v>
      </c>
      <c r="M467">
        <v>42</v>
      </c>
      <c r="N467" t="s">
        <v>58</v>
      </c>
      <c r="O467">
        <v>0.16900000000000001</v>
      </c>
      <c r="P467">
        <v>1338.48</v>
      </c>
      <c r="Q467">
        <f>(Table1[[#This Row],[Closing_Stock]]*Table1[[#This Row],[Unit_Cost_INR]])</f>
        <v>7920</v>
      </c>
      <c r="R467">
        <f>(Table1[[#This Row],[Unit_Cost_INR]]*Table1[[#This Row],[Consumption]])</f>
        <v>3960</v>
      </c>
      <c r="S467">
        <f>IFERROR(Table1[[#This Row],[Annual_Consumption_Value_INR]]/Table1[[#This Row],[Inventory_Value_INR]],0)</f>
        <v>0.5</v>
      </c>
      <c r="T467">
        <f>IFERROR(365/Table1[[#This Row],[Inventory_Turnover]],0)</f>
        <v>730</v>
      </c>
      <c r="U467" t="str">
        <f>IF(Table1[[#This Row],[Consumption]]=0,"Non-Moving", IF(Table1[[#This Row],[Days_Since_Last_Movement]]&gt;90,"Slow-Moving","Active"))</f>
        <v>Active</v>
      </c>
      <c r="V467">
        <f>SUM($Q$2:Q467)</f>
        <v>75538440</v>
      </c>
      <c r="W467">
        <f>Table1[[#This Row],[Cumulative_Inventory_Value]]/$AP$3</f>
        <v>0.99792682168011071</v>
      </c>
      <c r="X467" t="str">
        <f>IF(Table1[[#This Row],[Cumulative_Value_%]]&lt;80%,"A", IF(Table1[[#This Row],[Cumulative_Value_%]]&lt;=95%,"B","C"))</f>
        <v>C</v>
      </c>
      <c r="Y467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467">
        <f>Table1[[#This Row],[Consumption]]/365</f>
        <v>2.4657534246575342E-2</v>
      </c>
      <c r="AA467">
        <f>Table1[[#This Row],[Avg_Daily_Consumption]]*Table1[[#This Row],[Lead_Time_Days]]+Table1[[#This Row],[Safety_Stock]]</f>
        <v>1.8383561643835615</v>
      </c>
      <c r="AB467">
        <f>IFERROR(Table1[[#This Row],[Closing_Stock]]/Table1[[#This Row],[Avg_Daily_Consumption]],9999)</f>
        <v>730</v>
      </c>
      <c r="AC467">
        <f>MAX(1,ROUNDUP(Table1[[#This Row],[Avg_Daily_Consumption]]*Table1[[#This Row],[Lead_Time_Days]]*0.8,0))</f>
        <v>1</v>
      </c>
      <c r="AD467" t="str">
        <f>IF(Table1[[#This Row],[Closing_Stock]]&lt;Table1[[#This Row],[Reorder_Point]],"Stock-out Risk","Adequate")</f>
        <v>Adequate</v>
      </c>
      <c r="AE467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467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467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467" s="11">
        <f>MAX(0,Table1[[#This Row],[Closing_Stock]]-Table1[[#This Row],[Reorder_Point]])</f>
        <v>16.161643835616438</v>
      </c>
      <c r="AI467" s="11">
        <f>Table1[[#This Row],[Excess_Stock_Units]]*Table1[[#This Row],[Unit_Cost_INR]]</f>
        <v>7111.1232876712329</v>
      </c>
      <c r="AJ467" s="11">
        <f>IF(Table1[[#This Row],[Criticality]]="Critical",0,Table1[[#This Row],[Excess_Inventory_Value_INR]])</f>
        <v>7111.1232876712329</v>
      </c>
      <c r="AK467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468" spans="1:37" x14ac:dyDescent="0.25">
      <c r="A468" t="s">
        <v>452</v>
      </c>
      <c r="B468" t="s">
        <v>48</v>
      </c>
      <c r="C468" t="s">
        <v>41</v>
      </c>
      <c r="D468" t="s">
        <v>21</v>
      </c>
      <c r="E468" t="s">
        <v>37</v>
      </c>
      <c r="F468">
        <v>6</v>
      </c>
      <c r="G468">
        <v>2</v>
      </c>
      <c r="H468">
        <v>2</v>
      </c>
      <c r="I468">
        <v>6</v>
      </c>
      <c r="J468">
        <v>1310</v>
      </c>
      <c r="K468">
        <v>50</v>
      </c>
      <c r="L468">
        <v>1</v>
      </c>
      <c r="M468">
        <v>1</v>
      </c>
      <c r="N468" t="s">
        <v>58</v>
      </c>
      <c r="O468">
        <v>0.153</v>
      </c>
      <c r="P468">
        <v>1202.58</v>
      </c>
      <c r="Q468">
        <f>(Table1[[#This Row],[Closing_Stock]]*Table1[[#This Row],[Unit_Cost_INR]])</f>
        <v>7860</v>
      </c>
      <c r="R468">
        <f>(Table1[[#This Row],[Unit_Cost_INR]]*Table1[[#This Row],[Consumption]])</f>
        <v>2620</v>
      </c>
      <c r="S468">
        <f>IFERROR(Table1[[#This Row],[Annual_Consumption_Value_INR]]/Table1[[#This Row],[Inventory_Value_INR]],0)</f>
        <v>0.33333333333333331</v>
      </c>
      <c r="T468">
        <f>IFERROR(365/Table1[[#This Row],[Inventory_Turnover]],0)</f>
        <v>1095</v>
      </c>
      <c r="U468" t="str">
        <f>IF(Table1[[#This Row],[Consumption]]=0,"Non-Moving", IF(Table1[[#This Row],[Days_Since_Last_Movement]]&gt;90,"Slow-Moving","Active"))</f>
        <v>Active</v>
      </c>
      <c r="V468">
        <f>SUM($Q$2:Q468)</f>
        <v>75546300</v>
      </c>
      <c r="W468">
        <f>Table1[[#This Row],[Cumulative_Inventory_Value]]/$AP$3</f>
        <v>0.99803065894254828</v>
      </c>
      <c r="X468" t="str">
        <f>IF(Table1[[#This Row],[Cumulative_Value_%]]&lt;80%,"A", IF(Table1[[#This Row],[Cumulative_Value_%]]&lt;=95%,"B","C"))</f>
        <v>C</v>
      </c>
      <c r="Y468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468">
        <f>Table1[[#This Row],[Consumption]]/365</f>
        <v>5.4794520547945206E-3</v>
      </c>
      <c r="AA468">
        <f>Table1[[#This Row],[Avg_Daily_Consumption]]*Table1[[#This Row],[Lead_Time_Days]]+Table1[[#This Row],[Safety_Stock]]</f>
        <v>1.273972602739726</v>
      </c>
      <c r="AB468">
        <f>IFERROR(Table1[[#This Row],[Closing_Stock]]/Table1[[#This Row],[Avg_Daily_Consumption]],9999)</f>
        <v>1095</v>
      </c>
      <c r="AC468">
        <f>MAX(1,ROUNDUP(Table1[[#This Row],[Avg_Daily_Consumption]]*Table1[[#This Row],[Lead_Time_Days]]*0.8,0))</f>
        <v>1</v>
      </c>
      <c r="AD468" t="str">
        <f>IF(Table1[[#This Row],[Closing_Stock]]&lt;Table1[[#This Row],[Reorder_Point]],"Stock-out Risk","Adequate")</f>
        <v>Adequate</v>
      </c>
      <c r="AE468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468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468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468" s="11">
        <f>MAX(0,Table1[[#This Row],[Closing_Stock]]-Table1[[#This Row],[Reorder_Point]])</f>
        <v>4.7260273972602738</v>
      </c>
      <c r="AI468" s="11">
        <f>Table1[[#This Row],[Excess_Stock_Units]]*Table1[[#This Row],[Unit_Cost_INR]]</f>
        <v>6191.0958904109584</v>
      </c>
      <c r="AJ468" s="11">
        <f>IF(Table1[[#This Row],[Criticality]]="Critical",0,Table1[[#This Row],[Excess_Inventory_Value_INR]])</f>
        <v>0</v>
      </c>
      <c r="AK468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469" spans="1:37" x14ac:dyDescent="0.25">
      <c r="A469" t="s">
        <v>240</v>
      </c>
      <c r="B469" t="s">
        <v>44</v>
      </c>
      <c r="C469" t="s">
        <v>41</v>
      </c>
      <c r="D469" t="s">
        <v>21</v>
      </c>
      <c r="E469" t="s">
        <v>46</v>
      </c>
      <c r="F469">
        <v>8</v>
      </c>
      <c r="G469">
        <v>5</v>
      </c>
      <c r="H469">
        <v>3</v>
      </c>
      <c r="I469">
        <v>10</v>
      </c>
      <c r="J469">
        <v>770</v>
      </c>
      <c r="K469">
        <v>33</v>
      </c>
      <c r="L469">
        <v>0</v>
      </c>
      <c r="M469">
        <v>102</v>
      </c>
      <c r="N469" t="s">
        <v>33</v>
      </c>
      <c r="O469">
        <v>0.19500000000000001</v>
      </c>
      <c r="P469">
        <v>1501.5</v>
      </c>
      <c r="Q469">
        <f>(Table1[[#This Row],[Closing_Stock]]*Table1[[#This Row],[Unit_Cost_INR]])</f>
        <v>7700</v>
      </c>
      <c r="R469">
        <f>(Table1[[#This Row],[Unit_Cost_INR]]*Table1[[#This Row],[Consumption]])</f>
        <v>2310</v>
      </c>
      <c r="S469">
        <f>IFERROR(Table1[[#This Row],[Annual_Consumption_Value_INR]]/Table1[[#This Row],[Inventory_Value_INR]],0)</f>
        <v>0.3</v>
      </c>
      <c r="T469">
        <f>IFERROR(365/Table1[[#This Row],[Inventory_Turnover]],0)</f>
        <v>1216.6666666666667</v>
      </c>
      <c r="U469" t="str">
        <f>IF(Table1[[#This Row],[Consumption]]=0,"Non-Moving", IF(Table1[[#This Row],[Days_Since_Last_Movement]]&gt;90,"Slow-Moving","Active"))</f>
        <v>Slow-Moving</v>
      </c>
      <c r="V469">
        <f>SUM($Q$2:Q469)</f>
        <v>75554000</v>
      </c>
      <c r="W469">
        <f>Table1[[#This Row],[Cumulative_Inventory_Value]]/$AP$3</f>
        <v>0.99813238246936375</v>
      </c>
      <c r="X469" t="str">
        <f>IF(Table1[[#This Row],[Cumulative_Value_%]]&lt;80%,"A", IF(Table1[[#This Row],[Cumulative_Value_%]]&lt;=95%,"B","C"))</f>
        <v>C</v>
      </c>
      <c r="Y469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469">
        <f>Table1[[#This Row],[Consumption]]/365</f>
        <v>8.21917808219178E-3</v>
      </c>
      <c r="AA469">
        <f>Table1[[#This Row],[Avg_Daily_Consumption]]*Table1[[#This Row],[Lead_Time_Days]]+Table1[[#This Row],[Safety_Stock]]</f>
        <v>1.2712328767123289</v>
      </c>
      <c r="AB469">
        <f>IFERROR(Table1[[#This Row],[Closing_Stock]]/Table1[[#This Row],[Avg_Daily_Consumption]],9999)</f>
        <v>1216.6666666666667</v>
      </c>
      <c r="AC469">
        <f>MAX(1,ROUNDUP(Table1[[#This Row],[Avg_Daily_Consumption]]*Table1[[#This Row],[Lead_Time_Days]]*0.8,0))</f>
        <v>1</v>
      </c>
      <c r="AD469" t="str">
        <f>IF(Table1[[#This Row],[Closing_Stock]]&lt;Table1[[#This Row],[Reorder_Point]],"Stock-out Risk","Adequate")</f>
        <v>Adequate</v>
      </c>
      <c r="AE469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469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469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469" s="11">
        <f>MAX(0,Table1[[#This Row],[Closing_Stock]]-Table1[[#This Row],[Reorder_Point]])</f>
        <v>8.7287671232876711</v>
      </c>
      <c r="AI469" s="11">
        <f>Table1[[#This Row],[Excess_Stock_Units]]*Table1[[#This Row],[Unit_Cost_INR]]</f>
        <v>6721.1506849315065</v>
      </c>
      <c r="AJ469" s="11">
        <f>IF(Table1[[#This Row],[Criticality]]="Critical",0,Table1[[#This Row],[Excess_Inventory_Value_INR]])</f>
        <v>6721.1506849315065</v>
      </c>
      <c r="AK469" s="11">
        <f>IF(AND(Table1[[#This Row],[Criticality]]&lt;&gt;"Critical",OR(Table1[[#This Row],[Movement_Class]]="Slow-Moving",Table1[[#This Row],[Movement_Class]]="Non-Moving")),Table1[[#This Row],[Excess_Inventory_Value_INR]],0)</f>
        <v>6721.1506849315065</v>
      </c>
    </row>
    <row r="470" spans="1:37" x14ac:dyDescent="0.25">
      <c r="A470" t="s">
        <v>290</v>
      </c>
      <c r="B470" t="s">
        <v>31</v>
      </c>
      <c r="C470" t="s">
        <v>32</v>
      </c>
      <c r="D470" t="s">
        <v>21</v>
      </c>
      <c r="E470" t="s">
        <v>46</v>
      </c>
      <c r="F470">
        <v>25</v>
      </c>
      <c r="G470">
        <v>16</v>
      </c>
      <c r="H470">
        <v>14</v>
      </c>
      <c r="I470">
        <v>27</v>
      </c>
      <c r="J470">
        <v>280</v>
      </c>
      <c r="K470">
        <v>14</v>
      </c>
      <c r="L470">
        <v>0</v>
      </c>
      <c r="M470">
        <v>11</v>
      </c>
      <c r="N470" t="s">
        <v>49</v>
      </c>
      <c r="O470">
        <v>0.184</v>
      </c>
      <c r="P470">
        <v>1391.04</v>
      </c>
      <c r="Q470">
        <f>(Table1[[#This Row],[Closing_Stock]]*Table1[[#This Row],[Unit_Cost_INR]])</f>
        <v>7560</v>
      </c>
      <c r="R470">
        <f>(Table1[[#This Row],[Unit_Cost_INR]]*Table1[[#This Row],[Consumption]])</f>
        <v>3920</v>
      </c>
      <c r="S470">
        <f>IFERROR(Table1[[#This Row],[Annual_Consumption_Value_INR]]/Table1[[#This Row],[Inventory_Value_INR]],0)</f>
        <v>0.51851851851851849</v>
      </c>
      <c r="T470">
        <f>IFERROR(365/Table1[[#This Row],[Inventory_Turnover]],0)</f>
        <v>703.92857142857144</v>
      </c>
      <c r="U470" t="str">
        <f>IF(Table1[[#This Row],[Consumption]]=0,"Non-Moving", IF(Table1[[#This Row],[Days_Since_Last_Movement]]&gt;90,"Slow-Moving","Active"))</f>
        <v>Active</v>
      </c>
      <c r="V470">
        <f>SUM($Q$2:Q470)</f>
        <v>75561560</v>
      </c>
      <c r="W470">
        <f>Table1[[#This Row],[Cumulative_Inventory_Value]]/$AP$3</f>
        <v>0.99823225647750979</v>
      </c>
      <c r="X470" t="str">
        <f>IF(Table1[[#This Row],[Cumulative_Value_%]]&lt;80%,"A", IF(Table1[[#This Row],[Cumulative_Value_%]]&lt;=95%,"B","C"))</f>
        <v>C</v>
      </c>
      <c r="Y470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470">
        <f>Table1[[#This Row],[Consumption]]/365</f>
        <v>3.8356164383561646E-2</v>
      </c>
      <c r="AA470">
        <f>Table1[[#This Row],[Avg_Daily_Consumption]]*Table1[[#This Row],[Lead_Time_Days]]+Table1[[#This Row],[Safety_Stock]]</f>
        <v>1.536986301369863</v>
      </c>
      <c r="AB470">
        <f>IFERROR(Table1[[#This Row],[Closing_Stock]]/Table1[[#This Row],[Avg_Daily_Consumption]],9999)</f>
        <v>703.92857142857144</v>
      </c>
      <c r="AC470">
        <f>MAX(1,ROUNDUP(Table1[[#This Row],[Avg_Daily_Consumption]]*Table1[[#This Row],[Lead_Time_Days]]*0.8,0))</f>
        <v>1</v>
      </c>
      <c r="AD470" t="str">
        <f>IF(Table1[[#This Row],[Closing_Stock]]&lt;Table1[[#This Row],[Reorder_Point]],"Stock-out Risk","Adequate")</f>
        <v>Adequate</v>
      </c>
      <c r="AE470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470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470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470" s="11">
        <f>MAX(0,Table1[[#This Row],[Closing_Stock]]-Table1[[#This Row],[Reorder_Point]])</f>
        <v>25.463013698630135</v>
      </c>
      <c r="AI470" s="11">
        <f>Table1[[#This Row],[Excess_Stock_Units]]*Table1[[#This Row],[Unit_Cost_INR]]</f>
        <v>7129.6438356164381</v>
      </c>
      <c r="AJ470" s="11">
        <f>IF(Table1[[#This Row],[Criticality]]="Critical",0,Table1[[#This Row],[Excess_Inventory_Value_INR]])</f>
        <v>7129.6438356164381</v>
      </c>
      <c r="AK470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471" spans="1:37" x14ac:dyDescent="0.25">
      <c r="A471" t="s">
        <v>316</v>
      </c>
      <c r="B471" t="s">
        <v>126</v>
      </c>
      <c r="C471" t="s">
        <v>20</v>
      </c>
      <c r="D471" t="s">
        <v>66</v>
      </c>
      <c r="E471" t="s">
        <v>22</v>
      </c>
      <c r="F471">
        <v>22</v>
      </c>
      <c r="G471">
        <v>20</v>
      </c>
      <c r="H471">
        <v>0</v>
      </c>
      <c r="I471">
        <v>74</v>
      </c>
      <c r="J471">
        <v>100</v>
      </c>
      <c r="K471">
        <v>4</v>
      </c>
      <c r="L471">
        <v>0</v>
      </c>
      <c r="M471">
        <v>729</v>
      </c>
      <c r="N471" t="s">
        <v>61</v>
      </c>
      <c r="O471">
        <v>0.29099999999999998</v>
      </c>
      <c r="P471">
        <v>2153.4</v>
      </c>
      <c r="Q471">
        <f>(Table1[[#This Row],[Closing_Stock]]*Table1[[#This Row],[Unit_Cost_INR]])</f>
        <v>7400</v>
      </c>
      <c r="R471">
        <f>(Table1[[#This Row],[Unit_Cost_INR]]*Table1[[#This Row],[Consumption]])</f>
        <v>0</v>
      </c>
      <c r="S471">
        <f>IFERROR(Table1[[#This Row],[Annual_Consumption_Value_INR]]/Table1[[#This Row],[Inventory_Value_INR]],0)</f>
        <v>0</v>
      </c>
      <c r="T471">
        <f>IFERROR(365/Table1[[#This Row],[Inventory_Turnover]],0)</f>
        <v>0</v>
      </c>
      <c r="U471" t="str">
        <f>IF(Table1[[#This Row],[Consumption]]=0,"Non-Moving", IF(Table1[[#This Row],[Days_Since_Last_Movement]]&gt;90,"Slow-Moving","Active"))</f>
        <v>Non-Moving</v>
      </c>
      <c r="V471">
        <f>SUM($Q$2:Q471)</f>
        <v>75568960</v>
      </c>
      <c r="W471">
        <f>Table1[[#This Row],[Cumulative_Inventory_Value]]/$AP$3</f>
        <v>0.99833001675003374</v>
      </c>
      <c r="X471" t="str">
        <f>IF(Table1[[#This Row],[Cumulative_Value_%]]&lt;80%,"A", IF(Table1[[#This Row],[Cumulative_Value_%]]&lt;=95%,"B","C"))</f>
        <v>C</v>
      </c>
      <c r="Y471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Review</v>
      </c>
      <c r="Z471">
        <f>Table1[[#This Row],[Consumption]]/365</f>
        <v>0</v>
      </c>
      <c r="AA471">
        <f>Table1[[#This Row],[Avg_Daily_Consumption]]*Table1[[#This Row],[Lead_Time_Days]]+Table1[[#This Row],[Safety_Stock]]</f>
        <v>1</v>
      </c>
      <c r="AB471">
        <f>IFERROR(Table1[[#This Row],[Closing_Stock]]/Table1[[#This Row],[Avg_Daily_Consumption]],9999)</f>
        <v>9999</v>
      </c>
      <c r="AC471">
        <f>MAX(1,ROUNDUP(Table1[[#This Row],[Avg_Daily_Consumption]]*Table1[[#This Row],[Lead_Time_Days]]*0.8,0))</f>
        <v>1</v>
      </c>
      <c r="AD471" t="str">
        <f>IF(Table1[[#This Row],[Closing_Stock]]&lt;Table1[[#This Row],[Reorder_Point]],"Stock-out Risk","Adequate")</f>
        <v>Adequate</v>
      </c>
      <c r="AE471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471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 for Disposal/De-procurement</v>
      </c>
      <c r="AG471">
        <f>IF(Table1[[#This Row],[Action_Recommendation]]="Review for Disposal/De-procurement",Table1[[#This Row],[Inventory_Value_INR]]*70%,IF(Table1[[#This Row],[Action_Recommendation]]="Review Safety Stock",Table1[[#This Row],[Inventory_Value_INR]]*20%,0))</f>
        <v>5180</v>
      </c>
      <c r="AH471" s="11">
        <f>MAX(0,Table1[[#This Row],[Closing_Stock]]-Table1[[#This Row],[Reorder_Point]])</f>
        <v>73</v>
      </c>
      <c r="AI471" s="11">
        <f>Table1[[#This Row],[Excess_Stock_Units]]*Table1[[#This Row],[Unit_Cost_INR]]</f>
        <v>7300</v>
      </c>
      <c r="AJ471" s="11">
        <f>IF(Table1[[#This Row],[Criticality]]="Critical",0,Table1[[#This Row],[Excess_Inventory_Value_INR]])</f>
        <v>7300</v>
      </c>
      <c r="AK471" s="11">
        <f>IF(AND(Table1[[#This Row],[Criticality]]&lt;&gt;"Critical",OR(Table1[[#This Row],[Movement_Class]]="Slow-Moving",Table1[[#This Row],[Movement_Class]]="Non-Moving")),Table1[[#This Row],[Excess_Inventory_Value_INR]],0)</f>
        <v>7300</v>
      </c>
    </row>
    <row r="472" spans="1:37" x14ac:dyDescent="0.25">
      <c r="A472" t="s">
        <v>115</v>
      </c>
      <c r="B472" t="s">
        <v>95</v>
      </c>
      <c r="C472" t="s">
        <v>26</v>
      </c>
      <c r="D472" t="s">
        <v>21</v>
      </c>
      <c r="E472" t="s">
        <v>46</v>
      </c>
      <c r="F472">
        <v>13</v>
      </c>
      <c r="G472">
        <v>12</v>
      </c>
      <c r="H472">
        <v>1</v>
      </c>
      <c r="I472">
        <v>52</v>
      </c>
      <c r="J472">
        <v>140</v>
      </c>
      <c r="K472">
        <v>40</v>
      </c>
      <c r="L472">
        <v>0</v>
      </c>
      <c r="M472">
        <v>160</v>
      </c>
      <c r="N472" t="s">
        <v>23</v>
      </c>
      <c r="O472">
        <v>0.26200000000000001</v>
      </c>
      <c r="P472">
        <v>1907.36</v>
      </c>
      <c r="Q472">
        <f>(Table1[[#This Row],[Closing_Stock]]*Table1[[#This Row],[Unit_Cost_INR]])</f>
        <v>7280</v>
      </c>
      <c r="R472">
        <f>(Table1[[#This Row],[Unit_Cost_INR]]*Table1[[#This Row],[Consumption]])</f>
        <v>140</v>
      </c>
      <c r="S472">
        <f>IFERROR(Table1[[#This Row],[Annual_Consumption_Value_INR]]/Table1[[#This Row],[Inventory_Value_INR]],0)</f>
        <v>1.9230769230769232E-2</v>
      </c>
      <c r="T472">
        <f>IFERROR(365/Table1[[#This Row],[Inventory_Turnover]],0)</f>
        <v>18980</v>
      </c>
      <c r="U472" t="str">
        <f>IF(Table1[[#This Row],[Consumption]]=0,"Non-Moving", IF(Table1[[#This Row],[Days_Since_Last_Movement]]&gt;90,"Slow-Moving","Active"))</f>
        <v>Slow-Moving</v>
      </c>
      <c r="V472">
        <f>SUM($Q$2:Q472)</f>
        <v>75576240</v>
      </c>
      <c r="W472">
        <f>Table1[[#This Row],[Cumulative_Inventory_Value]]/$AP$3</f>
        <v>0.99842619172084102</v>
      </c>
      <c r="X472" t="str">
        <f>IF(Table1[[#This Row],[Cumulative_Value_%]]&lt;80%,"A", IF(Table1[[#This Row],[Cumulative_Value_%]]&lt;=95%,"B","C"))</f>
        <v>C</v>
      </c>
      <c r="Y472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472">
        <f>Table1[[#This Row],[Consumption]]/365</f>
        <v>2.7397260273972603E-3</v>
      </c>
      <c r="AA472">
        <f>Table1[[#This Row],[Avg_Daily_Consumption]]*Table1[[#This Row],[Lead_Time_Days]]+Table1[[#This Row],[Safety_Stock]]</f>
        <v>1.1095890410958904</v>
      </c>
      <c r="AB472">
        <f>IFERROR(Table1[[#This Row],[Closing_Stock]]/Table1[[#This Row],[Avg_Daily_Consumption]],9999)</f>
        <v>18980</v>
      </c>
      <c r="AC472">
        <f>MAX(1,ROUNDUP(Table1[[#This Row],[Avg_Daily_Consumption]]*Table1[[#This Row],[Lead_Time_Days]]*0.8,0))</f>
        <v>1</v>
      </c>
      <c r="AD472" t="str">
        <f>IF(Table1[[#This Row],[Closing_Stock]]&lt;Table1[[#This Row],[Reorder_Point]],"Stock-out Risk","Adequate")</f>
        <v>Adequate</v>
      </c>
      <c r="AE472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472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472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472" s="11">
        <f>MAX(0,Table1[[#This Row],[Closing_Stock]]-Table1[[#This Row],[Reorder_Point]])</f>
        <v>50.890410958904113</v>
      </c>
      <c r="AI472" s="11">
        <f>Table1[[#This Row],[Excess_Stock_Units]]*Table1[[#This Row],[Unit_Cost_INR]]</f>
        <v>7124.6575342465758</v>
      </c>
      <c r="AJ472" s="11">
        <f>IF(Table1[[#This Row],[Criticality]]="Critical",0,Table1[[#This Row],[Excess_Inventory_Value_INR]])</f>
        <v>7124.6575342465758</v>
      </c>
      <c r="AK472" s="11">
        <f>IF(AND(Table1[[#This Row],[Criticality]]&lt;&gt;"Critical",OR(Table1[[#This Row],[Movement_Class]]="Slow-Moving",Table1[[#This Row],[Movement_Class]]="Non-Moving")),Table1[[#This Row],[Excess_Inventory_Value_INR]],0)</f>
        <v>7124.6575342465758</v>
      </c>
    </row>
    <row r="473" spans="1:37" x14ac:dyDescent="0.25">
      <c r="A473" t="s">
        <v>512</v>
      </c>
      <c r="B473" t="s">
        <v>104</v>
      </c>
      <c r="C473" t="s">
        <v>41</v>
      </c>
      <c r="D473" t="s">
        <v>21</v>
      </c>
      <c r="E473" t="s">
        <v>46</v>
      </c>
      <c r="F473">
        <v>17</v>
      </c>
      <c r="G473">
        <v>13</v>
      </c>
      <c r="H473">
        <v>10</v>
      </c>
      <c r="I473">
        <v>20</v>
      </c>
      <c r="J473">
        <v>360</v>
      </c>
      <c r="K473">
        <v>34</v>
      </c>
      <c r="L473">
        <v>0</v>
      </c>
      <c r="M473">
        <v>6</v>
      </c>
      <c r="N473" t="s">
        <v>29</v>
      </c>
      <c r="O473">
        <v>0.28100000000000003</v>
      </c>
      <c r="P473">
        <v>2023.2</v>
      </c>
      <c r="Q473">
        <f>(Table1[[#This Row],[Closing_Stock]]*Table1[[#This Row],[Unit_Cost_INR]])</f>
        <v>7200</v>
      </c>
      <c r="R473">
        <f>(Table1[[#This Row],[Unit_Cost_INR]]*Table1[[#This Row],[Consumption]])</f>
        <v>3600</v>
      </c>
      <c r="S473">
        <f>IFERROR(Table1[[#This Row],[Annual_Consumption_Value_INR]]/Table1[[#This Row],[Inventory_Value_INR]],0)</f>
        <v>0.5</v>
      </c>
      <c r="T473">
        <f>IFERROR(365/Table1[[#This Row],[Inventory_Turnover]],0)</f>
        <v>730</v>
      </c>
      <c r="U473" t="str">
        <f>IF(Table1[[#This Row],[Consumption]]=0,"Non-Moving", IF(Table1[[#This Row],[Days_Since_Last_Movement]]&gt;90,"Slow-Moving","Active"))</f>
        <v>Active</v>
      </c>
      <c r="V473">
        <f>SUM($Q$2:Q473)</f>
        <v>75583440</v>
      </c>
      <c r="W473">
        <f>Table1[[#This Row],[Cumulative_Inventory_Value]]/$AP$3</f>
        <v>0.99852130982383736</v>
      </c>
      <c r="X473" t="str">
        <f>IF(Table1[[#This Row],[Cumulative_Value_%]]&lt;80%,"A", IF(Table1[[#This Row],[Cumulative_Value_%]]&lt;=95%,"B","C"))</f>
        <v>C</v>
      </c>
      <c r="Y473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473">
        <f>Table1[[#This Row],[Consumption]]/365</f>
        <v>2.7397260273972601E-2</v>
      </c>
      <c r="AA473">
        <f>Table1[[#This Row],[Avg_Daily_Consumption]]*Table1[[#This Row],[Lead_Time_Days]]+Table1[[#This Row],[Safety_Stock]]</f>
        <v>1.9315068493150684</v>
      </c>
      <c r="AB473">
        <f>IFERROR(Table1[[#This Row],[Closing_Stock]]/Table1[[#This Row],[Avg_Daily_Consumption]],9999)</f>
        <v>730</v>
      </c>
      <c r="AC473">
        <f>MAX(1,ROUNDUP(Table1[[#This Row],[Avg_Daily_Consumption]]*Table1[[#This Row],[Lead_Time_Days]]*0.8,0))</f>
        <v>1</v>
      </c>
      <c r="AD473" t="str">
        <f>IF(Table1[[#This Row],[Closing_Stock]]&lt;Table1[[#This Row],[Reorder_Point]],"Stock-out Risk","Adequate")</f>
        <v>Adequate</v>
      </c>
      <c r="AE473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473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473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473" s="11">
        <f>MAX(0,Table1[[#This Row],[Closing_Stock]]-Table1[[#This Row],[Reorder_Point]])</f>
        <v>18.068493150684933</v>
      </c>
      <c r="AI473" s="11">
        <f>Table1[[#This Row],[Excess_Stock_Units]]*Table1[[#This Row],[Unit_Cost_INR]]</f>
        <v>6504.6575342465758</v>
      </c>
      <c r="AJ473" s="11">
        <f>IF(Table1[[#This Row],[Criticality]]="Critical",0,Table1[[#This Row],[Excess_Inventory_Value_INR]])</f>
        <v>6504.6575342465758</v>
      </c>
      <c r="AK473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474" spans="1:37" x14ac:dyDescent="0.25">
      <c r="A474" t="s">
        <v>337</v>
      </c>
      <c r="B474" t="s">
        <v>63</v>
      </c>
      <c r="C474" t="s">
        <v>52</v>
      </c>
      <c r="D474" t="s">
        <v>60</v>
      </c>
      <c r="E474" t="s">
        <v>46</v>
      </c>
      <c r="F474">
        <v>2</v>
      </c>
      <c r="G474">
        <v>7</v>
      </c>
      <c r="H474">
        <v>5</v>
      </c>
      <c r="I474">
        <v>4</v>
      </c>
      <c r="J474">
        <v>1770</v>
      </c>
      <c r="K474">
        <v>35</v>
      </c>
      <c r="L474">
        <v>0</v>
      </c>
      <c r="M474">
        <v>17</v>
      </c>
      <c r="N474" t="s">
        <v>33</v>
      </c>
      <c r="O474">
        <v>0.26</v>
      </c>
      <c r="P474">
        <v>1840.8</v>
      </c>
      <c r="Q474">
        <f>(Table1[[#This Row],[Closing_Stock]]*Table1[[#This Row],[Unit_Cost_INR]])</f>
        <v>7080</v>
      </c>
      <c r="R474">
        <f>(Table1[[#This Row],[Unit_Cost_INR]]*Table1[[#This Row],[Consumption]])</f>
        <v>8850</v>
      </c>
      <c r="S474">
        <f>IFERROR(Table1[[#This Row],[Annual_Consumption_Value_INR]]/Table1[[#This Row],[Inventory_Value_INR]],0)</f>
        <v>1.25</v>
      </c>
      <c r="T474">
        <f>IFERROR(365/Table1[[#This Row],[Inventory_Turnover]],0)</f>
        <v>292</v>
      </c>
      <c r="U474" t="str">
        <f>IF(Table1[[#This Row],[Consumption]]=0,"Non-Moving", IF(Table1[[#This Row],[Days_Since_Last_Movement]]&gt;90,"Slow-Moving","Active"))</f>
        <v>Active</v>
      </c>
      <c r="V474">
        <f>SUM($Q$2:Q474)</f>
        <v>75590520</v>
      </c>
      <c r="W474">
        <f>Table1[[#This Row],[Cumulative_Inventory_Value]]/$AP$3</f>
        <v>0.99861484262511702</v>
      </c>
      <c r="X474" t="str">
        <f>IF(Table1[[#This Row],[Cumulative_Value_%]]&lt;80%,"A", IF(Table1[[#This Row],[Cumulative_Value_%]]&lt;=95%,"B","C"))</f>
        <v>C</v>
      </c>
      <c r="Y474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474">
        <f>Table1[[#This Row],[Consumption]]/365</f>
        <v>1.3698630136986301E-2</v>
      </c>
      <c r="AA474">
        <f>Table1[[#This Row],[Avg_Daily_Consumption]]*Table1[[#This Row],[Lead_Time_Days]]+Table1[[#This Row],[Safety_Stock]]</f>
        <v>1.4794520547945205</v>
      </c>
      <c r="AB474">
        <f>IFERROR(Table1[[#This Row],[Closing_Stock]]/Table1[[#This Row],[Avg_Daily_Consumption]],9999)</f>
        <v>292</v>
      </c>
      <c r="AC474">
        <f>MAX(1,ROUNDUP(Table1[[#This Row],[Avg_Daily_Consumption]]*Table1[[#This Row],[Lead_Time_Days]]*0.8,0))</f>
        <v>1</v>
      </c>
      <c r="AD474" t="str">
        <f>IF(Table1[[#This Row],[Closing_Stock]]&lt;Table1[[#This Row],[Reorder_Point]],"Stock-out Risk","Adequate")</f>
        <v>Adequate</v>
      </c>
      <c r="AE474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474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474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474" s="11">
        <f>MAX(0,Table1[[#This Row],[Closing_Stock]]-Table1[[#This Row],[Reorder_Point]])</f>
        <v>2.5205479452054798</v>
      </c>
      <c r="AI474" s="11">
        <f>Table1[[#This Row],[Excess_Stock_Units]]*Table1[[#This Row],[Unit_Cost_INR]]</f>
        <v>4461.3698630136996</v>
      </c>
      <c r="AJ474" s="11">
        <f>IF(Table1[[#This Row],[Criticality]]="Critical",0,Table1[[#This Row],[Excess_Inventory_Value_INR]])</f>
        <v>4461.3698630136996</v>
      </c>
      <c r="AK474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475" spans="1:37" x14ac:dyDescent="0.25">
      <c r="A475" t="s">
        <v>120</v>
      </c>
      <c r="B475" t="s">
        <v>95</v>
      </c>
      <c r="C475" t="s">
        <v>26</v>
      </c>
      <c r="D475" t="s">
        <v>42</v>
      </c>
      <c r="E475" t="s">
        <v>22</v>
      </c>
      <c r="F475">
        <v>22</v>
      </c>
      <c r="G475">
        <v>46</v>
      </c>
      <c r="H475">
        <v>45</v>
      </c>
      <c r="I475">
        <v>23</v>
      </c>
      <c r="J475">
        <v>300</v>
      </c>
      <c r="K475">
        <v>46</v>
      </c>
      <c r="L475">
        <v>0</v>
      </c>
      <c r="M475">
        <v>30</v>
      </c>
      <c r="N475" t="s">
        <v>81</v>
      </c>
      <c r="O475">
        <v>0.246</v>
      </c>
      <c r="P475">
        <v>1697.4</v>
      </c>
      <c r="Q475">
        <f>(Table1[[#This Row],[Closing_Stock]]*Table1[[#This Row],[Unit_Cost_INR]])</f>
        <v>6900</v>
      </c>
      <c r="R475">
        <f>(Table1[[#This Row],[Unit_Cost_INR]]*Table1[[#This Row],[Consumption]])</f>
        <v>13500</v>
      </c>
      <c r="S475">
        <f>IFERROR(Table1[[#This Row],[Annual_Consumption_Value_INR]]/Table1[[#This Row],[Inventory_Value_INR]],0)</f>
        <v>1.9565217391304348</v>
      </c>
      <c r="T475">
        <f>IFERROR(365/Table1[[#This Row],[Inventory_Turnover]],0)</f>
        <v>186.55555555555554</v>
      </c>
      <c r="U475" t="str">
        <f>IF(Table1[[#This Row],[Consumption]]=0,"Non-Moving", IF(Table1[[#This Row],[Days_Since_Last_Movement]]&gt;90,"Slow-Moving","Active"))</f>
        <v>Active</v>
      </c>
      <c r="V475">
        <f>SUM($Q$2:Q475)</f>
        <v>75597420</v>
      </c>
      <c r="W475">
        <f>Table1[[#This Row],[Cumulative_Inventory_Value]]/$AP$3</f>
        <v>0.99870599747382172</v>
      </c>
      <c r="X475" t="str">
        <f>IF(Table1[[#This Row],[Cumulative_Value_%]]&lt;80%,"A", IF(Table1[[#This Row],[Cumulative_Value_%]]&lt;=95%,"B","C"))</f>
        <v>C</v>
      </c>
      <c r="Y475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475">
        <f>Table1[[#This Row],[Consumption]]/365</f>
        <v>0.12328767123287671</v>
      </c>
      <c r="AA475">
        <f>Table1[[#This Row],[Avg_Daily_Consumption]]*Table1[[#This Row],[Lead_Time_Days]]+Table1[[#This Row],[Safety_Stock]]</f>
        <v>10.671232876712327</v>
      </c>
      <c r="AB475">
        <f>IFERROR(Table1[[#This Row],[Closing_Stock]]/Table1[[#This Row],[Avg_Daily_Consumption]],9999)</f>
        <v>186.55555555555557</v>
      </c>
      <c r="AC475">
        <f>MAX(1,ROUNDUP(Table1[[#This Row],[Avg_Daily_Consumption]]*Table1[[#This Row],[Lead_Time_Days]]*0.8,0))</f>
        <v>5</v>
      </c>
      <c r="AD475" t="str">
        <f>IF(Table1[[#This Row],[Closing_Stock]]&lt;Table1[[#This Row],[Reorder_Point]],"Stock-out Risk","Adequate")</f>
        <v>Adequate</v>
      </c>
      <c r="AE475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475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475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475" s="11">
        <f>MAX(0,Table1[[#This Row],[Closing_Stock]]-Table1[[#This Row],[Reorder_Point]])</f>
        <v>12.328767123287673</v>
      </c>
      <c r="AI475" s="11">
        <f>Table1[[#This Row],[Excess_Stock_Units]]*Table1[[#This Row],[Unit_Cost_INR]]</f>
        <v>3698.6301369863017</v>
      </c>
      <c r="AJ475" s="11">
        <f>IF(Table1[[#This Row],[Criticality]]="Critical",0,Table1[[#This Row],[Excess_Inventory_Value_INR]])</f>
        <v>3698.6301369863017</v>
      </c>
      <c r="AK475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476" spans="1:37" x14ac:dyDescent="0.25">
      <c r="A476" t="s">
        <v>88</v>
      </c>
      <c r="B476" t="s">
        <v>85</v>
      </c>
      <c r="C476" t="s">
        <v>41</v>
      </c>
      <c r="D476" t="s">
        <v>27</v>
      </c>
      <c r="E476" t="s">
        <v>46</v>
      </c>
      <c r="F476">
        <v>29</v>
      </c>
      <c r="G476">
        <v>46</v>
      </c>
      <c r="H476">
        <v>48</v>
      </c>
      <c r="I476">
        <v>27</v>
      </c>
      <c r="J476">
        <v>250</v>
      </c>
      <c r="K476">
        <v>30</v>
      </c>
      <c r="L476">
        <v>0</v>
      </c>
      <c r="M476">
        <v>1</v>
      </c>
      <c r="N476" t="s">
        <v>58</v>
      </c>
      <c r="O476">
        <v>0.20899999999999999</v>
      </c>
      <c r="P476">
        <v>1410.75</v>
      </c>
      <c r="Q476">
        <f>(Table1[[#This Row],[Closing_Stock]]*Table1[[#This Row],[Unit_Cost_INR]])</f>
        <v>6750</v>
      </c>
      <c r="R476">
        <f>(Table1[[#This Row],[Unit_Cost_INR]]*Table1[[#This Row],[Consumption]])</f>
        <v>12000</v>
      </c>
      <c r="S476">
        <f>IFERROR(Table1[[#This Row],[Annual_Consumption_Value_INR]]/Table1[[#This Row],[Inventory_Value_INR]],0)</f>
        <v>1.7777777777777777</v>
      </c>
      <c r="T476">
        <f>IFERROR(365/Table1[[#This Row],[Inventory_Turnover]],0)</f>
        <v>205.3125</v>
      </c>
      <c r="U476" t="str">
        <f>IF(Table1[[#This Row],[Consumption]]=0,"Non-Moving", IF(Table1[[#This Row],[Days_Since_Last_Movement]]&gt;90,"Slow-Moving","Active"))</f>
        <v>Active</v>
      </c>
      <c r="V476">
        <f>SUM($Q$2:Q476)</f>
        <v>75604170</v>
      </c>
      <c r="W476">
        <f>Table1[[#This Row],[Cumulative_Inventory_Value]]/$AP$3</f>
        <v>0.99879517069538071</v>
      </c>
      <c r="X476" t="str">
        <f>IF(Table1[[#This Row],[Cumulative_Value_%]]&lt;80%,"A", IF(Table1[[#This Row],[Cumulative_Value_%]]&lt;=95%,"B","C"))</f>
        <v>C</v>
      </c>
      <c r="Y476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476">
        <f>Table1[[#This Row],[Consumption]]/365</f>
        <v>0.13150684931506848</v>
      </c>
      <c r="AA476">
        <f>Table1[[#This Row],[Avg_Daily_Consumption]]*Table1[[#This Row],[Lead_Time_Days]]+Table1[[#This Row],[Safety_Stock]]</f>
        <v>7.9452054794520546</v>
      </c>
      <c r="AB476">
        <f>IFERROR(Table1[[#This Row],[Closing_Stock]]/Table1[[#This Row],[Avg_Daily_Consumption]],9999)</f>
        <v>205.31250000000003</v>
      </c>
      <c r="AC476">
        <f>MAX(1,ROUNDUP(Table1[[#This Row],[Avg_Daily_Consumption]]*Table1[[#This Row],[Lead_Time_Days]]*0.8,0))</f>
        <v>4</v>
      </c>
      <c r="AD476" t="str">
        <f>IF(Table1[[#This Row],[Closing_Stock]]&lt;Table1[[#This Row],[Reorder_Point]],"Stock-out Risk","Adequate")</f>
        <v>Adequate</v>
      </c>
      <c r="AE476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476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476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476" s="11">
        <f>MAX(0,Table1[[#This Row],[Closing_Stock]]-Table1[[#This Row],[Reorder_Point]])</f>
        <v>19.054794520547944</v>
      </c>
      <c r="AI476" s="11">
        <f>Table1[[#This Row],[Excess_Stock_Units]]*Table1[[#This Row],[Unit_Cost_INR]]</f>
        <v>4763.6986301369861</v>
      </c>
      <c r="AJ476" s="11">
        <f>IF(Table1[[#This Row],[Criticality]]="Critical",0,Table1[[#This Row],[Excess_Inventory_Value_INR]])</f>
        <v>4763.6986301369861</v>
      </c>
      <c r="AK476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477" spans="1:37" x14ac:dyDescent="0.25">
      <c r="A477" t="s">
        <v>260</v>
      </c>
      <c r="B477" t="s">
        <v>150</v>
      </c>
      <c r="C477" t="s">
        <v>36</v>
      </c>
      <c r="D477" t="s">
        <v>60</v>
      </c>
      <c r="E477" t="s">
        <v>22</v>
      </c>
      <c r="F477">
        <v>6</v>
      </c>
      <c r="G477">
        <v>6</v>
      </c>
      <c r="H477">
        <v>7</v>
      </c>
      <c r="I477">
        <v>5</v>
      </c>
      <c r="J477">
        <v>1210</v>
      </c>
      <c r="K477">
        <v>35</v>
      </c>
      <c r="L477">
        <v>0</v>
      </c>
      <c r="M477">
        <v>55</v>
      </c>
      <c r="N477" t="s">
        <v>38</v>
      </c>
      <c r="O477">
        <v>0.23400000000000001</v>
      </c>
      <c r="P477">
        <v>1415.7</v>
      </c>
      <c r="Q477">
        <f>(Table1[[#This Row],[Closing_Stock]]*Table1[[#This Row],[Unit_Cost_INR]])</f>
        <v>6050</v>
      </c>
      <c r="R477">
        <f>(Table1[[#This Row],[Unit_Cost_INR]]*Table1[[#This Row],[Consumption]])</f>
        <v>8470</v>
      </c>
      <c r="S477">
        <f>IFERROR(Table1[[#This Row],[Annual_Consumption_Value_INR]]/Table1[[#This Row],[Inventory_Value_INR]],0)</f>
        <v>1.4</v>
      </c>
      <c r="T477">
        <f>IFERROR(365/Table1[[#This Row],[Inventory_Turnover]],0)</f>
        <v>260.71428571428572</v>
      </c>
      <c r="U477" t="str">
        <f>IF(Table1[[#This Row],[Consumption]]=0,"Non-Moving", IF(Table1[[#This Row],[Days_Since_Last_Movement]]&gt;90,"Slow-Moving","Active"))</f>
        <v>Active</v>
      </c>
      <c r="V477">
        <f>SUM($Q$2:Q477)</f>
        <v>75610220</v>
      </c>
      <c r="W477">
        <f>Table1[[#This Row],[Cumulative_Inventory_Value]]/$AP$3</f>
        <v>0.99887509632359284</v>
      </c>
      <c r="X477" t="str">
        <f>IF(Table1[[#This Row],[Cumulative_Value_%]]&lt;80%,"A", IF(Table1[[#This Row],[Cumulative_Value_%]]&lt;=95%,"B","C"))</f>
        <v>C</v>
      </c>
      <c r="Y477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477">
        <f>Table1[[#This Row],[Consumption]]/365</f>
        <v>1.9178082191780823E-2</v>
      </c>
      <c r="AA477">
        <f>Table1[[#This Row],[Avg_Daily_Consumption]]*Table1[[#This Row],[Lead_Time_Days]]+Table1[[#This Row],[Safety_Stock]]</f>
        <v>1.6712328767123288</v>
      </c>
      <c r="AB477">
        <f>IFERROR(Table1[[#This Row],[Closing_Stock]]/Table1[[#This Row],[Avg_Daily_Consumption]],9999)</f>
        <v>260.71428571428572</v>
      </c>
      <c r="AC477">
        <f>MAX(1,ROUNDUP(Table1[[#This Row],[Avg_Daily_Consumption]]*Table1[[#This Row],[Lead_Time_Days]]*0.8,0))</f>
        <v>1</v>
      </c>
      <c r="AD477" t="str">
        <f>IF(Table1[[#This Row],[Closing_Stock]]&lt;Table1[[#This Row],[Reorder_Point]],"Stock-out Risk","Adequate")</f>
        <v>Adequate</v>
      </c>
      <c r="AE477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477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477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477" s="11">
        <f>MAX(0,Table1[[#This Row],[Closing_Stock]]-Table1[[#This Row],[Reorder_Point]])</f>
        <v>3.3287671232876712</v>
      </c>
      <c r="AI477" s="11">
        <f>Table1[[#This Row],[Excess_Stock_Units]]*Table1[[#This Row],[Unit_Cost_INR]]</f>
        <v>4027.8082191780823</v>
      </c>
      <c r="AJ477" s="11">
        <f>IF(Table1[[#This Row],[Criticality]]="Critical",0,Table1[[#This Row],[Excess_Inventory_Value_INR]])</f>
        <v>4027.8082191780823</v>
      </c>
      <c r="AK477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478" spans="1:37" x14ac:dyDescent="0.25">
      <c r="A478" t="s">
        <v>450</v>
      </c>
      <c r="B478" t="s">
        <v>104</v>
      </c>
      <c r="C478" t="s">
        <v>41</v>
      </c>
      <c r="D478" t="s">
        <v>27</v>
      </c>
      <c r="E478" t="s">
        <v>28</v>
      </c>
      <c r="F478">
        <v>6</v>
      </c>
      <c r="G478">
        <v>12</v>
      </c>
      <c r="H478">
        <v>10</v>
      </c>
      <c r="I478">
        <v>8</v>
      </c>
      <c r="J478">
        <v>720</v>
      </c>
      <c r="K478">
        <v>27</v>
      </c>
      <c r="L478">
        <v>0</v>
      </c>
      <c r="M478">
        <v>15</v>
      </c>
      <c r="N478" t="s">
        <v>38</v>
      </c>
      <c r="O478">
        <v>0.187</v>
      </c>
      <c r="P478">
        <v>1077.1199999999999</v>
      </c>
      <c r="Q478">
        <f>(Table1[[#This Row],[Closing_Stock]]*Table1[[#This Row],[Unit_Cost_INR]])</f>
        <v>5760</v>
      </c>
      <c r="R478">
        <f>(Table1[[#This Row],[Unit_Cost_INR]]*Table1[[#This Row],[Consumption]])</f>
        <v>7200</v>
      </c>
      <c r="S478">
        <f>IFERROR(Table1[[#This Row],[Annual_Consumption_Value_INR]]/Table1[[#This Row],[Inventory_Value_INR]],0)</f>
        <v>1.25</v>
      </c>
      <c r="T478">
        <f>IFERROR(365/Table1[[#This Row],[Inventory_Turnover]],0)</f>
        <v>292</v>
      </c>
      <c r="U478" t="str">
        <f>IF(Table1[[#This Row],[Consumption]]=0,"Non-Moving", IF(Table1[[#This Row],[Days_Since_Last_Movement]]&gt;90,"Slow-Moving","Active"))</f>
        <v>Active</v>
      </c>
      <c r="V478">
        <f>SUM($Q$2:Q478)</f>
        <v>75615980</v>
      </c>
      <c r="W478">
        <f>Table1[[#This Row],[Cumulative_Inventory_Value]]/$AP$3</f>
        <v>0.99895119080598982</v>
      </c>
      <c r="X478" t="str">
        <f>IF(Table1[[#This Row],[Cumulative_Value_%]]&lt;80%,"A", IF(Table1[[#This Row],[Cumulative_Value_%]]&lt;=95%,"B","C"))</f>
        <v>C</v>
      </c>
      <c r="Y478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478">
        <f>Table1[[#This Row],[Consumption]]/365</f>
        <v>2.7397260273972601E-2</v>
      </c>
      <c r="AA478">
        <f>Table1[[#This Row],[Avg_Daily_Consumption]]*Table1[[#This Row],[Lead_Time_Days]]+Table1[[#This Row],[Safety_Stock]]</f>
        <v>1.7397260273972601</v>
      </c>
      <c r="AB478">
        <f>IFERROR(Table1[[#This Row],[Closing_Stock]]/Table1[[#This Row],[Avg_Daily_Consumption]],9999)</f>
        <v>292</v>
      </c>
      <c r="AC478">
        <f>MAX(1,ROUNDUP(Table1[[#This Row],[Avg_Daily_Consumption]]*Table1[[#This Row],[Lead_Time_Days]]*0.8,0))</f>
        <v>1</v>
      </c>
      <c r="AD478" t="str">
        <f>IF(Table1[[#This Row],[Closing_Stock]]&lt;Table1[[#This Row],[Reorder_Point]],"Stock-out Risk","Adequate")</f>
        <v>Adequate</v>
      </c>
      <c r="AE478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478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478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478" s="11">
        <f>MAX(0,Table1[[#This Row],[Closing_Stock]]-Table1[[#This Row],[Reorder_Point]])</f>
        <v>6.2602739726027394</v>
      </c>
      <c r="AI478" s="11">
        <f>Table1[[#This Row],[Excess_Stock_Units]]*Table1[[#This Row],[Unit_Cost_INR]]</f>
        <v>4507.3972602739723</v>
      </c>
      <c r="AJ478" s="11">
        <f>IF(Table1[[#This Row],[Criticality]]="Critical",0,Table1[[#This Row],[Excess_Inventory_Value_INR]])</f>
        <v>4507.3972602739723</v>
      </c>
      <c r="AK478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479" spans="1:37" x14ac:dyDescent="0.25">
      <c r="A479" t="s">
        <v>350</v>
      </c>
      <c r="B479" t="s">
        <v>113</v>
      </c>
      <c r="C479" t="s">
        <v>36</v>
      </c>
      <c r="D479" t="s">
        <v>21</v>
      </c>
      <c r="E479" t="s">
        <v>22</v>
      </c>
      <c r="F479">
        <v>6</v>
      </c>
      <c r="G479">
        <v>23</v>
      </c>
      <c r="H479">
        <v>17</v>
      </c>
      <c r="I479">
        <v>12</v>
      </c>
      <c r="J479">
        <v>470</v>
      </c>
      <c r="K479">
        <v>27</v>
      </c>
      <c r="L479">
        <v>0</v>
      </c>
      <c r="M479">
        <v>55</v>
      </c>
      <c r="N479" t="s">
        <v>58</v>
      </c>
      <c r="O479">
        <v>0.25900000000000001</v>
      </c>
      <c r="P479">
        <v>1460.76</v>
      </c>
      <c r="Q479">
        <f>(Table1[[#This Row],[Closing_Stock]]*Table1[[#This Row],[Unit_Cost_INR]])</f>
        <v>5640</v>
      </c>
      <c r="R479">
        <f>(Table1[[#This Row],[Unit_Cost_INR]]*Table1[[#This Row],[Consumption]])</f>
        <v>7990</v>
      </c>
      <c r="S479">
        <f>IFERROR(Table1[[#This Row],[Annual_Consumption_Value_INR]]/Table1[[#This Row],[Inventory_Value_INR]],0)</f>
        <v>1.4166666666666667</v>
      </c>
      <c r="T479">
        <f>IFERROR(365/Table1[[#This Row],[Inventory_Turnover]],0)</f>
        <v>257.64705882352939</v>
      </c>
      <c r="U479" t="str">
        <f>IF(Table1[[#This Row],[Consumption]]=0,"Non-Moving", IF(Table1[[#This Row],[Days_Since_Last_Movement]]&gt;90,"Slow-Moving","Active"))</f>
        <v>Active</v>
      </c>
      <c r="V479">
        <f>SUM($Q$2:Q479)</f>
        <v>75621620</v>
      </c>
      <c r="W479">
        <f>Table1[[#This Row],[Cumulative_Inventory_Value]]/$AP$3</f>
        <v>0.99902569998667023</v>
      </c>
      <c r="X479" t="str">
        <f>IF(Table1[[#This Row],[Cumulative_Value_%]]&lt;80%,"A", IF(Table1[[#This Row],[Cumulative_Value_%]]&lt;=95%,"B","C"))</f>
        <v>C</v>
      </c>
      <c r="Y479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479">
        <f>Table1[[#This Row],[Consumption]]/365</f>
        <v>4.6575342465753428E-2</v>
      </c>
      <c r="AA479">
        <f>Table1[[#This Row],[Avg_Daily_Consumption]]*Table1[[#This Row],[Lead_Time_Days]]+Table1[[#This Row],[Safety_Stock]]</f>
        <v>3.2575342465753425</v>
      </c>
      <c r="AB479">
        <f>IFERROR(Table1[[#This Row],[Closing_Stock]]/Table1[[#This Row],[Avg_Daily_Consumption]],9999)</f>
        <v>257.64705882352939</v>
      </c>
      <c r="AC479">
        <f>MAX(1,ROUNDUP(Table1[[#This Row],[Avg_Daily_Consumption]]*Table1[[#This Row],[Lead_Time_Days]]*0.8,0))</f>
        <v>2</v>
      </c>
      <c r="AD479" t="str">
        <f>IF(Table1[[#This Row],[Closing_Stock]]&lt;Table1[[#This Row],[Reorder_Point]],"Stock-out Risk","Adequate")</f>
        <v>Adequate</v>
      </c>
      <c r="AE479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479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479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479" s="11">
        <f>MAX(0,Table1[[#This Row],[Closing_Stock]]-Table1[[#This Row],[Reorder_Point]])</f>
        <v>8.742465753424657</v>
      </c>
      <c r="AI479" s="11">
        <f>Table1[[#This Row],[Excess_Stock_Units]]*Table1[[#This Row],[Unit_Cost_INR]]</f>
        <v>4108.9589041095887</v>
      </c>
      <c r="AJ479" s="11">
        <f>IF(Table1[[#This Row],[Criticality]]="Critical",0,Table1[[#This Row],[Excess_Inventory_Value_INR]])</f>
        <v>4108.9589041095887</v>
      </c>
      <c r="AK479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480" spans="1:37" x14ac:dyDescent="0.25">
      <c r="A480" t="s">
        <v>250</v>
      </c>
      <c r="B480" t="s">
        <v>152</v>
      </c>
      <c r="C480" t="s">
        <v>20</v>
      </c>
      <c r="D480" t="s">
        <v>27</v>
      </c>
      <c r="E480" t="s">
        <v>22</v>
      </c>
      <c r="F480">
        <v>3</v>
      </c>
      <c r="G480">
        <v>3</v>
      </c>
      <c r="H480">
        <v>3</v>
      </c>
      <c r="I480">
        <v>3</v>
      </c>
      <c r="J480">
        <v>1830</v>
      </c>
      <c r="K480">
        <v>27</v>
      </c>
      <c r="L480">
        <v>1</v>
      </c>
      <c r="M480">
        <v>146</v>
      </c>
      <c r="N480" t="s">
        <v>23</v>
      </c>
      <c r="O480">
        <v>0.248</v>
      </c>
      <c r="P480">
        <v>1361.52</v>
      </c>
      <c r="Q480">
        <f>(Table1[[#This Row],[Closing_Stock]]*Table1[[#This Row],[Unit_Cost_INR]])</f>
        <v>5490</v>
      </c>
      <c r="R480">
        <f>(Table1[[#This Row],[Unit_Cost_INR]]*Table1[[#This Row],[Consumption]])</f>
        <v>5490</v>
      </c>
      <c r="S480">
        <f>IFERROR(Table1[[#This Row],[Annual_Consumption_Value_INR]]/Table1[[#This Row],[Inventory_Value_INR]],0)</f>
        <v>1</v>
      </c>
      <c r="T480">
        <f>IFERROR(365/Table1[[#This Row],[Inventory_Turnover]],0)</f>
        <v>365</v>
      </c>
      <c r="U480" t="str">
        <f>IF(Table1[[#This Row],[Consumption]]=0,"Non-Moving", IF(Table1[[#This Row],[Days_Since_Last_Movement]]&gt;90,"Slow-Moving","Active"))</f>
        <v>Slow-Moving</v>
      </c>
      <c r="V480">
        <f>SUM($Q$2:Q480)</f>
        <v>75627110</v>
      </c>
      <c r="W480">
        <f>Table1[[#This Row],[Cumulative_Inventory_Value]]/$AP$3</f>
        <v>0.99909822754020494</v>
      </c>
      <c r="X480" t="str">
        <f>IF(Table1[[#This Row],[Cumulative_Value_%]]&lt;80%,"A", IF(Table1[[#This Row],[Cumulative_Value_%]]&lt;=95%,"B","C"))</f>
        <v>C</v>
      </c>
      <c r="Y480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480">
        <f>Table1[[#This Row],[Consumption]]/365</f>
        <v>8.21917808219178E-3</v>
      </c>
      <c r="AA480">
        <f>Table1[[#This Row],[Avg_Daily_Consumption]]*Table1[[#This Row],[Lead_Time_Days]]+Table1[[#This Row],[Safety_Stock]]</f>
        <v>1.2219178082191782</v>
      </c>
      <c r="AB480">
        <f>IFERROR(Table1[[#This Row],[Closing_Stock]]/Table1[[#This Row],[Avg_Daily_Consumption]],9999)</f>
        <v>365.00000000000006</v>
      </c>
      <c r="AC480">
        <f>MAX(1,ROUNDUP(Table1[[#This Row],[Avg_Daily_Consumption]]*Table1[[#This Row],[Lead_Time_Days]]*0.8,0))</f>
        <v>1</v>
      </c>
      <c r="AD480" t="str">
        <f>IF(Table1[[#This Row],[Closing_Stock]]&lt;Table1[[#This Row],[Reorder_Point]],"Stock-out Risk","Adequate")</f>
        <v>Adequate</v>
      </c>
      <c r="AE480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480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480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480" s="11">
        <f>MAX(0,Table1[[#This Row],[Closing_Stock]]-Table1[[#This Row],[Reorder_Point]])</f>
        <v>1.7780821917808218</v>
      </c>
      <c r="AI480" s="11">
        <f>Table1[[#This Row],[Excess_Stock_Units]]*Table1[[#This Row],[Unit_Cost_INR]]</f>
        <v>3253.8904109589039</v>
      </c>
      <c r="AJ480" s="11">
        <f>IF(Table1[[#This Row],[Criticality]]="Critical",0,Table1[[#This Row],[Excess_Inventory_Value_INR]])</f>
        <v>3253.8904109589039</v>
      </c>
      <c r="AK480" s="11">
        <f>IF(AND(Table1[[#This Row],[Criticality]]&lt;&gt;"Critical",OR(Table1[[#This Row],[Movement_Class]]="Slow-Moving",Table1[[#This Row],[Movement_Class]]="Non-Moving")),Table1[[#This Row],[Excess_Inventory_Value_INR]],0)</f>
        <v>3253.8904109589039</v>
      </c>
    </row>
    <row r="481" spans="1:37" x14ac:dyDescent="0.25">
      <c r="A481" t="s">
        <v>172</v>
      </c>
      <c r="B481" t="s">
        <v>150</v>
      </c>
      <c r="C481" t="s">
        <v>36</v>
      </c>
      <c r="D481" t="s">
        <v>21</v>
      </c>
      <c r="E481" t="s">
        <v>46</v>
      </c>
      <c r="F481">
        <v>9</v>
      </c>
      <c r="G481">
        <v>4</v>
      </c>
      <c r="H481">
        <v>5</v>
      </c>
      <c r="I481">
        <v>8</v>
      </c>
      <c r="J481">
        <v>680</v>
      </c>
      <c r="K481">
        <v>44</v>
      </c>
      <c r="L481">
        <v>0</v>
      </c>
      <c r="M481">
        <v>24</v>
      </c>
      <c r="N481" t="s">
        <v>81</v>
      </c>
      <c r="O481">
        <v>0.182</v>
      </c>
      <c r="P481">
        <v>990.07999999999993</v>
      </c>
      <c r="Q481">
        <f>(Table1[[#This Row],[Closing_Stock]]*Table1[[#This Row],[Unit_Cost_INR]])</f>
        <v>5440</v>
      </c>
      <c r="R481">
        <f>(Table1[[#This Row],[Unit_Cost_INR]]*Table1[[#This Row],[Consumption]])</f>
        <v>3400</v>
      </c>
      <c r="S481">
        <f>IFERROR(Table1[[#This Row],[Annual_Consumption_Value_INR]]/Table1[[#This Row],[Inventory_Value_INR]],0)</f>
        <v>0.625</v>
      </c>
      <c r="T481">
        <f>IFERROR(365/Table1[[#This Row],[Inventory_Turnover]],0)</f>
        <v>584</v>
      </c>
      <c r="U481" t="str">
        <f>IF(Table1[[#This Row],[Consumption]]=0,"Non-Moving", IF(Table1[[#This Row],[Days_Since_Last_Movement]]&gt;90,"Slow-Moving","Active"))</f>
        <v>Active</v>
      </c>
      <c r="V481">
        <f>SUM($Q$2:Q481)</f>
        <v>75632550</v>
      </c>
      <c r="W481">
        <f>Table1[[#This Row],[Cumulative_Inventory_Value]]/$AP$3</f>
        <v>0.99917009455135763</v>
      </c>
      <c r="X481" t="str">
        <f>IF(Table1[[#This Row],[Cumulative_Value_%]]&lt;80%,"A", IF(Table1[[#This Row],[Cumulative_Value_%]]&lt;=95%,"B","C"))</f>
        <v>C</v>
      </c>
      <c r="Y481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481">
        <f>Table1[[#This Row],[Consumption]]/365</f>
        <v>1.3698630136986301E-2</v>
      </c>
      <c r="AA481">
        <f>Table1[[#This Row],[Avg_Daily_Consumption]]*Table1[[#This Row],[Lead_Time_Days]]+Table1[[#This Row],[Safety_Stock]]</f>
        <v>1.6027397260273972</v>
      </c>
      <c r="AB481">
        <f>IFERROR(Table1[[#This Row],[Closing_Stock]]/Table1[[#This Row],[Avg_Daily_Consumption]],9999)</f>
        <v>584</v>
      </c>
      <c r="AC481">
        <f>MAX(1,ROUNDUP(Table1[[#This Row],[Avg_Daily_Consumption]]*Table1[[#This Row],[Lead_Time_Days]]*0.8,0))</f>
        <v>1</v>
      </c>
      <c r="AD481" t="str">
        <f>IF(Table1[[#This Row],[Closing_Stock]]&lt;Table1[[#This Row],[Reorder_Point]],"Stock-out Risk","Adequate")</f>
        <v>Adequate</v>
      </c>
      <c r="AE481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481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481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481" s="11">
        <f>MAX(0,Table1[[#This Row],[Closing_Stock]]-Table1[[#This Row],[Reorder_Point]])</f>
        <v>6.397260273972603</v>
      </c>
      <c r="AI481" s="11">
        <f>Table1[[#This Row],[Excess_Stock_Units]]*Table1[[#This Row],[Unit_Cost_INR]]</f>
        <v>4350.1369863013697</v>
      </c>
      <c r="AJ481" s="11">
        <f>IF(Table1[[#This Row],[Criticality]]="Critical",0,Table1[[#This Row],[Excess_Inventory_Value_INR]])</f>
        <v>4350.1369863013697</v>
      </c>
      <c r="AK481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482" spans="1:37" x14ac:dyDescent="0.25">
      <c r="A482" t="s">
        <v>295</v>
      </c>
      <c r="B482" t="s">
        <v>104</v>
      </c>
      <c r="C482" t="s">
        <v>41</v>
      </c>
      <c r="D482" t="s">
        <v>27</v>
      </c>
      <c r="E482" t="s">
        <v>37</v>
      </c>
      <c r="F482">
        <v>9</v>
      </c>
      <c r="G482">
        <v>14</v>
      </c>
      <c r="H482">
        <v>15</v>
      </c>
      <c r="I482">
        <v>8</v>
      </c>
      <c r="J482">
        <v>650</v>
      </c>
      <c r="K482">
        <v>33</v>
      </c>
      <c r="L482">
        <v>0</v>
      </c>
      <c r="M482">
        <v>41</v>
      </c>
      <c r="N482" t="s">
        <v>23</v>
      </c>
      <c r="O482">
        <v>0.26900000000000002</v>
      </c>
      <c r="P482">
        <v>1398.8</v>
      </c>
      <c r="Q482">
        <f>(Table1[[#This Row],[Closing_Stock]]*Table1[[#This Row],[Unit_Cost_INR]])</f>
        <v>5200</v>
      </c>
      <c r="R482">
        <f>(Table1[[#This Row],[Unit_Cost_INR]]*Table1[[#This Row],[Consumption]])</f>
        <v>9750</v>
      </c>
      <c r="S482">
        <f>IFERROR(Table1[[#This Row],[Annual_Consumption_Value_INR]]/Table1[[#This Row],[Inventory_Value_INR]],0)</f>
        <v>1.875</v>
      </c>
      <c r="T482">
        <f>IFERROR(365/Table1[[#This Row],[Inventory_Turnover]],0)</f>
        <v>194.66666666666666</v>
      </c>
      <c r="U482" t="str">
        <f>IF(Table1[[#This Row],[Consumption]]=0,"Non-Moving", IF(Table1[[#This Row],[Days_Since_Last_Movement]]&gt;90,"Slow-Moving","Active"))</f>
        <v>Active</v>
      </c>
      <c r="V482">
        <f>SUM($Q$2:Q482)</f>
        <v>75637750</v>
      </c>
      <c r="W482">
        <f>Table1[[#This Row],[Cumulative_Inventory_Value]]/$AP$3</f>
        <v>0.99923879095907719</v>
      </c>
      <c r="X482" t="str">
        <f>IF(Table1[[#This Row],[Cumulative_Value_%]]&lt;80%,"A", IF(Table1[[#This Row],[Cumulative_Value_%]]&lt;=95%,"B","C"))</f>
        <v>C</v>
      </c>
      <c r="Y482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482">
        <f>Table1[[#This Row],[Consumption]]/365</f>
        <v>4.1095890410958902E-2</v>
      </c>
      <c r="AA482">
        <f>Table1[[#This Row],[Avg_Daily_Consumption]]*Table1[[#This Row],[Lead_Time_Days]]+Table1[[#This Row],[Safety_Stock]]</f>
        <v>3.3561643835616435</v>
      </c>
      <c r="AB482">
        <f>IFERROR(Table1[[#This Row],[Closing_Stock]]/Table1[[#This Row],[Avg_Daily_Consumption]],9999)</f>
        <v>194.66666666666669</v>
      </c>
      <c r="AC482">
        <f>MAX(1,ROUNDUP(Table1[[#This Row],[Avg_Daily_Consumption]]*Table1[[#This Row],[Lead_Time_Days]]*0.8,0))</f>
        <v>2</v>
      </c>
      <c r="AD482" t="str">
        <f>IF(Table1[[#This Row],[Closing_Stock]]&lt;Table1[[#This Row],[Reorder_Point]],"Stock-out Risk","Adequate")</f>
        <v>Adequate</v>
      </c>
      <c r="AE482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482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482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482" s="11">
        <f>MAX(0,Table1[[#This Row],[Closing_Stock]]-Table1[[#This Row],[Reorder_Point]])</f>
        <v>4.6438356164383565</v>
      </c>
      <c r="AI482" s="11">
        <f>Table1[[#This Row],[Excess_Stock_Units]]*Table1[[#This Row],[Unit_Cost_INR]]</f>
        <v>3018.4931506849316</v>
      </c>
      <c r="AJ482" s="11">
        <f>IF(Table1[[#This Row],[Criticality]]="Critical",0,Table1[[#This Row],[Excess_Inventory_Value_INR]])</f>
        <v>0</v>
      </c>
      <c r="AK482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483" spans="1:37" x14ac:dyDescent="0.25">
      <c r="A483" t="s">
        <v>348</v>
      </c>
      <c r="B483" t="s">
        <v>19</v>
      </c>
      <c r="C483" t="s">
        <v>20</v>
      </c>
      <c r="D483" t="s">
        <v>21</v>
      </c>
      <c r="E483" t="s">
        <v>22</v>
      </c>
      <c r="F483">
        <v>9</v>
      </c>
      <c r="G483">
        <v>4</v>
      </c>
      <c r="H483">
        <v>3</v>
      </c>
      <c r="I483">
        <v>10</v>
      </c>
      <c r="J483">
        <v>520</v>
      </c>
      <c r="K483">
        <v>40</v>
      </c>
      <c r="L483">
        <v>1</v>
      </c>
      <c r="M483">
        <v>108</v>
      </c>
      <c r="N483" t="s">
        <v>33</v>
      </c>
      <c r="O483">
        <v>0.16600000000000001</v>
      </c>
      <c r="P483">
        <v>863.2</v>
      </c>
      <c r="Q483">
        <f>(Table1[[#This Row],[Closing_Stock]]*Table1[[#This Row],[Unit_Cost_INR]])</f>
        <v>5200</v>
      </c>
      <c r="R483">
        <f>(Table1[[#This Row],[Unit_Cost_INR]]*Table1[[#This Row],[Consumption]])</f>
        <v>1560</v>
      </c>
      <c r="S483">
        <f>IFERROR(Table1[[#This Row],[Annual_Consumption_Value_INR]]/Table1[[#This Row],[Inventory_Value_INR]],0)</f>
        <v>0.3</v>
      </c>
      <c r="T483">
        <f>IFERROR(365/Table1[[#This Row],[Inventory_Turnover]],0)</f>
        <v>1216.6666666666667</v>
      </c>
      <c r="U483" t="str">
        <f>IF(Table1[[#This Row],[Consumption]]=0,"Non-Moving", IF(Table1[[#This Row],[Days_Since_Last_Movement]]&gt;90,"Slow-Moving","Active"))</f>
        <v>Slow-Moving</v>
      </c>
      <c r="V483">
        <f>SUM($Q$2:Q483)</f>
        <v>75642950</v>
      </c>
      <c r="W483">
        <f>Table1[[#This Row],[Cumulative_Inventory_Value]]/$AP$3</f>
        <v>0.99930748736679664</v>
      </c>
      <c r="X483" t="str">
        <f>IF(Table1[[#This Row],[Cumulative_Value_%]]&lt;80%,"A", IF(Table1[[#This Row],[Cumulative_Value_%]]&lt;=95%,"B","C"))</f>
        <v>C</v>
      </c>
      <c r="Y483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483">
        <f>Table1[[#This Row],[Consumption]]/365</f>
        <v>8.21917808219178E-3</v>
      </c>
      <c r="AA483">
        <f>Table1[[#This Row],[Avg_Daily_Consumption]]*Table1[[#This Row],[Lead_Time_Days]]+Table1[[#This Row],[Safety_Stock]]</f>
        <v>1.3287671232876712</v>
      </c>
      <c r="AB483">
        <f>IFERROR(Table1[[#This Row],[Closing_Stock]]/Table1[[#This Row],[Avg_Daily_Consumption]],9999)</f>
        <v>1216.6666666666667</v>
      </c>
      <c r="AC483">
        <f>MAX(1,ROUNDUP(Table1[[#This Row],[Avg_Daily_Consumption]]*Table1[[#This Row],[Lead_Time_Days]]*0.8,0))</f>
        <v>1</v>
      </c>
      <c r="AD483" t="str">
        <f>IF(Table1[[#This Row],[Closing_Stock]]&lt;Table1[[#This Row],[Reorder_Point]],"Stock-out Risk","Adequate")</f>
        <v>Adequate</v>
      </c>
      <c r="AE483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483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483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483" s="11">
        <f>MAX(0,Table1[[#This Row],[Closing_Stock]]-Table1[[#This Row],[Reorder_Point]])</f>
        <v>8.6712328767123292</v>
      </c>
      <c r="AI483" s="11">
        <f>Table1[[#This Row],[Excess_Stock_Units]]*Table1[[#This Row],[Unit_Cost_INR]]</f>
        <v>4509.0410958904113</v>
      </c>
      <c r="AJ483" s="11">
        <f>IF(Table1[[#This Row],[Criticality]]="Critical",0,Table1[[#This Row],[Excess_Inventory_Value_INR]])</f>
        <v>4509.0410958904113</v>
      </c>
      <c r="AK483" s="11">
        <f>IF(AND(Table1[[#This Row],[Criticality]]&lt;&gt;"Critical",OR(Table1[[#This Row],[Movement_Class]]="Slow-Moving",Table1[[#This Row],[Movement_Class]]="Non-Moving")),Table1[[#This Row],[Excess_Inventory_Value_INR]],0)</f>
        <v>4509.0410958904113</v>
      </c>
    </row>
    <row r="484" spans="1:37" x14ac:dyDescent="0.25">
      <c r="A484" t="s">
        <v>34</v>
      </c>
      <c r="B484" t="s">
        <v>35</v>
      </c>
      <c r="C484" t="s">
        <v>36</v>
      </c>
      <c r="D484" t="s">
        <v>27</v>
      </c>
      <c r="E484" t="s">
        <v>37</v>
      </c>
      <c r="F484">
        <v>1</v>
      </c>
      <c r="G484">
        <v>4</v>
      </c>
      <c r="H484">
        <v>3</v>
      </c>
      <c r="I484">
        <v>2</v>
      </c>
      <c r="J484">
        <v>2490</v>
      </c>
      <c r="K484">
        <v>25</v>
      </c>
      <c r="L484">
        <v>0</v>
      </c>
      <c r="M484">
        <v>74</v>
      </c>
      <c r="N484" t="s">
        <v>38</v>
      </c>
      <c r="O484">
        <v>0.20899999999999999</v>
      </c>
      <c r="P484">
        <v>1040.82</v>
      </c>
      <c r="Q484">
        <f>(Table1[[#This Row],[Closing_Stock]]*Table1[[#This Row],[Unit_Cost_INR]])</f>
        <v>4980</v>
      </c>
      <c r="R484">
        <f>(Table1[[#This Row],[Unit_Cost_INR]]*Table1[[#This Row],[Consumption]])</f>
        <v>7470</v>
      </c>
      <c r="S484">
        <f>IFERROR(Table1[[#This Row],[Annual_Consumption_Value_INR]]/Table1[[#This Row],[Inventory_Value_INR]],0)</f>
        <v>1.5</v>
      </c>
      <c r="T484">
        <f>IFERROR(365/Table1[[#This Row],[Inventory_Turnover]],0)</f>
        <v>243.33333333333334</v>
      </c>
      <c r="U484" t="str">
        <f>IF(Table1[[#This Row],[Consumption]]=0,"Non-Moving", IF(Table1[[#This Row],[Days_Since_Last_Movement]]&gt;90,"Slow-Moving","Active"))</f>
        <v>Active</v>
      </c>
      <c r="V484">
        <f>SUM($Q$2:Q484)</f>
        <v>75647930</v>
      </c>
      <c r="W484">
        <f>Table1[[#This Row],[Cumulative_Inventory_Value]]/$AP$3</f>
        <v>0.99937327738803572</v>
      </c>
      <c r="X484" t="str">
        <f>IF(Table1[[#This Row],[Cumulative_Value_%]]&lt;80%,"A", IF(Table1[[#This Row],[Cumulative_Value_%]]&lt;=95%,"B","C"))</f>
        <v>C</v>
      </c>
      <c r="Y484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484">
        <f>Table1[[#This Row],[Consumption]]/365</f>
        <v>8.21917808219178E-3</v>
      </c>
      <c r="AA484">
        <f>Table1[[#This Row],[Avg_Daily_Consumption]]*Table1[[#This Row],[Lead_Time_Days]]+Table1[[#This Row],[Safety_Stock]]</f>
        <v>1.2054794520547945</v>
      </c>
      <c r="AB484">
        <f>IFERROR(Table1[[#This Row],[Closing_Stock]]/Table1[[#This Row],[Avg_Daily_Consumption]],9999)</f>
        <v>243.33333333333337</v>
      </c>
      <c r="AC484">
        <f>MAX(1,ROUNDUP(Table1[[#This Row],[Avg_Daily_Consumption]]*Table1[[#This Row],[Lead_Time_Days]]*0.8,0))</f>
        <v>1</v>
      </c>
      <c r="AD484" t="str">
        <f>IF(Table1[[#This Row],[Closing_Stock]]&lt;Table1[[#This Row],[Reorder_Point]],"Stock-out Risk","Adequate")</f>
        <v>Adequate</v>
      </c>
      <c r="AE484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484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484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484" s="11">
        <f>MAX(0,Table1[[#This Row],[Closing_Stock]]-Table1[[#This Row],[Reorder_Point]])</f>
        <v>0.79452054794520555</v>
      </c>
      <c r="AI484" s="11">
        <f>Table1[[#This Row],[Excess_Stock_Units]]*Table1[[#This Row],[Unit_Cost_INR]]</f>
        <v>1978.3561643835619</v>
      </c>
      <c r="AJ484" s="11">
        <f>IF(Table1[[#This Row],[Criticality]]="Critical",0,Table1[[#This Row],[Excess_Inventory_Value_INR]])</f>
        <v>0</v>
      </c>
      <c r="AK484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485" spans="1:37" x14ac:dyDescent="0.25">
      <c r="A485" t="s">
        <v>308</v>
      </c>
      <c r="B485" t="s">
        <v>210</v>
      </c>
      <c r="C485" t="s">
        <v>32</v>
      </c>
      <c r="D485" t="s">
        <v>27</v>
      </c>
      <c r="E485" t="s">
        <v>37</v>
      </c>
      <c r="F485">
        <v>11</v>
      </c>
      <c r="G485">
        <v>9</v>
      </c>
      <c r="H485">
        <v>5</v>
      </c>
      <c r="I485">
        <v>15</v>
      </c>
      <c r="J485">
        <v>310</v>
      </c>
      <c r="K485">
        <v>13</v>
      </c>
      <c r="L485">
        <v>0</v>
      </c>
      <c r="M485">
        <v>48</v>
      </c>
      <c r="N485" t="s">
        <v>23</v>
      </c>
      <c r="O485">
        <v>0.17799999999999999</v>
      </c>
      <c r="P485">
        <v>827.69999999999993</v>
      </c>
      <c r="Q485">
        <f>(Table1[[#This Row],[Closing_Stock]]*Table1[[#This Row],[Unit_Cost_INR]])</f>
        <v>4650</v>
      </c>
      <c r="R485">
        <f>(Table1[[#This Row],[Unit_Cost_INR]]*Table1[[#This Row],[Consumption]])</f>
        <v>1550</v>
      </c>
      <c r="S485">
        <f>IFERROR(Table1[[#This Row],[Annual_Consumption_Value_INR]]/Table1[[#This Row],[Inventory_Value_INR]],0)</f>
        <v>0.33333333333333331</v>
      </c>
      <c r="T485">
        <f>IFERROR(365/Table1[[#This Row],[Inventory_Turnover]],0)</f>
        <v>1095</v>
      </c>
      <c r="U485" t="str">
        <f>IF(Table1[[#This Row],[Consumption]]=0,"Non-Moving", IF(Table1[[#This Row],[Days_Since_Last_Movement]]&gt;90,"Slow-Moving","Active"))</f>
        <v>Active</v>
      </c>
      <c r="V485">
        <f>SUM($Q$2:Q485)</f>
        <v>75652580</v>
      </c>
      <c r="W485">
        <f>Table1[[#This Row],[Cumulative_Inventory_Value]]/$AP$3</f>
        <v>0.99943470782955413</v>
      </c>
      <c r="X485" t="str">
        <f>IF(Table1[[#This Row],[Cumulative_Value_%]]&lt;80%,"A", IF(Table1[[#This Row],[Cumulative_Value_%]]&lt;=95%,"B","C"))</f>
        <v>C</v>
      </c>
      <c r="Y485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485">
        <f>Table1[[#This Row],[Consumption]]/365</f>
        <v>1.3698630136986301E-2</v>
      </c>
      <c r="AA485">
        <f>Table1[[#This Row],[Avg_Daily_Consumption]]*Table1[[#This Row],[Lead_Time_Days]]+Table1[[#This Row],[Safety_Stock]]</f>
        <v>1.178082191780822</v>
      </c>
      <c r="AB485">
        <f>IFERROR(Table1[[#This Row],[Closing_Stock]]/Table1[[#This Row],[Avg_Daily_Consumption]],9999)</f>
        <v>1095</v>
      </c>
      <c r="AC485">
        <f>MAX(1,ROUNDUP(Table1[[#This Row],[Avg_Daily_Consumption]]*Table1[[#This Row],[Lead_Time_Days]]*0.8,0))</f>
        <v>1</v>
      </c>
      <c r="AD485" t="str">
        <f>IF(Table1[[#This Row],[Closing_Stock]]&lt;Table1[[#This Row],[Reorder_Point]],"Stock-out Risk","Adequate")</f>
        <v>Adequate</v>
      </c>
      <c r="AE485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485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485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485" s="11">
        <f>MAX(0,Table1[[#This Row],[Closing_Stock]]-Table1[[#This Row],[Reorder_Point]])</f>
        <v>13.821917808219178</v>
      </c>
      <c r="AI485" s="11">
        <f>Table1[[#This Row],[Excess_Stock_Units]]*Table1[[#This Row],[Unit_Cost_INR]]</f>
        <v>4284.7945205479455</v>
      </c>
      <c r="AJ485" s="11">
        <f>IF(Table1[[#This Row],[Criticality]]="Critical",0,Table1[[#This Row],[Excess_Inventory_Value_INR]])</f>
        <v>0</v>
      </c>
      <c r="AK485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486" spans="1:37" x14ac:dyDescent="0.25">
      <c r="A486" t="s">
        <v>306</v>
      </c>
      <c r="B486" t="s">
        <v>80</v>
      </c>
      <c r="C486" t="s">
        <v>20</v>
      </c>
      <c r="D486" t="s">
        <v>21</v>
      </c>
      <c r="E486" t="s">
        <v>46</v>
      </c>
      <c r="F486">
        <v>6</v>
      </c>
      <c r="G486">
        <v>6</v>
      </c>
      <c r="H486">
        <v>5</v>
      </c>
      <c r="I486">
        <v>7</v>
      </c>
      <c r="J486">
        <v>590</v>
      </c>
      <c r="K486">
        <v>19</v>
      </c>
      <c r="L486">
        <v>0</v>
      </c>
      <c r="M486">
        <v>52</v>
      </c>
      <c r="N486" t="s">
        <v>33</v>
      </c>
      <c r="O486">
        <v>0.214</v>
      </c>
      <c r="P486">
        <v>883.81999999999994</v>
      </c>
      <c r="Q486">
        <f>(Table1[[#This Row],[Closing_Stock]]*Table1[[#This Row],[Unit_Cost_INR]])</f>
        <v>4130</v>
      </c>
      <c r="R486">
        <f>(Table1[[#This Row],[Unit_Cost_INR]]*Table1[[#This Row],[Consumption]])</f>
        <v>2950</v>
      </c>
      <c r="S486">
        <f>IFERROR(Table1[[#This Row],[Annual_Consumption_Value_INR]]/Table1[[#This Row],[Inventory_Value_INR]],0)</f>
        <v>0.7142857142857143</v>
      </c>
      <c r="T486">
        <f>IFERROR(365/Table1[[#This Row],[Inventory_Turnover]],0)</f>
        <v>511</v>
      </c>
      <c r="U486" t="str">
        <f>IF(Table1[[#This Row],[Consumption]]=0,"Non-Moving", IF(Table1[[#This Row],[Days_Since_Last_Movement]]&gt;90,"Slow-Moving","Active"))</f>
        <v>Active</v>
      </c>
      <c r="V486">
        <f>SUM($Q$2:Q486)</f>
        <v>75656710</v>
      </c>
      <c r="W486">
        <f>Table1[[#This Row],[Cumulative_Inventory_Value]]/$AP$3</f>
        <v>0.99948926863030063</v>
      </c>
      <c r="X486" t="str">
        <f>IF(Table1[[#This Row],[Cumulative_Value_%]]&lt;80%,"A", IF(Table1[[#This Row],[Cumulative_Value_%]]&lt;=95%,"B","C"))</f>
        <v>C</v>
      </c>
      <c r="Y486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486">
        <f>Table1[[#This Row],[Consumption]]/365</f>
        <v>1.3698630136986301E-2</v>
      </c>
      <c r="AA486">
        <f>Table1[[#This Row],[Avg_Daily_Consumption]]*Table1[[#This Row],[Lead_Time_Days]]+Table1[[#This Row],[Safety_Stock]]</f>
        <v>1.2602739726027397</v>
      </c>
      <c r="AB486">
        <f>IFERROR(Table1[[#This Row],[Closing_Stock]]/Table1[[#This Row],[Avg_Daily_Consumption]],9999)</f>
        <v>511</v>
      </c>
      <c r="AC486">
        <f>MAX(1,ROUNDUP(Table1[[#This Row],[Avg_Daily_Consumption]]*Table1[[#This Row],[Lead_Time_Days]]*0.8,0))</f>
        <v>1</v>
      </c>
      <c r="AD486" t="str">
        <f>IF(Table1[[#This Row],[Closing_Stock]]&lt;Table1[[#This Row],[Reorder_Point]],"Stock-out Risk","Adequate")</f>
        <v>Adequate</v>
      </c>
      <c r="AE486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486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486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486" s="11">
        <f>MAX(0,Table1[[#This Row],[Closing_Stock]]-Table1[[#This Row],[Reorder_Point]])</f>
        <v>5.7397260273972606</v>
      </c>
      <c r="AI486" s="11">
        <f>Table1[[#This Row],[Excess_Stock_Units]]*Table1[[#This Row],[Unit_Cost_INR]]</f>
        <v>3386.4383561643835</v>
      </c>
      <c r="AJ486" s="11">
        <f>IF(Table1[[#This Row],[Criticality]]="Critical",0,Table1[[#This Row],[Excess_Inventory_Value_INR]])</f>
        <v>3386.4383561643835</v>
      </c>
      <c r="AK486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487" spans="1:37" x14ac:dyDescent="0.25">
      <c r="A487" t="s">
        <v>380</v>
      </c>
      <c r="B487" t="s">
        <v>152</v>
      </c>
      <c r="C487" t="s">
        <v>20</v>
      </c>
      <c r="D487" t="s">
        <v>42</v>
      </c>
      <c r="E487" t="s">
        <v>28</v>
      </c>
      <c r="F487">
        <v>5</v>
      </c>
      <c r="G487">
        <v>4</v>
      </c>
      <c r="H487">
        <v>4</v>
      </c>
      <c r="I487">
        <v>5</v>
      </c>
      <c r="J487">
        <v>810</v>
      </c>
      <c r="K487">
        <v>39</v>
      </c>
      <c r="L487">
        <v>1</v>
      </c>
      <c r="M487">
        <v>10</v>
      </c>
      <c r="N487" t="s">
        <v>58</v>
      </c>
      <c r="O487">
        <v>0.246</v>
      </c>
      <c r="P487">
        <v>996.3</v>
      </c>
      <c r="Q487">
        <f>(Table1[[#This Row],[Closing_Stock]]*Table1[[#This Row],[Unit_Cost_INR]])</f>
        <v>4050</v>
      </c>
      <c r="R487">
        <f>(Table1[[#This Row],[Unit_Cost_INR]]*Table1[[#This Row],[Consumption]])</f>
        <v>3240</v>
      </c>
      <c r="S487">
        <f>IFERROR(Table1[[#This Row],[Annual_Consumption_Value_INR]]/Table1[[#This Row],[Inventory_Value_INR]],0)</f>
        <v>0.8</v>
      </c>
      <c r="T487">
        <f>IFERROR(365/Table1[[#This Row],[Inventory_Turnover]],0)</f>
        <v>456.25</v>
      </c>
      <c r="U487" t="str">
        <f>IF(Table1[[#This Row],[Consumption]]=0,"Non-Moving", IF(Table1[[#This Row],[Days_Since_Last_Movement]]&gt;90,"Slow-Moving","Active"))</f>
        <v>Active</v>
      </c>
      <c r="V487">
        <f>SUM($Q$2:Q487)</f>
        <v>75660760</v>
      </c>
      <c r="W487">
        <f>Table1[[#This Row],[Cumulative_Inventory_Value]]/$AP$3</f>
        <v>0.99954277256323598</v>
      </c>
      <c r="X487" t="str">
        <f>IF(Table1[[#This Row],[Cumulative_Value_%]]&lt;80%,"A", IF(Table1[[#This Row],[Cumulative_Value_%]]&lt;=95%,"B","C"))</f>
        <v>C</v>
      </c>
      <c r="Y487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487">
        <f>Table1[[#This Row],[Consumption]]/365</f>
        <v>1.0958904109589041E-2</v>
      </c>
      <c r="AA487">
        <f>Table1[[#This Row],[Avg_Daily_Consumption]]*Table1[[#This Row],[Lead_Time_Days]]+Table1[[#This Row],[Safety_Stock]]</f>
        <v>1.4273972602739726</v>
      </c>
      <c r="AB487">
        <f>IFERROR(Table1[[#This Row],[Closing_Stock]]/Table1[[#This Row],[Avg_Daily_Consumption]],9999)</f>
        <v>456.25</v>
      </c>
      <c r="AC487">
        <f>MAX(1,ROUNDUP(Table1[[#This Row],[Avg_Daily_Consumption]]*Table1[[#This Row],[Lead_Time_Days]]*0.8,0))</f>
        <v>1</v>
      </c>
      <c r="AD487" t="str">
        <f>IF(Table1[[#This Row],[Closing_Stock]]&lt;Table1[[#This Row],[Reorder_Point]],"Stock-out Risk","Adequate")</f>
        <v>Adequate</v>
      </c>
      <c r="AE487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487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487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487" s="11">
        <f>MAX(0,Table1[[#This Row],[Closing_Stock]]-Table1[[#This Row],[Reorder_Point]])</f>
        <v>3.5726027397260274</v>
      </c>
      <c r="AI487" s="11">
        <f>Table1[[#This Row],[Excess_Stock_Units]]*Table1[[#This Row],[Unit_Cost_INR]]</f>
        <v>2893.8082191780823</v>
      </c>
      <c r="AJ487" s="11">
        <f>IF(Table1[[#This Row],[Criticality]]="Critical",0,Table1[[#This Row],[Excess_Inventory_Value_INR]])</f>
        <v>2893.8082191780823</v>
      </c>
      <c r="AK487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488" spans="1:37" x14ac:dyDescent="0.25">
      <c r="A488" t="s">
        <v>255</v>
      </c>
      <c r="B488" t="s">
        <v>95</v>
      </c>
      <c r="C488" t="s">
        <v>26</v>
      </c>
      <c r="D488" t="s">
        <v>27</v>
      </c>
      <c r="E488" t="s">
        <v>22</v>
      </c>
      <c r="F488">
        <v>4</v>
      </c>
      <c r="G488">
        <v>5</v>
      </c>
      <c r="H488">
        <v>4</v>
      </c>
      <c r="I488">
        <v>5</v>
      </c>
      <c r="J488">
        <v>740</v>
      </c>
      <c r="K488">
        <v>16</v>
      </c>
      <c r="L488">
        <v>1</v>
      </c>
      <c r="M488">
        <v>118</v>
      </c>
      <c r="N488" t="s">
        <v>49</v>
      </c>
      <c r="O488">
        <v>0.19400000000000001</v>
      </c>
      <c r="P488">
        <v>717.80000000000007</v>
      </c>
      <c r="Q488">
        <f>(Table1[[#This Row],[Closing_Stock]]*Table1[[#This Row],[Unit_Cost_INR]])</f>
        <v>3700</v>
      </c>
      <c r="R488">
        <f>(Table1[[#This Row],[Unit_Cost_INR]]*Table1[[#This Row],[Consumption]])</f>
        <v>2960</v>
      </c>
      <c r="S488">
        <f>IFERROR(Table1[[#This Row],[Annual_Consumption_Value_INR]]/Table1[[#This Row],[Inventory_Value_INR]],0)</f>
        <v>0.8</v>
      </c>
      <c r="T488">
        <f>IFERROR(365/Table1[[#This Row],[Inventory_Turnover]],0)</f>
        <v>456.25</v>
      </c>
      <c r="U488" t="str">
        <f>IF(Table1[[#This Row],[Consumption]]=0,"Non-Moving", IF(Table1[[#This Row],[Days_Since_Last_Movement]]&gt;90,"Slow-Moving","Active"))</f>
        <v>Slow-Moving</v>
      </c>
      <c r="V488">
        <f>SUM($Q$2:Q488)</f>
        <v>75664460</v>
      </c>
      <c r="W488">
        <f>Table1[[#This Row],[Cumulative_Inventory_Value]]/$AP$3</f>
        <v>0.99959165269949801</v>
      </c>
      <c r="X488" t="str">
        <f>IF(Table1[[#This Row],[Cumulative_Value_%]]&lt;80%,"A", IF(Table1[[#This Row],[Cumulative_Value_%]]&lt;=95%,"B","C"))</f>
        <v>C</v>
      </c>
      <c r="Y488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488">
        <f>Table1[[#This Row],[Consumption]]/365</f>
        <v>1.0958904109589041E-2</v>
      </c>
      <c r="AA488">
        <f>Table1[[#This Row],[Avg_Daily_Consumption]]*Table1[[#This Row],[Lead_Time_Days]]+Table1[[#This Row],[Safety_Stock]]</f>
        <v>1.1753424657534246</v>
      </c>
      <c r="AB488">
        <f>IFERROR(Table1[[#This Row],[Closing_Stock]]/Table1[[#This Row],[Avg_Daily_Consumption]],9999)</f>
        <v>456.25</v>
      </c>
      <c r="AC488">
        <f>MAX(1,ROUNDUP(Table1[[#This Row],[Avg_Daily_Consumption]]*Table1[[#This Row],[Lead_Time_Days]]*0.8,0))</f>
        <v>1</v>
      </c>
      <c r="AD488" t="str">
        <f>IF(Table1[[#This Row],[Closing_Stock]]&lt;Table1[[#This Row],[Reorder_Point]],"Stock-out Risk","Adequate")</f>
        <v>Adequate</v>
      </c>
      <c r="AE488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488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488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488" s="11">
        <f>MAX(0,Table1[[#This Row],[Closing_Stock]]-Table1[[#This Row],[Reorder_Point]])</f>
        <v>3.8246575342465752</v>
      </c>
      <c r="AI488" s="11">
        <f>Table1[[#This Row],[Excess_Stock_Units]]*Table1[[#This Row],[Unit_Cost_INR]]</f>
        <v>2830.2465753424658</v>
      </c>
      <c r="AJ488" s="11">
        <f>IF(Table1[[#This Row],[Criticality]]="Critical",0,Table1[[#This Row],[Excess_Inventory_Value_INR]])</f>
        <v>2830.2465753424658</v>
      </c>
      <c r="AK488" s="11">
        <f>IF(AND(Table1[[#This Row],[Criticality]]&lt;&gt;"Critical",OR(Table1[[#This Row],[Movement_Class]]="Slow-Moving",Table1[[#This Row],[Movement_Class]]="Non-Moving")),Table1[[#This Row],[Excess_Inventory_Value_INR]],0)</f>
        <v>2830.2465753424658</v>
      </c>
    </row>
    <row r="489" spans="1:37" x14ac:dyDescent="0.25">
      <c r="A489" t="s">
        <v>540</v>
      </c>
      <c r="B489" t="s">
        <v>51</v>
      </c>
      <c r="C489" t="s">
        <v>52</v>
      </c>
      <c r="D489" t="s">
        <v>27</v>
      </c>
      <c r="E489" t="s">
        <v>28</v>
      </c>
      <c r="F489">
        <v>7</v>
      </c>
      <c r="G489">
        <v>12</v>
      </c>
      <c r="H489">
        <v>9</v>
      </c>
      <c r="I489">
        <v>10</v>
      </c>
      <c r="J489">
        <v>360</v>
      </c>
      <c r="K489">
        <v>12</v>
      </c>
      <c r="L489">
        <v>0</v>
      </c>
      <c r="M489">
        <v>124</v>
      </c>
      <c r="N489" t="s">
        <v>38</v>
      </c>
      <c r="O489">
        <v>0.214</v>
      </c>
      <c r="P489">
        <v>770.4</v>
      </c>
      <c r="Q489">
        <f>(Table1[[#This Row],[Closing_Stock]]*Table1[[#This Row],[Unit_Cost_INR]])</f>
        <v>3600</v>
      </c>
      <c r="R489">
        <f>(Table1[[#This Row],[Unit_Cost_INR]]*Table1[[#This Row],[Consumption]])</f>
        <v>3240</v>
      </c>
      <c r="S489">
        <f>IFERROR(Table1[[#This Row],[Annual_Consumption_Value_INR]]/Table1[[#This Row],[Inventory_Value_INR]],0)</f>
        <v>0.9</v>
      </c>
      <c r="T489">
        <f>IFERROR(365/Table1[[#This Row],[Inventory_Turnover]],0)</f>
        <v>405.55555555555554</v>
      </c>
      <c r="U489" t="str">
        <f>IF(Table1[[#This Row],[Consumption]]=0,"Non-Moving", IF(Table1[[#This Row],[Days_Since_Last_Movement]]&gt;90,"Slow-Moving","Active"))</f>
        <v>Slow-Moving</v>
      </c>
      <c r="V489">
        <f>SUM($Q$2:Q489)</f>
        <v>75668060</v>
      </c>
      <c r="W489">
        <f>Table1[[#This Row],[Cumulative_Inventory_Value]]/$AP$3</f>
        <v>0.99963921175099613</v>
      </c>
      <c r="X489" t="str">
        <f>IF(Table1[[#This Row],[Cumulative_Value_%]]&lt;80%,"A", IF(Table1[[#This Row],[Cumulative_Value_%]]&lt;=95%,"B","C"))</f>
        <v>C</v>
      </c>
      <c r="Y489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489">
        <f>Table1[[#This Row],[Consumption]]/365</f>
        <v>2.4657534246575342E-2</v>
      </c>
      <c r="AA489">
        <f>Table1[[#This Row],[Avg_Daily_Consumption]]*Table1[[#This Row],[Lead_Time_Days]]+Table1[[#This Row],[Safety_Stock]]</f>
        <v>1.2958904109589042</v>
      </c>
      <c r="AB489">
        <f>IFERROR(Table1[[#This Row],[Closing_Stock]]/Table1[[#This Row],[Avg_Daily_Consumption]],9999)</f>
        <v>405.55555555555554</v>
      </c>
      <c r="AC489">
        <f>MAX(1,ROUNDUP(Table1[[#This Row],[Avg_Daily_Consumption]]*Table1[[#This Row],[Lead_Time_Days]]*0.8,0))</f>
        <v>1</v>
      </c>
      <c r="AD489" t="str">
        <f>IF(Table1[[#This Row],[Closing_Stock]]&lt;Table1[[#This Row],[Reorder_Point]],"Stock-out Risk","Adequate")</f>
        <v>Adequate</v>
      </c>
      <c r="AE489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489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489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489" s="11">
        <f>MAX(0,Table1[[#This Row],[Closing_Stock]]-Table1[[#This Row],[Reorder_Point]])</f>
        <v>8.7041095890410958</v>
      </c>
      <c r="AI489" s="11">
        <f>Table1[[#This Row],[Excess_Stock_Units]]*Table1[[#This Row],[Unit_Cost_INR]]</f>
        <v>3133.4794520547944</v>
      </c>
      <c r="AJ489" s="11">
        <f>IF(Table1[[#This Row],[Criticality]]="Critical",0,Table1[[#This Row],[Excess_Inventory_Value_INR]])</f>
        <v>3133.4794520547944</v>
      </c>
      <c r="AK489" s="11">
        <f>IF(AND(Table1[[#This Row],[Criticality]]&lt;&gt;"Critical",OR(Table1[[#This Row],[Movement_Class]]="Slow-Moving",Table1[[#This Row],[Movement_Class]]="Non-Moving")),Table1[[#This Row],[Excess_Inventory_Value_INR]],0)</f>
        <v>3133.4794520547944</v>
      </c>
    </row>
    <row r="490" spans="1:37" x14ac:dyDescent="0.25">
      <c r="A490" t="s">
        <v>124</v>
      </c>
      <c r="B490" t="s">
        <v>80</v>
      </c>
      <c r="C490" t="s">
        <v>20</v>
      </c>
      <c r="D490" t="s">
        <v>27</v>
      </c>
      <c r="E490" t="s">
        <v>22</v>
      </c>
      <c r="F490">
        <v>13</v>
      </c>
      <c r="G490">
        <v>24</v>
      </c>
      <c r="H490">
        <v>28</v>
      </c>
      <c r="I490">
        <v>25</v>
      </c>
      <c r="J490">
        <v>140</v>
      </c>
      <c r="K490">
        <v>17</v>
      </c>
      <c r="L490">
        <v>0</v>
      </c>
      <c r="M490">
        <v>129</v>
      </c>
      <c r="N490" t="s">
        <v>81</v>
      </c>
      <c r="O490">
        <v>0.26100000000000001</v>
      </c>
      <c r="P490">
        <v>913.5</v>
      </c>
      <c r="Q490">
        <f>(Table1[[#This Row],[Closing_Stock]]*Table1[[#This Row],[Unit_Cost_INR]])</f>
        <v>3500</v>
      </c>
      <c r="R490">
        <f>(Table1[[#This Row],[Unit_Cost_INR]]*Table1[[#This Row],[Consumption]])</f>
        <v>3920</v>
      </c>
      <c r="S490">
        <f>IFERROR(Table1[[#This Row],[Annual_Consumption_Value_INR]]/Table1[[#This Row],[Inventory_Value_INR]],0)</f>
        <v>1.1200000000000001</v>
      </c>
      <c r="T490">
        <f>IFERROR(365/Table1[[#This Row],[Inventory_Turnover]],0)</f>
        <v>325.89285714285711</v>
      </c>
      <c r="U490" t="str">
        <f>IF(Table1[[#This Row],[Consumption]]=0,"Non-Moving", IF(Table1[[#This Row],[Days_Since_Last_Movement]]&gt;90,"Slow-Moving","Active"))</f>
        <v>Slow-Moving</v>
      </c>
      <c r="V490">
        <f>SUM($Q$2:Q490)</f>
        <v>75671560</v>
      </c>
      <c r="W490">
        <f>Table1[[#This Row],[Cumulative_Inventory_Value]]/$AP$3</f>
        <v>0.99968544971773043</v>
      </c>
      <c r="X490" t="str">
        <f>IF(Table1[[#This Row],[Cumulative_Value_%]]&lt;80%,"A", IF(Table1[[#This Row],[Cumulative_Value_%]]&lt;=95%,"B","C"))</f>
        <v>C</v>
      </c>
      <c r="Y490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490">
        <f>Table1[[#This Row],[Consumption]]/365</f>
        <v>7.6712328767123292E-2</v>
      </c>
      <c r="AA490">
        <f>Table1[[#This Row],[Avg_Daily_Consumption]]*Table1[[#This Row],[Lead_Time_Days]]+Table1[[#This Row],[Safety_Stock]]</f>
        <v>3.3041095890410959</v>
      </c>
      <c r="AB490">
        <f>IFERROR(Table1[[#This Row],[Closing_Stock]]/Table1[[#This Row],[Avg_Daily_Consumption]],9999)</f>
        <v>325.89285714285711</v>
      </c>
      <c r="AC490">
        <f>MAX(1,ROUNDUP(Table1[[#This Row],[Avg_Daily_Consumption]]*Table1[[#This Row],[Lead_Time_Days]]*0.8,0))</f>
        <v>2</v>
      </c>
      <c r="AD490" t="str">
        <f>IF(Table1[[#This Row],[Closing_Stock]]&lt;Table1[[#This Row],[Reorder_Point]],"Stock-out Risk","Adequate")</f>
        <v>Adequate</v>
      </c>
      <c r="AE490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490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490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490" s="11">
        <f>MAX(0,Table1[[#This Row],[Closing_Stock]]-Table1[[#This Row],[Reorder_Point]])</f>
        <v>21.695890410958903</v>
      </c>
      <c r="AI490" s="11">
        <f>Table1[[#This Row],[Excess_Stock_Units]]*Table1[[#This Row],[Unit_Cost_INR]]</f>
        <v>3037.4246575342463</v>
      </c>
      <c r="AJ490" s="11">
        <f>IF(Table1[[#This Row],[Criticality]]="Critical",0,Table1[[#This Row],[Excess_Inventory_Value_INR]])</f>
        <v>3037.4246575342463</v>
      </c>
      <c r="AK490" s="11">
        <f>IF(AND(Table1[[#This Row],[Criticality]]&lt;&gt;"Critical",OR(Table1[[#This Row],[Movement_Class]]="Slow-Moving",Table1[[#This Row],[Movement_Class]]="Non-Moving")),Table1[[#This Row],[Excess_Inventory_Value_INR]],0)</f>
        <v>3037.4246575342463</v>
      </c>
    </row>
    <row r="491" spans="1:37" x14ac:dyDescent="0.25">
      <c r="A491" t="s">
        <v>339</v>
      </c>
      <c r="B491" t="s">
        <v>31</v>
      </c>
      <c r="C491" t="s">
        <v>32</v>
      </c>
      <c r="D491" t="s">
        <v>42</v>
      </c>
      <c r="E491" t="s">
        <v>37</v>
      </c>
      <c r="F491">
        <v>18</v>
      </c>
      <c r="G491">
        <v>7</v>
      </c>
      <c r="H491">
        <v>5</v>
      </c>
      <c r="I491">
        <v>20</v>
      </c>
      <c r="J491">
        <v>160</v>
      </c>
      <c r="K491">
        <v>30</v>
      </c>
      <c r="L491">
        <v>0</v>
      </c>
      <c r="M491">
        <v>70</v>
      </c>
      <c r="N491" t="s">
        <v>23</v>
      </c>
      <c r="O491">
        <v>0.27900000000000003</v>
      </c>
      <c r="P491">
        <v>892.80000000000007</v>
      </c>
      <c r="Q491">
        <f>(Table1[[#This Row],[Closing_Stock]]*Table1[[#This Row],[Unit_Cost_INR]])</f>
        <v>3200</v>
      </c>
      <c r="R491">
        <f>(Table1[[#This Row],[Unit_Cost_INR]]*Table1[[#This Row],[Consumption]])</f>
        <v>800</v>
      </c>
      <c r="S491">
        <f>IFERROR(Table1[[#This Row],[Annual_Consumption_Value_INR]]/Table1[[#This Row],[Inventory_Value_INR]],0)</f>
        <v>0.25</v>
      </c>
      <c r="T491">
        <f>IFERROR(365/Table1[[#This Row],[Inventory_Turnover]],0)</f>
        <v>1460</v>
      </c>
      <c r="U491" t="str">
        <f>IF(Table1[[#This Row],[Consumption]]=0,"Non-Moving", IF(Table1[[#This Row],[Days_Since_Last_Movement]]&gt;90,"Slow-Moving","Active"))</f>
        <v>Active</v>
      </c>
      <c r="V491">
        <f>SUM($Q$2:Q491)</f>
        <v>75674760</v>
      </c>
      <c r="W491">
        <f>Table1[[#This Row],[Cumulative_Inventory_Value]]/$AP$3</f>
        <v>0.99972772443017321</v>
      </c>
      <c r="X491" t="str">
        <f>IF(Table1[[#This Row],[Cumulative_Value_%]]&lt;80%,"A", IF(Table1[[#This Row],[Cumulative_Value_%]]&lt;=95%,"B","C"))</f>
        <v>C</v>
      </c>
      <c r="Y491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491">
        <f>Table1[[#This Row],[Consumption]]/365</f>
        <v>1.3698630136986301E-2</v>
      </c>
      <c r="AA491">
        <f>Table1[[#This Row],[Avg_Daily_Consumption]]*Table1[[#This Row],[Lead_Time_Days]]+Table1[[#This Row],[Safety_Stock]]</f>
        <v>1.4109589041095889</v>
      </c>
      <c r="AB491">
        <f>IFERROR(Table1[[#This Row],[Closing_Stock]]/Table1[[#This Row],[Avg_Daily_Consumption]],9999)</f>
        <v>1460</v>
      </c>
      <c r="AC491">
        <f>MAX(1,ROUNDUP(Table1[[#This Row],[Avg_Daily_Consumption]]*Table1[[#This Row],[Lead_Time_Days]]*0.8,0))</f>
        <v>1</v>
      </c>
      <c r="AD491" t="str">
        <f>IF(Table1[[#This Row],[Closing_Stock]]&lt;Table1[[#This Row],[Reorder_Point]],"Stock-out Risk","Adequate")</f>
        <v>Adequate</v>
      </c>
      <c r="AE491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491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491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491" s="11">
        <f>MAX(0,Table1[[#This Row],[Closing_Stock]]-Table1[[#This Row],[Reorder_Point]])</f>
        <v>18.589041095890412</v>
      </c>
      <c r="AI491" s="11">
        <f>Table1[[#This Row],[Excess_Stock_Units]]*Table1[[#This Row],[Unit_Cost_INR]]</f>
        <v>2974.2465753424658</v>
      </c>
      <c r="AJ491" s="11">
        <f>IF(Table1[[#This Row],[Criticality]]="Critical",0,Table1[[#This Row],[Excess_Inventory_Value_INR]])</f>
        <v>0</v>
      </c>
      <c r="AK491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492" spans="1:37" x14ac:dyDescent="0.25">
      <c r="A492" t="s">
        <v>315</v>
      </c>
      <c r="B492" t="s">
        <v>25</v>
      </c>
      <c r="C492" t="s">
        <v>26</v>
      </c>
      <c r="D492" t="s">
        <v>45</v>
      </c>
      <c r="E492" t="s">
        <v>28</v>
      </c>
      <c r="F492">
        <v>4</v>
      </c>
      <c r="G492">
        <v>4</v>
      </c>
      <c r="H492">
        <v>3</v>
      </c>
      <c r="I492">
        <v>5</v>
      </c>
      <c r="J492">
        <v>560</v>
      </c>
      <c r="K492">
        <v>25</v>
      </c>
      <c r="L492">
        <v>0</v>
      </c>
      <c r="M492">
        <v>23</v>
      </c>
      <c r="N492" t="s">
        <v>81</v>
      </c>
      <c r="O492">
        <v>0.158</v>
      </c>
      <c r="P492">
        <v>442.4</v>
      </c>
      <c r="Q492">
        <f>(Table1[[#This Row],[Closing_Stock]]*Table1[[#This Row],[Unit_Cost_INR]])</f>
        <v>2800</v>
      </c>
      <c r="R492">
        <f>(Table1[[#This Row],[Unit_Cost_INR]]*Table1[[#This Row],[Consumption]])</f>
        <v>1680</v>
      </c>
      <c r="S492">
        <f>IFERROR(Table1[[#This Row],[Annual_Consumption_Value_INR]]/Table1[[#This Row],[Inventory_Value_INR]],0)</f>
        <v>0.6</v>
      </c>
      <c r="T492">
        <f>IFERROR(365/Table1[[#This Row],[Inventory_Turnover]],0)</f>
        <v>608.33333333333337</v>
      </c>
      <c r="U492" t="str">
        <f>IF(Table1[[#This Row],[Consumption]]=0,"Non-Moving", IF(Table1[[#This Row],[Days_Since_Last_Movement]]&gt;90,"Slow-Moving","Active"))</f>
        <v>Active</v>
      </c>
      <c r="V492">
        <f>SUM($Q$2:Q492)</f>
        <v>75677560</v>
      </c>
      <c r="W492">
        <f>Table1[[#This Row],[Cumulative_Inventory_Value]]/$AP$3</f>
        <v>0.99976471480356066</v>
      </c>
      <c r="X492" t="str">
        <f>IF(Table1[[#This Row],[Cumulative_Value_%]]&lt;80%,"A", IF(Table1[[#This Row],[Cumulative_Value_%]]&lt;=95%,"B","C"))</f>
        <v>C</v>
      </c>
      <c r="Y492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492">
        <f>Table1[[#This Row],[Consumption]]/365</f>
        <v>8.21917808219178E-3</v>
      </c>
      <c r="AA492">
        <f>Table1[[#This Row],[Avg_Daily_Consumption]]*Table1[[#This Row],[Lead_Time_Days]]+Table1[[#This Row],[Safety_Stock]]</f>
        <v>1.2054794520547945</v>
      </c>
      <c r="AB492">
        <f>IFERROR(Table1[[#This Row],[Closing_Stock]]/Table1[[#This Row],[Avg_Daily_Consumption]],9999)</f>
        <v>608.33333333333337</v>
      </c>
      <c r="AC492">
        <f>MAX(1,ROUNDUP(Table1[[#This Row],[Avg_Daily_Consumption]]*Table1[[#This Row],[Lead_Time_Days]]*0.8,0))</f>
        <v>1</v>
      </c>
      <c r="AD492" t="str">
        <f>IF(Table1[[#This Row],[Closing_Stock]]&lt;Table1[[#This Row],[Reorder_Point]],"Stock-out Risk","Adequate")</f>
        <v>Adequate</v>
      </c>
      <c r="AE492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492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492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492" s="11">
        <f>MAX(0,Table1[[#This Row],[Closing_Stock]]-Table1[[#This Row],[Reorder_Point]])</f>
        <v>3.7945205479452055</v>
      </c>
      <c r="AI492" s="11">
        <f>Table1[[#This Row],[Excess_Stock_Units]]*Table1[[#This Row],[Unit_Cost_INR]]</f>
        <v>2124.9315068493152</v>
      </c>
      <c r="AJ492" s="11">
        <f>IF(Table1[[#This Row],[Criticality]]="Critical",0,Table1[[#This Row],[Excess_Inventory_Value_INR]])</f>
        <v>2124.9315068493152</v>
      </c>
      <c r="AK492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493" spans="1:37" x14ac:dyDescent="0.25">
      <c r="A493" t="s">
        <v>323</v>
      </c>
      <c r="B493" t="s">
        <v>40</v>
      </c>
      <c r="C493" t="s">
        <v>41</v>
      </c>
      <c r="D493" t="s">
        <v>27</v>
      </c>
      <c r="E493" t="s">
        <v>37</v>
      </c>
      <c r="F493">
        <v>4</v>
      </c>
      <c r="G493">
        <v>3</v>
      </c>
      <c r="H493">
        <v>3</v>
      </c>
      <c r="I493">
        <v>4</v>
      </c>
      <c r="J493">
        <v>670</v>
      </c>
      <c r="K493">
        <v>25</v>
      </c>
      <c r="L493">
        <v>1</v>
      </c>
      <c r="M493">
        <v>9</v>
      </c>
      <c r="N493" t="s">
        <v>61</v>
      </c>
      <c r="O493">
        <v>0.23</v>
      </c>
      <c r="P493">
        <v>616.4</v>
      </c>
      <c r="Q493">
        <f>(Table1[[#This Row],[Closing_Stock]]*Table1[[#This Row],[Unit_Cost_INR]])</f>
        <v>2680</v>
      </c>
      <c r="R493">
        <f>(Table1[[#This Row],[Unit_Cost_INR]]*Table1[[#This Row],[Consumption]])</f>
        <v>2010</v>
      </c>
      <c r="S493">
        <f>IFERROR(Table1[[#This Row],[Annual_Consumption_Value_INR]]/Table1[[#This Row],[Inventory_Value_INR]],0)</f>
        <v>0.75</v>
      </c>
      <c r="T493">
        <f>IFERROR(365/Table1[[#This Row],[Inventory_Turnover]],0)</f>
        <v>486.66666666666669</v>
      </c>
      <c r="U493" t="str">
        <f>IF(Table1[[#This Row],[Consumption]]=0,"Non-Moving", IF(Table1[[#This Row],[Days_Since_Last_Movement]]&gt;90,"Slow-Moving","Active"))</f>
        <v>Active</v>
      </c>
      <c r="V493">
        <f>SUM($Q$2:Q493)</f>
        <v>75680240</v>
      </c>
      <c r="W493">
        <f>Table1[[#This Row],[Cumulative_Inventory_Value]]/$AP$3</f>
        <v>0.99980011987523143</v>
      </c>
      <c r="X493" t="str">
        <f>IF(Table1[[#This Row],[Cumulative_Value_%]]&lt;80%,"A", IF(Table1[[#This Row],[Cumulative_Value_%]]&lt;=95%,"B","C"))</f>
        <v>C</v>
      </c>
      <c r="Y493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493">
        <f>Table1[[#This Row],[Consumption]]/365</f>
        <v>8.21917808219178E-3</v>
      </c>
      <c r="AA493">
        <f>Table1[[#This Row],[Avg_Daily_Consumption]]*Table1[[#This Row],[Lead_Time_Days]]+Table1[[#This Row],[Safety_Stock]]</f>
        <v>1.2054794520547945</v>
      </c>
      <c r="AB493">
        <f>IFERROR(Table1[[#This Row],[Closing_Stock]]/Table1[[#This Row],[Avg_Daily_Consumption]],9999)</f>
        <v>486.66666666666674</v>
      </c>
      <c r="AC493">
        <f>MAX(1,ROUNDUP(Table1[[#This Row],[Avg_Daily_Consumption]]*Table1[[#This Row],[Lead_Time_Days]]*0.8,0))</f>
        <v>1</v>
      </c>
      <c r="AD493" t="str">
        <f>IF(Table1[[#This Row],[Closing_Stock]]&lt;Table1[[#This Row],[Reorder_Point]],"Stock-out Risk","Adequate")</f>
        <v>Adequate</v>
      </c>
      <c r="AE493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493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493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493" s="11">
        <f>MAX(0,Table1[[#This Row],[Closing_Stock]]-Table1[[#This Row],[Reorder_Point]])</f>
        <v>2.7945205479452055</v>
      </c>
      <c r="AI493" s="11">
        <f>Table1[[#This Row],[Excess_Stock_Units]]*Table1[[#This Row],[Unit_Cost_INR]]</f>
        <v>1872.3287671232877</v>
      </c>
      <c r="AJ493" s="11">
        <f>IF(Table1[[#This Row],[Criticality]]="Critical",0,Table1[[#This Row],[Excess_Inventory_Value_INR]])</f>
        <v>0</v>
      </c>
      <c r="AK493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494" spans="1:37" x14ac:dyDescent="0.25">
      <c r="A494" t="s">
        <v>372</v>
      </c>
      <c r="B494" t="s">
        <v>85</v>
      </c>
      <c r="C494" t="s">
        <v>41</v>
      </c>
      <c r="D494" t="s">
        <v>27</v>
      </c>
      <c r="E494" t="s">
        <v>46</v>
      </c>
      <c r="F494">
        <v>4</v>
      </c>
      <c r="G494">
        <v>1</v>
      </c>
      <c r="H494">
        <v>1</v>
      </c>
      <c r="I494">
        <v>4</v>
      </c>
      <c r="J494">
        <v>660</v>
      </c>
      <c r="K494">
        <v>24</v>
      </c>
      <c r="L494">
        <v>1</v>
      </c>
      <c r="M494">
        <v>283</v>
      </c>
      <c r="N494" t="s">
        <v>33</v>
      </c>
      <c r="O494">
        <v>0.26600000000000001</v>
      </c>
      <c r="P494">
        <v>702.24</v>
      </c>
      <c r="Q494">
        <f>(Table1[[#This Row],[Closing_Stock]]*Table1[[#This Row],[Unit_Cost_INR]])</f>
        <v>2640</v>
      </c>
      <c r="R494">
        <f>(Table1[[#This Row],[Unit_Cost_INR]]*Table1[[#This Row],[Consumption]])</f>
        <v>660</v>
      </c>
      <c r="S494">
        <f>IFERROR(Table1[[#This Row],[Annual_Consumption_Value_INR]]/Table1[[#This Row],[Inventory_Value_INR]],0)</f>
        <v>0.25</v>
      </c>
      <c r="T494">
        <f>IFERROR(365/Table1[[#This Row],[Inventory_Turnover]],0)</f>
        <v>1460</v>
      </c>
      <c r="U494" t="str">
        <f>IF(Table1[[#This Row],[Consumption]]=0,"Non-Moving", IF(Table1[[#This Row],[Days_Since_Last_Movement]]&gt;90,"Slow-Moving","Active"))</f>
        <v>Slow-Moving</v>
      </c>
      <c r="V494">
        <f>SUM($Q$2:Q494)</f>
        <v>75682880</v>
      </c>
      <c r="W494">
        <f>Table1[[#This Row],[Cumulative_Inventory_Value]]/$AP$3</f>
        <v>0.99983499651299679</v>
      </c>
      <c r="X494" t="str">
        <f>IF(Table1[[#This Row],[Cumulative_Value_%]]&lt;80%,"A", IF(Table1[[#This Row],[Cumulative_Value_%]]&lt;=95%,"B","C"))</f>
        <v>C</v>
      </c>
      <c r="Y494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494">
        <f>Table1[[#This Row],[Consumption]]/365</f>
        <v>2.7397260273972603E-3</v>
      </c>
      <c r="AA494">
        <f>Table1[[#This Row],[Avg_Daily_Consumption]]*Table1[[#This Row],[Lead_Time_Days]]+Table1[[#This Row],[Safety_Stock]]</f>
        <v>1.0657534246575342</v>
      </c>
      <c r="AB494">
        <f>IFERROR(Table1[[#This Row],[Closing_Stock]]/Table1[[#This Row],[Avg_Daily_Consumption]],9999)</f>
        <v>1460</v>
      </c>
      <c r="AC494">
        <f>MAX(1,ROUNDUP(Table1[[#This Row],[Avg_Daily_Consumption]]*Table1[[#This Row],[Lead_Time_Days]]*0.8,0))</f>
        <v>1</v>
      </c>
      <c r="AD494" t="str">
        <f>IF(Table1[[#This Row],[Closing_Stock]]&lt;Table1[[#This Row],[Reorder_Point]],"Stock-out Risk","Adequate")</f>
        <v>Adequate</v>
      </c>
      <c r="AE494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494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494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494" s="11">
        <f>MAX(0,Table1[[#This Row],[Closing_Stock]]-Table1[[#This Row],[Reorder_Point]])</f>
        <v>2.934246575342466</v>
      </c>
      <c r="AI494" s="11">
        <f>Table1[[#This Row],[Excess_Stock_Units]]*Table1[[#This Row],[Unit_Cost_INR]]</f>
        <v>1936.6027397260275</v>
      </c>
      <c r="AJ494" s="11">
        <f>IF(Table1[[#This Row],[Criticality]]="Critical",0,Table1[[#This Row],[Excess_Inventory_Value_INR]])</f>
        <v>1936.6027397260275</v>
      </c>
      <c r="AK494" s="11">
        <f>IF(AND(Table1[[#This Row],[Criticality]]&lt;&gt;"Critical",OR(Table1[[#This Row],[Movement_Class]]="Slow-Moving",Table1[[#This Row],[Movement_Class]]="Non-Moving")),Table1[[#This Row],[Excess_Inventory_Value_INR]],0)</f>
        <v>1936.6027397260275</v>
      </c>
    </row>
    <row r="495" spans="1:37" x14ac:dyDescent="0.25">
      <c r="A495" t="s">
        <v>552</v>
      </c>
      <c r="B495" t="s">
        <v>150</v>
      </c>
      <c r="C495" t="s">
        <v>36</v>
      </c>
      <c r="D495" t="s">
        <v>27</v>
      </c>
      <c r="E495" t="s">
        <v>22</v>
      </c>
      <c r="F495">
        <v>4</v>
      </c>
      <c r="G495">
        <v>12</v>
      </c>
      <c r="H495">
        <v>11</v>
      </c>
      <c r="I495">
        <v>5</v>
      </c>
      <c r="J495">
        <v>480</v>
      </c>
      <c r="K495">
        <v>12</v>
      </c>
      <c r="L495">
        <v>1</v>
      </c>
      <c r="M495">
        <v>2</v>
      </c>
      <c r="N495" t="s">
        <v>61</v>
      </c>
      <c r="O495">
        <v>0.188</v>
      </c>
      <c r="P495">
        <v>451.2</v>
      </c>
      <c r="Q495">
        <f>(Table1[[#This Row],[Closing_Stock]]*Table1[[#This Row],[Unit_Cost_INR]])</f>
        <v>2400</v>
      </c>
      <c r="R495">
        <f>(Table1[[#This Row],[Unit_Cost_INR]]*Table1[[#This Row],[Consumption]])</f>
        <v>5280</v>
      </c>
      <c r="S495">
        <f>IFERROR(Table1[[#This Row],[Annual_Consumption_Value_INR]]/Table1[[#This Row],[Inventory_Value_INR]],0)</f>
        <v>2.2000000000000002</v>
      </c>
      <c r="T495">
        <f>IFERROR(365/Table1[[#This Row],[Inventory_Turnover]],0)</f>
        <v>165.90909090909091</v>
      </c>
      <c r="U495" t="str">
        <f>IF(Table1[[#This Row],[Consumption]]=0,"Non-Moving", IF(Table1[[#This Row],[Days_Since_Last_Movement]]&gt;90,"Slow-Moving","Active"))</f>
        <v>Active</v>
      </c>
      <c r="V495">
        <f>SUM($Q$2:Q495)</f>
        <v>75685280</v>
      </c>
      <c r="W495">
        <f>Table1[[#This Row],[Cumulative_Inventory_Value]]/$AP$3</f>
        <v>0.9998667025473289</v>
      </c>
      <c r="X495" t="str">
        <f>IF(Table1[[#This Row],[Cumulative_Value_%]]&lt;80%,"A", IF(Table1[[#This Row],[Cumulative_Value_%]]&lt;=95%,"B","C"))</f>
        <v>C</v>
      </c>
      <c r="Y495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495">
        <f>Table1[[#This Row],[Consumption]]/365</f>
        <v>3.0136986301369864E-2</v>
      </c>
      <c r="AA495">
        <f>Table1[[#This Row],[Avg_Daily_Consumption]]*Table1[[#This Row],[Lead_Time_Days]]+Table1[[#This Row],[Safety_Stock]]</f>
        <v>1.3616438356164384</v>
      </c>
      <c r="AB495">
        <f>IFERROR(Table1[[#This Row],[Closing_Stock]]/Table1[[#This Row],[Avg_Daily_Consumption]],9999)</f>
        <v>165.90909090909091</v>
      </c>
      <c r="AC495">
        <f>MAX(1,ROUNDUP(Table1[[#This Row],[Avg_Daily_Consumption]]*Table1[[#This Row],[Lead_Time_Days]]*0.8,0))</f>
        <v>1</v>
      </c>
      <c r="AD495" t="str">
        <f>IF(Table1[[#This Row],[Closing_Stock]]&lt;Table1[[#This Row],[Reorder_Point]],"Stock-out Risk","Adequate")</f>
        <v>Adequate</v>
      </c>
      <c r="AE495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495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495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495" s="11">
        <f>MAX(0,Table1[[#This Row],[Closing_Stock]]-Table1[[#This Row],[Reorder_Point]])</f>
        <v>3.6383561643835618</v>
      </c>
      <c r="AI495" s="11">
        <f>Table1[[#This Row],[Excess_Stock_Units]]*Table1[[#This Row],[Unit_Cost_INR]]</f>
        <v>1746.4109589041097</v>
      </c>
      <c r="AJ495" s="11">
        <f>IF(Table1[[#This Row],[Criticality]]="Critical",0,Table1[[#This Row],[Excess_Inventory_Value_INR]])</f>
        <v>1746.4109589041097</v>
      </c>
      <c r="AK495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496" spans="1:37" x14ac:dyDescent="0.25">
      <c r="A496" t="s">
        <v>521</v>
      </c>
      <c r="B496" t="s">
        <v>126</v>
      </c>
      <c r="C496" t="s">
        <v>20</v>
      </c>
      <c r="D496" t="s">
        <v>27</v>
      </c>
      <c r="E496" t="s">
        <v>37</v>
      </c>
      <c r="F496">
        <v>3</v>
      </c>
      <c r="G496">
        <v>1</v>
      </c>
      <c r="H496">
        <v>1</v>
      </c>
      <c r="I496">
        <v>3</v>
      </c>
      <c r="J496">
        <v>720</v>
      </c>
      <c r="K496">
        <v>44</v>
      </c>
      <c r="L496">
        <v>0</v>
      </c>
      <c r="M496">
        <v>298</v>
      </c>
      <c r="N496" t="s">
        <v>81</v>
      </c>
      <c r="O496">
        <v>0.16900000000000001</v>
      </c>
      <c r="P496">
        <v>365.04</v>
      </c>
      <c r="Q496">
        <f>(Table1[[#This Row],[Closing_Stock]]*Table1[[#This Row],[Unit_Cost_INR]])</f>
        <v>2160</v>
      </c>
      <c r="R496">
        <f>(Table1[[#This Row],[Unit_Cost_INR]]*Table1[[#This Row],[Consumption]])</f>
        <v>720</v>
      </c>
      <c r="S496">
        <f>IFERROR(Table1[[#This Row],[Annual_Consumption_Value_INR]]/Table1[[#This Row],[Inventory_Value_INR]],0)</f>
        <v>0.33333333333333331</v>
      </c>
      <c r="T496">
        <f>IFERROR(365/Table1[[#This Row],[Inventory_Turnover]],0)</f>
        <v>1095</v>
      </c>
      <c r="U496" t="str">
        <f>IF(Table1[[#This Row],[Consumption]]=0,"Non-Moving", IF(Table1[[#This Row],[Days_Since_Last_Movement]]&gt;90,"Slow-Moving","Active"))</f>
        <v>Slow-Moving</v>
      </c>
      <c r="V496">
        <f>SUM($Q$2:Q496)</f>
        <v>75687440</v>
      </c>
      <c r="W496">
        <f>Table1[[#This Row],[Cumulative_Inventory_Value]]/$AP$3</f>
        <v>0.99989523797822777</v>
      </c>
      <c r="X496" t="str">
        <f>IF(Table1[[#This Row],[Cumulative_Value_%]]&lt;80%,"A", IF(Table1[[#This Row],[Cumulative_Value_%]]&lt;=95%,"B","C"))</f>
        <v>C</v>
      </c>
      <c r="Y496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496">
        <f>Table1[[#This Row],[Consumption]]/365</f>
        <v>2.7397260273972603E-3</v>
      </c>
      <c r="AA496">
        <f>Table1[[#This Row],[Avg_Daily_Consumption]]*Table1[[#This Row],[Lead_Time_Days]]+Table1[[#This Row],[Safety_Stock]]</f>
        <v>1.1205479452054794</v>
      </c>
      <c r="AB496">
        <f>IFERROR(Table1[[#This Row],[Closing_Stock]]/Table1[[#This Row],[Avg_Daily_Consumption]],9999)</f>
        <v>1095</v>
      </c>
      <c r="AC496">
        <f>MAX(1,ROUNDUP(Table1[[#This Row],[Avg_Daily_Consumption]]*Table1[[#This Row],[Lead_Time_Days]]*0.8,0))</f>
        <v>1</v>
      </c>
      <c r="AD496" t="str">
        <f>IF(Table1[[#This Row],[Closing_Stock]]&lt;Table1[[#This Row],[Reorder_Point]],"Stock-out Risk","Adequate")</f>
        <v>Adequate</v>
      </c>
      <c r="AE496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496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496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496" s="11">
        <f>MAX(0,Table1[[#This Row],[Closing_Stock]]-Table1[[#This Row],[Reorder_Point]])</f>
        <v>1.8794520547945206</v>
      </c>
      <c r="AI496" s="11">
        <f>Table1[[#This Row],[Excess_Stock_Units]]*Table1[[#This Row],[Unit_Cost_INR]]</f>
        <v>1353.2054794520548</v>
      </c>
      <c r="AJ496" s="11">
        <f>IF(Table1[[#This Row],[Criticality]]="Critical",0,Table1[[#This Row],[Excess_Inventory_Value_INR]])</f>
        <v>0</v>
      </c>
      <c r="AK496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497" spans="1:37" x14ac:dyDescent="0.25">
      <c r="A497" t="s">
        <v>559</v>
      </c>
      <c r="B497" t="s">
        <v>44</v>
      </c>
      <c r="C497" t="s">
        <v>41</v>
      </c>
      <c r="D497" t="s">
        <v>66</v>
      </c>
      <c r="E497" t="s">
        <v>22</v>
      </c>
      <c r="F497">
        <v>5</v>
      </c>
      <c r="G497">
        <v>4</v>
      </c>
      <c r="H497">
        <v>4</v>
      </c>
      <c r="I497">
        <v>5</v>
      </c>
      <c r="J497">
        <v>400</v>
      </c>
      <c r="K497">
        <v>39</v>
      </c>
      <c r="L497">
        <v>0</v>
      </c>
      <c r="M497">
        <v>55</v>
      </c>
      <c r="N497" t="s">
        <v>61</v>
      </c>
      <c r="O497">
        <v>0.23</v>
      </c>
      <c r="P497">
        <v>460</v>
      </c>
      <c r="Q497">
        <f>(Table1[[#This Row],[Closing_Stock]]*Table1[[#This Row],[Unit_Cost_INR]])</f>
        <v>2000</v>
      </c>
      <c r="R497">
        <f>(Table1[[#This Row],[Unit_Cost_INR]]*Table1[[#This Row],[Consumption]])</f>
        <v>1600</v>
      </c>
      <c r="S497">
        <f>IFERROR(Table1[[#This Row],[Annual_Consumption_Value_INR]]/Table1[[#This Row],[Inventory_Value_INR]],0)</f>
        <v>0.8</v>
      </c>
      <c r="T497">
        <f>IFERROR(365/Table1[[#This Row],[Inventory_Turnover]],0)</f>
        <v>456.25</v>
      </c>
      <c r="U497" t="str">
        <f>IF(Table1[[#This Row],[Consumption]]=0,"Non-Moving", IF(Table1[[#This Row],[Days_Since_Last_Movement]]&gt;90,"Slow-Moving","Active"))</f>
        <v>Active</v>
      </c>
      <c r="V497">
        <f>SUM($Q$2:Q497)</f>
        <v>75689440</v>
      </c>
      <c r="W497">
        <f>Table1[[#This Row],[Cumulative_Inventory_Value]]/$AP$3</f>
        <v>0.99992165967350444</v>
      </c>
      <c r="X497" t="str">
        <f>IF(Table1[[#This Row],[Cumulative_Value_%]]&lt;80%,"A", IF(Table1[[#This Row],[Cumulative_Value_%]]&lt;=95%,"B","C"))</f>
        <v>C</v>
      </c>
      <c r="Y497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497">
        <f>Table1[[#This Row],[Consumption]]/365</f>
        <v>1.0958904109589041E-2</v>
      </c>
      <c r="AA497">
        <f>Table1[[#This Row],[Avg_Daily_Consumption]]*Table1[[#This Row],[Lead_Time_Days]]+Table1[[#This Row],[Safety_Stock]]</f>
        <v>1.4273972602739726</v>
      </c>
      <c r="AB497">
        <f>IFERROR(Table1[[#This Row],[Closing_Stock]]/Table1[[#This Row],[Avg_Daily_Consumption]],9999)</f>
        <v>456.25</v>
      </c>
      <c r="AC497">
        <f>MAX(1,ROUNDUP(Table1[[#This Row],[Avg_Daily_Consumption]]*Table1[[#This Row],[Lead_Time_Days]]*0.8,0))</f>
        <v>1</v>
      </c>
      <c r="AD497" t="str">
        <f>IF(Table1[[#This Row],[Closing_Stock]]&lt;Table1[[#This Row],[Reorder_Point]],"Stock-out Risk","Adequate")</f>
        <v>Adequate</v>
      </c>
      <c r="AE497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497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497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497" s="11">
        <f>MAX(0,Table1[[#This Row],[Closing_Stock]]-Table1[[#This Row],[Reorder_Point]])</f>
        <v>3.5726027397260274</v>
      </c>
      <c r="AI497" s="11">
        <f>Table1[[#This Row],[Excess_Stock_Units]]*Table1[[#This Row],[Unit_Cost_INR]]</f>
        <v>1429.041095890411</v>
      </c>
      <c r="AJ497" s="11">
        <f>IF(Table1[[#This Row],[Criticality]]="Critical",0,Table1[[#This Row],[Excess_Inventory_Value_INR]])</f>
        <v>1429.041095890411</v>
      </c>
      <c r="AK497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498" spans="1:37" x14ac:dyDescent="0.25">
      <c r="A498" t="s">
        <v>421</v>
      </c>
      <c r="B498" t="s">
        <v>80</v>
      </c>
      <c r="C498" t="s">
        <v>20</v>
      </c>
      <c r="D498" t="s">
        <v>60</v>
      </c>
      <c r="E498" t="s">
        <v>28</v>
      </c>
      <c r="F498">
        <v>4</v>
      </c>
      <c r="G498">
        <v>4</v>
      </c>
      <c r="H498">
        <v>5</v>
      </c>
      <c r="I498">
        <v>3</v>
      </c>
      <c r="J498">
        <v>620</v>
      </c>
      <c r="K498">
        <v>22</v>
      </c>
      <c r="L498">
        <v>1</v>
      </c>
      <c r="M498">
        <v>13</v>
      </c>
      <c r="N498" t="s">
        <v>61</v>
      </c>
      <c r="O498">
        <v>0.253</v>
      </c>
      <c r="P498">
        <v>470.58</v>
      </c>
      <c r="Q498">
        <f>(Table1[[#This Row],[Closing_Stock]]*Table1[[#This Row],[Unit_Cost_INR]])</f>
        <v>1860</v>
      </c>
      <c r="R498">
        <f>(Table1[[#This Row],[Unit_Cost_INR]]*Table1[[#This Row],[Consumption]])</f>
        <v>3100</v>
      </c>
      <c r="S498">
        <f>IFERROR(Table1[[#This Row],[Annual_Consumption_Value_INR]]/Table1[[#This Row],[Inventory_Value_INR]],0)</f>
        <v>1.6666666666666667</v>
      </c>
      <c r="T498">
        <f>IFERROR(365/Table1[[#This Row],[Inventory_Turnover]],0)</f>
        <v>219</v>
      </c>
      <c r="U498" t="str">
        <f>IF(Table1[[#This Row],[Consumption]]=0,"Non-Moving", IF(Table1[[#This Row],[Days_Since_Last_Movement]]&gt;90,"Slow-Moving","Active"))</f>
        <v>Active</v>
      </c>
      <c r="V498">
        <f>SUM($Q$2:Q498)</f>
        <v>75691300</v>
      </c>
      <c r="W498">
        <f>Table1[[#This Row],[Cumulative_Inventory_Value]]/$AP$3</f>
        <v>0.99994623185011189</v>
      </c>
      <c r="X498" t="str">
        <f>IF(Table1[[#This Row],[Cumulative_Value_%]]&lt;80%,"A", IF(Table1[[#This Row],[Cumulative_Value_%]]&lt;=95%,"B","C"))</f>
        <v>C</v>
      </c>
      <c r="Y498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498">
        <f>Table1[[#This Row],[Consumption]]/365</f>
        <v>1.3698630136986301E-2</v>
      </c>
      <c r="AA498">
        <f>Table1[[#This Row],[Avg_Daily_Consumption]]*Table1[[#This Row],[Lead_Time_Days]]+Table1[[#This Row],[Safety_Stock]]</f>
        <v>1.3013698630136985</v>
      </c>
      <c r="AB498">
        <f>IFERROR(Table1[[#This Row],[Closing_Stock]]/Table1[[#This Row],[Avg_Daily_Consumption]],9999)</f>
        <v>219</v>
      </c>
      <c r="AC498">
        <f>MAX(1,ROUNDUP(Table1[[#This Row],[Avg_Daily_Consumption]]*Table1[[#This Row],[Lead_Time_Days]]*0.8,0))</f>
        <v>1</v>
      </c>
      <c r="AD498" t="str">
        <f>IF(Table1[[#This Row],[Closing_Stock]]&lt;Table1[[#This Row],[Reorder_Point]],"Stock-out Risk","Adequate")</f>
        <v>Adequate</v>
      </c>
      <c r="AE498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498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498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498" s="11">
        <f>MAX(0,Table1[[#This Row],[Closing_Stock]]-Table1[[#This Row],[Reorder_Point]])</f>
        <v>1.6986301369863015</v>
      </c>
      <c r="AI498" s="11">
        <f>Table1[[#This Row],[Excess_Stock_Units]]*Table1[[#This Row],[Unit_Cost_INR]]</f>
        <v>1053.1506849315069</v>
      </c>
      <c r="AJ498" s="11">
        <f>IF(Table1[[#This Row],[Criticality]]="Critical",0,Table1[[#This Row],[Excess_Inventory_Value_INR]])</f>
        <v>1053.1506849315069</v>
      </c>
      <c r="AK498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499" spans="1:37" x14ac:dyDescent="0.25">
      <c r="A499" t="s">
        <v>530</v>
      </c>
      <c r="B499" t="s">
        <v>152</v>
      </c>
      <c r="C499" t="s">
        <v>20</v>
      </c>
      <c r="D499" t="s">
        <v>42</v>
      </c>
      <c r="E499" t="s">
        <v>37</v>
      </c>
      <c r="F499">
        <v>7</v>
      </c>
      <c r="G499">
        <v>16</v>
      </c>
      <c r="H499">
        <v>17</v>
      </c>
      <c r="I499">
        <v>6</v>
      </c>
      <c r="J499">
        <v>290</v>
      </c>
      <c r="K499">
        <v>25</v>
      </c>
      <c r="L499">
        <v>0</v>
      </c>
      <c r="M499">
        <v>279</v>
      </c>
      <c r="N499" t="s">
        <v>81</v>
      </c>
      <c r="O499">
        <v>0.27</v>
      </c>
      <c r="P499">
        <v>469.8</v>
      </c>
      <c r="Q499">
        <f>(Table1[[#This Row],[Closing_Stock]]*Table1[[#This Row],[Unit_Cost_INR]])</f>
        <v>1740</v>
      </c>
      <c r="R499">
        <f>(Table1[[#This Row],[Unit_Cost_INR]]*Table1[[#This Row],[Consumption]])</f>
        <v>4930</v>
      </c>
      <c r="S499">
        <f>IFERROR(Table1[[#This Row],[Annual_Consumption_Value_INR]]/Table1[[#This Row],[Inventory_Value_INR]],0)</f>
        <v>2.8333333333333335</v>
      </c>
      <c r="T499">
        <f>IFERROR(365/Table1[[#This Row],[Inventory_Turnover]],0)</f>
        <v>128.8235294117647</v>
      </c>
      <c r="U499" t="str">
        <f>IF(Table1[[#This Row],[Consumption]]=0,"Non-Moving", IF(Table1[[#This Row],[Days_Since_Last_Movement]]&gt;90,"Slow-Moving","Active"))</f>
        <v>Slow-Moving</v>
      </c>
      <c r="V499">
        <f>SUM($Q$2:Q499)</f>
        <v>75693040</v>
      </c>
      <c r="W499">
        <f>Table1[[#This Row],[Cumulative_Inventory_Value]]/$AP$3</f>
        <v>0.99996921872500255</v>
      </c>
      <c r="X499" t="str">
        <f>IF(Table1[[#This Row],[Cumulative_Value_%]]&lt;80%,"A", IF(Table1[[#This Row],[Cumulative_Value_%]]&lt;=95%,"B","C"))</f>
        <v>C</v>
      </c>
      <c r="Y499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499">
        <f>Table1[[#This Row],[Consumption]]/365</f>
        <v>4.6575342465753428E-2</v>
      </c>
      <c r="AA499">
        <f>Table1[[#This Row],[Avg_Daily_Consumption]]*Table1[[#This Row],[Lead_Time_Days]]+Table1[[#This Row],[Safety_Stock]]</f>
        <v>2.1643835616438354</v>
      </c>
      <c r="AB499">
        <f>IFERROR(Table1[[#This Row],[Closing_Stock]]/Table1[[#This Row],[Avg_Daily_Consumption]],9999)</f>
        <v>128.8235294117647</v>
      </c>
      <c r="AC499">
        <f>MAX(1,ROUNDUP(Table1[[#This Row],[Avg_Daily_Consumption]]*Table1[[#This Row],[Lead_Time_Days]]*0.8,0))</f>
        <v>1</v>
      </c>
      <c r="AD499" t="str">
        <f>IF(Table1[[#This Row],[Closing_Stock]]&lt;Table1[[#This Row],[Reorder_Point]],"Stock-out Risk","Adequate")</f>
        <v>Adequate</v>
      </c>
      <c r="AE499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499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499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499" s="11">
        <f>MAX(0,Table1[[#This Row],[Closing_Stock]]-Table1[[#This Row],[Reorder_Point]])</f>
        <v>3.8356164383561646</v>
      </c>
      <c r="AI499" s="11">
        <f>Table1[[#This Row],[Excess_Stock_Units]]*Table1[[#This Row],[Unit_Cost_INR]]</f>
        <v>1112.3287671232877</v>
      </c>
      <c r="AJ499" s="11">
        <f>IF(Table1[[#This Row],[Criticality]]="Critical",0,Table1[[#This Row],[Excess_Inventory_Value_INR]])</f>
        <v>0</v>
      </c>
      <c r="AK499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500" spans="1:37" x14ac:dyDescent="0.25">
      <c r="A500" t="s">
        <v>281</v>
      </c>
      <c r="B500" t="s">
        <v>73</v>
      </c>
      <c r="C500" t="s">
        <v>41</v>
      </c>
      <c r="D500" t="s">
        <v>21</v>
      </c>
      <c r="E500" t="s">
        <v>22</v>
      </c>
      <c r="F500">
        <v>2</v>
      </c>
      <c r="G500">
        <v>4</v>
      </c>
      <c r="H500">
        <v>5</v>
      </c>
      <c r="I500">
        <v>1</v>
      </c>
      <c r="J500">
        <v>1530</v>
      </c>
      <c r="K500">
        <v>3</v>
      </c>
      <c r="L500">
        <v>0</v>
      </c>
      <c r="M500">
        <v>25</v>
      </c>
      <c r="N500" t="s">
        <v>81</v>
      </c>
      <c r="O500">
        <v>0.26800000000000002</v>
      </c>
      <c r="P500">
        <v>410.04</v>
      </c>
      <c r="Q500">
        <f>(Table1[[#This Row],[Closing_Stock]]*Table1[[#This Row],[Unit_Cost_INR]])</f>
        <v>1530</v>
      </c>
      <c r="R500">
        <f>(Table1[[#This Row],[Unit_Cost_INR]]*Table1[[#This Row],[Consumption]])</f>
        <v>7650</v>
      </c>
      <c r="S500">
        <f>IFERROR(Table1[[#This Row],[Annual_Consumption_Value_INR]]/Table1[[#This Row],[Inventory_Value_INR]],0)</f>
        <v>5</v>
      </c>
      <c r="T500">
        <f>IFERROR(365/Table1[[#This Row],[Inventory_Turnover]],0)</f>
        <v>73</v>
      </c>
      <c r="U500" t="str">
        <f>IF(Table1[[#This Row],[Consumption]]=0,"Non-Moving", IF(Table1[[#This Row],[Days_Since_Last_Movement]]&gt;90,"Slow-Moving","Active"))</f>
        <v>Active</v>
      </c>
      <c r="V500">
        <f>SUM($Q$2:Q500)</f>
        <v>75694570</v>
      </c>
      <c r="W500">
        <f>Table1[[#This Row],[Cumulative_Inventory_Value]]/$AP$3</f>
        <v>0.99998943132188933</v>
      </c>
      <c r="X500" t="str">
        <f>IF(Table1[[#This Row],[Cumulative_Value_%]]&lt;80%,"A", IF(Table1[[#This Row],[Cumulative_Value_%]]&lt;=95%,"B","C"))</f>
        <v>C</v>
      </c>
      <c r="Y500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500">
        <f>Table1[[#This Row],[Consumption]]/365</f>
        <v>1.3698630136986301E-2</v>
      </c>
      <c r="AA500">
        <f>Table1[[#This Row],[Avg_Daily_Consumption]]*Table1[[#This Row],[Lead_Time_Days]]+Table1[[#This Row],[Safety_Stock]]</f>
        <v>1.0410958904109588</v>
      </c>
      <c r="AB500">
        <f>IFERROR(Table1[[#This Row],[Closing_Stock]]/Table1[[#This Row],[Avg_Daily_Consumption]],9999)</f>
        <v>73</v>
      </c>
      <c r="AC500">
        <f>MAX(1,ROUNDUP(Table1[[#This Row],[Avg_Daily_Consumption]]*Table1[[#This Row],[Lead_Time_Days]]*0.8,0))</f>
        <v>1</v>
      </c>
      <c r="AD500" t="str">
        <f>IF(Table1[[#This Row],[Closing_Stock]]&lt;Table1[[#This Row],[Reorder_Point]],"Stock-out Risk","Adequate")</f>
        <v>Stock-out Risk</v>
      </c>
      <c r="AE500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MEDIUM</v>
      </c>
      <c r="AF500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Maintain / Monitor</v>
      </c>
      <c r="AG500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500" s="11">
        <f>MAX(0,Table1[[#This Row],[Closing_Stock]]-Table1[[#This Row],[Reorder_Point]])</f>
        <v>0</v>
      </c>
      <c r="AI500" s="11">
        <f>Table1[[#This Row],[Excess_Stock_Units]]*Table1[[#This Row],[Unit_Cost_INR]]</f>
        <v>0</v>
      </c>
      <c r="AJ500" s="11">
        <f>IF(Table1[[#This Row],[Criticality]]="Critical",0,Table1[[#This Row],[Excess_Inventory_Value_INR]])</f>
        <v>0</v>
      </c>
      <c r="AK500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  <row r="501" spans="1:37" x14ac:dyDescent="0.25">
      <c r="A501" t="s">
        <v>368</v>
      </c>
      <c r="B501" t="s">
        <v>54</v>
      </c>
      <c r="C501" t="s">
        <v>36</v>
      </c>
      <c r="D501" t="s">
        <v>27</v>
      </c>
      <c r="E501" t="s">
        <v>37</v>
      </c>
      <c r="F501">
        <v>6</v>
      </c>
      <c r="G501">
        <v>10</v>
      </c>
      <c r="H501">
        <v>8</v>
      </c>
      <c r="I501">
        <v>8</v>
      </c>
      <c r="J501">
        <v>100</v>
      </c>
      <c r="K501">
        <v>29</v>
      </c>
      <c r="L501">
        <v>0</v>
      </c>
      <c r="M501">
        <v>162</v>
      </c>
      <c r="N501" t="s">
        <v>33</v>
      </c>
      <c r="O501">
        <v>0.192</v>
      </c>
      <c r="P501">
        <v>153.6</v>
      </c>
      <c r="Q501">
        <f>(Table1[[#This Row],[Closing_Stock]]*Table1[[#This Row],[Unit_Cost_INR]])</f>
        <v>800</v>
      </c>
      <c r="R501">
        <f>(Table1[[#This Row],[Unit_Cost_INR]]*Table1[[#This Row],[Consumption]])</f>
        <v>800</v>
      </c>
      <c r="S501">
        <f>IFERROR(Table1[[#This Row],[Annual_Consumption_Value_INR]]/Table1[[#This Row],[Inventory_Value_INR]],0)</f>
        <v>1</v>
      </c>
      <c r="T501">
        <f>IFERROR(365/Table1[[#This Row],[Inventory_Turnover]],0)</f>
        <v>365</v>
      </c>
      <c r="U501" t="str">
        <f>IF(Table1[[#This Row],[Consumption]]=0,"Non-Moving", IF(Table1[[#This Row],[Days_Since_Last_Movement]]&gt;90,"Slow-Moving","Active"))</f>
        <v>Slow-Moving</v>
      </c>
      <c r="V501">
        <f>SUM($Q$2:Q501)</f>
        <v>75695370</v>
      </c>
      <c r="W501">
        <f>Table1[[#This Row],[Cumulative_Inventory_Value]]/$AP$3</f>
        <v>1</v>
      </c>
      <c r="X501" t="str">
        <f>IF(Table1[[#This Row],[Cumulative_Value_%]]&lt;80%,"A", IF(Table1[[#This Row],[Cumulative_Value_%]]&lt;=95%,"B","C"))</f>
        <v>C</v>
      </c>
      <c r="Y501" t="str">
        <f>IF(AND(Table1[[#This Row],[ABC_Class]]="A",Table1[[#This Row],[Movement_Class]]="Non-Moving"),"Critical Review",
IF(AND(Table1[[#This Row],[ABC_Class]]="A",Table1[[#This Row],[Movement_Class]]="Slow-Moving"),"High Review",
IF(Table1[[#This Row],[Movement_Class]]="Non-Moving","Review","Normal")))</f>
        <v>Normal</v>
      </c>
      <c r="Z501">
        <f>Table1[[#This Row],[Consumption]]/365</f>
        <v>2.1917808219178082E-2</v>
      </c>
      <c r="AA501">
        <f>Table1[[#This Row],[Avg_Daily_Consumption]]*Table1[[#This Row],[Lead_Time_Days]]+Table1[[#This Row],[Safety_Stock]]</f>
        <v>1.6356164383561644</v>
      </c>
      <c r="AB501">
        <f>IFERROR(Table1[[#This Row],[Closing_Stock]]/Table1[[#This Row],[Avg_Daily_Consumption]],9999)</f>
        <v>365</v>
      </c>
      <c r="AC501">
        <f>MAX(1,ROUNDUP(Table1[[#This Row],[Avg_Daily_Consumption]]*Table1[[#This Row],[Lead_Time_Days]]*0.8,0))</f>
        <v>1</v>
      </c>
      <c r="AD501" t="str">
        <f>IF(Table1[[#This Row],[Closing_Stock]]&lt;Table1[[#This Row],[Reorder_Point]],"Stock-out Risk","Adequate")</f>
        <v>Adequate</v>
      </c>
      <c r="AE501" t="str">
        <f>IF(AND(Table1[[#This Row],[Criticality]]="Critical",Table1[[#This Row],[Stock_Risk]]="Stock-out Risk"),"URGENT",
IF(AND(Table1[[#This Row],[Criticality]]="High",Table1[[#This Row],[Stock_Risk]]="Stock-out Risk"),"HIGH",
IF(Table1[[#This Row],[Stock_Risk]]="Stock-out Risk","MEDIUM","NORMAL")))</f>
        <v>NORMAL</v>
      </c>
      <c r="AF501" t="str">
        <f>IF(AND(Table1[[#This Row],[Movement_Class]]="Non-Moving",Table1[[#This Row],[Criticality]]&lt;&gt;"Critical"),"Review for Disposal/De-procurement",
IF(AND(Table1[[#This Row],[Movement_Class]]="Slow-Moving",Table1[[#This Row],[ABC_Class]]="A",Table1[[#This Row],[Criticality]]&lt;&gt;"Critical"),"Review Safety Stock",
IF(AND(Table1[[#This Row],[ABC_Class]]="A",Table1[[#This Row],[Stock_Risk]]="Stock-out Risk"),"Protect Stock / Expedite Procurement",
IF(Table1[[#This Row],[Movement_Class]]="Active","Maintain / Monitor","Review"))))</f>
        <v>Review</v>
      </c>
      <c r="AG501">
        <f>IF(Table1[[#This Row],[Action_Recommendation]]="Review for Disposal/De-procurement",Table1[[#This Row],[Inventory_Value_INR]]*70%,IF(Table1[[#This Row],[Action_Recommendation]]="Review Safety Stock",Table1[[#This Row],[Inventory_Value_INR]]*20%,0))</f>
        <v>0</v>
      </c>
      <c r="AH501" s="11">
        <f>MAX(0,Table1[[#This Row],[Closing_Stock]]-Table1[[#This Row],[Reorder_Point]])</f>
        <v>6.3643835616438356</v>
      </c>
      <c r="AI501" s="11">
        <f>Table1[[#This Row],[Excess_Stock_Units]]*Table1[[#This Row],[Unit_Cost_INR]]</f>
        <v>636.43835616438355</v>
      </c>
      <c r="AJ501" s="11">
        <f>IF(Table1[[#This Row],[Criticality]]="Critical",0,Table1[[#This Row],[Excess_Inventory_Value_INR]])</f>
        <v>0</v>
      </c>
      <c r="AK501" s="11">
        <f>IF(AND(Table1[[#This Row],[Criticality]]&lt;&gt;"Critical",OR(Table1[[#This Row],[Movement_Class]]="Slow-Moving",Table1[[#This Row],[Movement_Class]]="Non-Moving")),Table1[[#This Row],[Excess_Inventory_Value_INR]],0)</f>
        <v>0</v>
      </c>
    </row>
  </sheetData>
  <pageMargins left="0.75" right="0.75" top="1" bottom="1" header="0.5" footer="0.5"/>
  <pageSetup paperSize="9" orientation="portrait" horizontalDpi="4294967293" verticalDpi="0"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activeCell="C5" sqref="C5"/>
    </sheetView>
  </sheetViews>
  <sheetFormatPr defaultRowHeight="15" x14ac:dyDescent="0.25"/>
  <cols>
    <col min="1" max="1" width="21" bestFit="1" customWidth="1"/>
    <col min="2" max="2" width="64" bestFit="1" customWidth="1"/>
  </cols>
  <sheetData>
    <row r="1" spans="1:2" x14ac:dyDescent="0.25">
      <c r="A1" s="1" t="s">
        <v>573</v>
      </c>
      <c r="B1" s="1" t="s">
        <v>574</v>
      </c>
    </row>
    <row r="2" spans="1:2" x14ac:dyDescent="0.25">
      <c r="A2" t="s">
        <v>575</v>
      </c>
      <c r="B2" t="s">
        <v>576</v>
      </c>
    </row>
    <row r="3" spans="1:2" x14ac:dyDescent="0.25">
      <c r="A3" t="s">
        <v>577</v>
      </c>
      <c r="B3" t="s">
        <v>578</v>
      </c>
    </row>
    <row r="4" spans="1:2" x14ac:dyDescent="0.25">
      <c r="A4" t="s">
        <v>579</v>
      </c>
      <c r="B4" t="s">
        <v>580</v>
      </c>
    </row>
    <row r="5" spans="1:2" x14ac:dyDescent="0.25">
      <c r="A5" t="s">
        <v>581</v>
      </c>
      <c r="B5" t="s">
        <v>582</v>
      </c>
    </row>
    <row r="6" spans="1:2" x14ac:dyDescent="0.25">
      <c r="A6" t="s">
        <v>583</v>
      </c>
      <c r="B6" t="s">
        <v>584</v>
      </c>
    </row>
    <row r="7" spans="1:2" x14ac:dyDescent="0.25">
      <c r="A7" t="s">
        <v>585</v>
      </c>
      <c r="B7" t="s">
        <v>586</v>
      </c>
    </row>
    <row r="8" spans="1:2" x14ac:dyDescent="0.25">
      <c r="A8" t="s">
        <v>587</v>
      </c>
      <c r="B8" t="s">
        <v>588</v>
      </c>
    </row>
    <row r="9" spans="1:2" x14ac:dyDescent="0.25">
      <c r="A9" t="s">
        <v>589</v>
      </c>
      <c r="B9" t="s">
        <v>590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Inventory_Data</vt:lpstr>
      <vt:lpstr>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Ayushman Sinha</cp:lastModifiedBy>
  <dcterms:created xsi:type="dcterms:W3CDTF">2026-09-12T07:05:17Z</dcterms:created>
  <dcterms:modified xsi:type="dcterms:W3CDTF">2026-09-14T04:48:07Z</dcterms:modified>
</cp:coreProperties>
</file>